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esktop\sales_insights_fmcg\"/>
    </mc:Choice>
  </mc:AlternateContent>
  <xr:revisionPtr revIDLastSave="0" documentId="8_{4F423077-7793-42E1-9691-78A66CE6E6C0}" xr6:coauthVersionLast="47" xr6:coauthVersionMax="47" xr10:uidLastSave="{00000000-0000-0000-0000-000000000000}"/>
  <bookViews>
    <workbookView xWindow="-108" yWindow="-108" windowWidth="23256" windowHeight="12456" firstSheet="3" activeTab="6" xr2:uid="{3FB70A69-D6FF-453E-AABB-09A3C554BDD4}"/>
  </bookViews>
  <sheets>
    <sheet name="customer_table" sheetId="1" r:id="rId1"/>
    <sheet name="date_table" sheetId="2" r:id="rId2"/>
    <sheet name="markets_table" sheetId="4" r:id="rId3"/>
    <sheet name="product_table" sheetId="5" r:id="rId4"/>
    <sheet name="transactions_table" sheetId="6" r:id="rId5"/>
    <sheet name="Master_datatables" sheetId="3" r:id="rId6"/>
    <sheet name="pivots" sheetId="8" r:id="rId7"/>
  </sheets>
  <definedNames>
    <definedName name="ExternalData_1" localSheetId="2" hidden="1">markets_table!$A$1:$C$18</definedName>
    <definedName name="ExternalData_1" localSheetId="5" hidden="1">Master_datatables!$A$1:$G$992</definedName>
    <definedName name="ExternalData_1" localSheetId="3" hidden="1">product_table!$A$1:$B$280</definedName>
    <definedName name="ExternalData_1" localSheetId="4" hidden="1">transactions_table!$A$1:$G$1001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C2" i="5"/>
  <c r="C3" i="5"/>
  <c r="C4" i="5"/>
  <c r="H293" i="3" s="1"/>
  <c r="C5" i="5"/>
  <c r="C6" i="5"/>
  <c r="C7" i="5"/>
  <c r="C8" i="5"/>
  <c r="H398" i="3" s="1"/>
  <c r="C9" i="5"/>
  <c r="H400" i="3" s="1"/>
  <c r="C10" i="5"/>
  <c r="C11" i="5"/>
  <c r="C12" i="5"/>
  <c r="C13" i="5"/>
  <c r="C14" i="5"/>
  <c r="C15" i="5"/>
  <c r="H569" i="3" s="1"/>
  <c r="C16" i="5"/>
  <c r="H572" i="3" s="1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H47" i="3" l="1"/>
  <c r="H31" i="3"/>
  <c r="H315" i="3"/>
  <c r="H312" i="3"/>
  <c r="H309" i="3"/>
  <c r="H307" i="3"/>
  <c r="H36" i="3"/>
  <c r="H39" i="3"/>
  <c r="H41" i="3"/>
  <c r="H291" i="3"/>
  <c r="H33" i="3"/>
  <c r="H49" i="3"/>
  <c r="H379" i="3"/>
  <c r="H389" i="3"/>
  <c r="H105" i="3"/>
  <c r="H304" i="3"/>
  <c r="H325" i="3"/>
  <c r="H328" i="3"/>
  <c r="H331" i="3"/>
  <c r="H333" i="3"/>
  <c r="H81" i="3"/>
  <c r="H347" i="3"/>
  <c r="H349" i="3"/>
  <c r="H352" i="3"/>
  <c r="H355" i="3"/>
  <c r="H357" i="3"/>
  <c r="H368" i="3"/>
  <c r="H371" i="3"/>
  <c r="H373" i="3"/>
  <c r="H376" i="3"/>
  <c r="H17" i="3"/>
  <c r="H15" i="3"/>
  <c r="H20" i="3"/>
  <c r="H52" i="3"/>
  <c r="H55" i="3"/>
  <c r="H57" i="3"/>
  <c r="H60" i="3"/>
  <c r="H63" i="3"/>
  <c r="H73" i="3"/>
  <c r="H76" i="3"/>
  <c r="H79" i="3"/>
  <c r="H336" i="3"/>
  <c r="H84" i="3"/>
  <c r="H95" i="3"/>
  <c r="H97" i="3"/>
  <c r="H100" i="3"/>
  <c r="H103" i="3"/>
  <c r="H113" i="3"/>
  <c r="H392" i="3"/>
  <c r="H395" i="3"/>
  <c r="H397" i="3"/>
  <c r="H116" i="3"/>
  <c r="H119" i="3"/>
  <c r="H124" i="3"/>
  <c r="H413" i="3"/>
  <c r="H416" i="3"/>
  <c r="H140" i="3"/>
  <c r="H143" i="3"/>
  <c r="H166" i="3"/>
  <c r="H455" i="3"/>
  <c r="H458" i="3"/>
  <c r="H184" i="3"/>
  <c r="H145" i="3"/>
  <c r="H442" i="3"/>
  <c r="H182" i="3"/>
  <c r="H187" i="3"/>
  <c r="H223" i="3"/>
  <c r="H494" i="3"/>
  <c r="H497" i="3"/>
  <c r="H520" i="3"/>
  <c r="H528" i="3"/>
  <c r="H226" i="3"/>
  <c r="H229" i="3"/>
  <c r="H268" i="3"/>
  <c r="H547" i="3"/>
  <c r="H270" i="3"/>
  <c r="H557" i="3"/>
  <c r="H549" i="3"/>
  <c r="H562" i="3"/>
  <c r="H560" i="3"/>
  <c r="H565" i="3"/>
  <c r="H568" i="3"/>
  <c r="H552" i="3"/>
  <c r="H273" i="3"/>
  <c r="H563" i="3"/>
  <c r="H582" i="3"/>
  <c r="H609" i="3"/>
  <c r="H619" i="3"/>
  <c r="H620" i="3"/>
  <c r="H576" i="3"/>
  <c r="H578" i="3"/>
  <c r="H590" i="3"/>
  <c r="H591" i="3"/>
  <c r="H593" i="3"/>
  <c r="H607" i="3"/>
  <c r="H608" i="3"/>
  <c r="H630" i="3"/>
  <c r="H652" i="3"/>
  <c r="H635" i="3"/>
  <c r="H636" i="3"/>
  <c r="H638" i="3"/>
  <c r="H639" i="3"/>
  <c r="H648" i="3"/>
  <c r="H666" i="3"/>
  <c r="H654" i="3"/>
  <c r="H655" i="3"/>
  <c r="H664" i="3"/>
  <c r="H665" i="3"/>
  <c r="H625" i="3"/>
  <c r="H626" i="3"/>
  <c r="H673" i="3"/>
  <c r="H951" i="3"/>
  <c r="H963" i="3"/>
  <c r="H976" i="3"/>
  <c r="H987" i="3"/>
  <c r="H923" i="3"/>
  <c r="H937" i="3"/>
  <c r="H952" i="3"/>
  <c r="H962" i="3"/>
  <c r="H977" i="3"/>
  <c r="H991" i="3"/>
  <c r="H920" i="3"/>
  <c r="H935" i="3"/>
  <c r="H946" i="3"/>
  <c r="H961" i="3"/>
  <c r="H938" i="3"/>
  <c r="H986" i="3"/>
  <c r="H922" i="3"/>
  <c r="H945" i="3"/>
  <c r="H959" i="3"/>
  <c r="H970" i="3"/>
  <c r="H984" i="3"/>
  <c r="H927" i="3"/>
  <c r="H975" i="3"/>
  <c r="H679" i="3"/>
  <c r="H680" i="3"/>
  <c r="H681" i="3"/>
  <c r="H690" i="3"/>
  <c r="H691" i="3"/>
  <c r="H695" i="3"/>
  <c r="H704" i="3"/>
  <c r="H705" i="3"/>
  <c r="H706" i="3"/>
  <c r="H715" i="3"/>
  <c r="H719" i="3"/>
  <c r="H720" i="3"/>
  <c r="H729" i="3"/>
  <c r="H730" i="3"/>
  <c r="H731" i="3"/>
  <c r="H735" i="3"/>
  <c r="H743" i="3"/>
  <c r="H744" i="3"/>
  <c r="H745" i="3"/>
  <c r="H746" i="3"/>
  <c r="H754" i="3"/>
  <c r="H755" i="3"/>
  <c r="H759" i="3"/>
  <c r="H760" i="3"/>
  <c r="H768" i="3"/>
  <c r="H769" i="3"/>
  <c r="H770" i="3"/>
  <c r="H771" i="3"/>
  <c r="H778" i="3"/>
  <c r="H779" i="3"/>
  <c r="H783" i="3"/>
  <c r="H784" i="3"/>
  <c r="H785" i="3"/>
  <c r="H792" i="3"/>
  <c r="H793" i="3"/>
  <c r="H794" i="3"/>
  <c r="H795" i="3"/>
  <c r="H799" i="3"/>
  <c r="H803" i="3"/>
  <c r="H807" i="3"/>
  <c r="H808" i="3"/>
  <c r="H809" i="3"/>
  <c r="H810" i="3"/>
  <c r="H817" i="3"/>
  <c r="H818" i="3"/>
  <c r="H819" i="3"/>
  <c r="H823" i="3"/>
  <c r="H824" i="3"/>
  <c r="H831" i="3"/>
  <c r="H832" i="3"/>
  <c r="H833" i="3"/>
  <c r="H834" i="3"/>
  <c r="H835" i="3"/>
  <c r="H842" i="3"/>
  <c r="H843" i="3"/>
  <c r="H847" i="3"/>
  <c r="H848" i="3"/>
  <c r="H849" i="3"/>
  <c r="H856" i="3"/>
  <c r="H857" i="3"/>
  <c r="H858" i="3"/>
  <c r="H859" i="3"/>
  <c r="H863" i="3"/>
  <c r="H867" i="3"/>
  <c r="H871" i="3"/>
  <c r="H872" i="3"/>
  <c r="H873" i="3"/>
  <c r="H874" i="3"/>
  <c r="H881" i="3"/>
  <c r="H882" i="3"/>
  <c r="H883" i="3"/>
  <c r="H887" i="3"/>
  <c r="H888" i="3"/>
  <c r="H895" i="3"/>
  <c r="H896" i="3"/>
  <c r="H897" i="3"/>
  <c r="H898" i="3"/>
  <c r="H899" i="3"/>
  <c r="H906" i="3"/>
  <c r="H907" i="3"/>
  <c r="H911" i="3"/>
  <c r="H912" i="3"/>
  <c r="H913" i="3"/>
  <c r="H921" i="3"/>
  <c r="H931" i="3"/>
  <c r="H936" i="3"/>
  <c r="H947" i="3"/>
  <c r="H960" i="3"/>
  <c r="H971" i="3"/>
  <c r="H985" i="3"/>
  <c r="H546" i="3"/>
  <c r="H517" i="3"/>
  <c r="H483" i="3"/>
  <c r="H265" i="3"/>
  <c r="H200" i="3"/>
  <c r="H208" i="3"/>
  <c r="H216" i="3"/>
  <c r="H224" i="3"/>
  <c r="H232" i="3"/>
  <c r="H239" i="3"/>
  <c r="H247" i="3"/>
  <c r="H255" i="3"/>
  <c r="H263" i="3"/>
  <c r="H476" i="3"/>
  <c r="H484" i="3"/>
  <c r="H492" i="3"/>
  <c r="H500" i="3"/>
  <c r="H201" i="3"/>
  <c r="H209" i="3"/>
  <c r="H217" i="3"/>
  <c r="H225" i="3"/>
  <c r="H233" i="3"/>
  <c r="H240" i="3"/>
  <c r="H248" i="3"/>
  <c r="H256" i="3"/>
  <c r="H264" i="3"/>
  <c r="H477" i="3"/>
  <c r="H485" i="3"/>
  <c r="H493" i="3"/>
  <c r="H501" i="3"/>
  <c r="H509" i="3"/>
  <c r="H516" i="3"/>
  <c r="H524" i="3"/>
  <c r="H532" i="3"/>
  <c r="H540" i="3"/>
  <c r="H203" i="3"/>
  <c r="H211" i="3"/>
  <c r="H219" i="3"/>
  <c r="H227" i="3"/>
  <c r="H235" i="3"/>
  <c r="H242" i="3"/>
  <c r="H250" i="3"/>
  <c r="H258" i="3"/>
  <c r="H266" i="3"/>
  <c r="H479" i="3"/>
  <c r="H487" i="3"/>
  <c r="H495" i="3"/>
  <c r="H503" i="3"/>
  <c r="H511" i="3"/>
  <c r="H518" i="3"/>
  <c r="H526" i="3"/>
  <c r="H534" i="3"/>
  <c r="H542" i="3"/>
  <c r="H196" i="3"/>
  <c r="H204" i="3"/>
  <c r="H212" i="3"/>
  <c r="H220" i="3"/>
  <c r="H228" i="3"/>
  <c r="H236" i="3"/>
  <c r="H243" i="3"/>
  <c r="H251" i="3"/>
  <c r="H259" i="3"/>
  <c r="H267" i="3"/>
  <c r="H480" i="3"/>
  <c r="H488" i="3"/>
  <c r="H496" i="3"/>
  <c r="H504" i="3"/>
  <c r="H512" i="3"/>
  <c r="H519" i="3"/>
  <c r="H527" i="3"/>
  <c r="H535" i="3"/>
  <c r="H543" i="3"/>
  <c r="H198" i="3"/>
  <c r="H206" i="3"/>
  <c r="H214" i="3"/>
  <c r="H222" i="3"/>
  <c r="H230" i="3"/>
  <c r="H245" i="3"/>
  <c r="H253" i="3"/>
  <c r="H261" i="3"/>
  <c r="H269" i="3"/>
  <c r="H474" i="3"/>
  <c r="H482" i="3"/>
  <c r="H490" i="3"/>
  <c r="H498" i="3"/>
  <c r="H506" i="3"/>
  <c r="H514" i="3"/>
  <c r="H521" i="3"/>
  <c r="H529" i="3"/>
  <c r="H537" i="3"/>
  <c r="H545" i="3"/>
  <c r="H213" i="3"/>
  <c r="H234" i="3"/>
  <c r="H254" i="3"/>
  <c r="H486" i="3"/>
  <c r="H507" i="3"/>
  <c r="H522" i="3"/>
  <c r="H538" i="3"/>
  <c r="H221" i="3"/>
  <c r="H262" i="3"/>
  <c r="H215" i="3"/>
  <c r="H237" i="3"/>
  <c r="H257" i="3"/>
  <c r="H489" i="3"/>
  <c r="H508" i="3"/>
  <c r="H523" i="3"/>
  <c r="H539" i="3"/>
  <c r="H513" i="3"/>
  <c r="H197" i="3"/>
  <c r="H218" i="3"/>
  <c r="H238" i="3"/>
  <c r="H260" i="3"/>
  <c r="H491" i="3"/>
  <c r="H510" i="3"/>
  <c r="H525" i="3"/>
  <c r="H541" i="3"/>
  <c r="H199" i="3"/>
  <c r="H241" i="3"/>
  <c r="H473" i="3"/>
  <c r="H767" i="3"/>
  <c r="H753" i="3"/>
  <c r="H739" i="3"/>
  <c r="H728" i="3"/>
  <c r="H714" i="3"/>
  <c r="H703" i="3"/>
  <c r="H689" i="3"/>
  <c r="H675" i="3"/>
  <c r="H663" i="3"/>
  <c r="H647" i="3"/>
  <c r="H634" i="3"/>
  <c r="H618" i="3"/>
  <c r="H602" i="3"/>
  <c r="H588" i="3"/>
  <c r="H544" i="3"/>
  <c r="H515" i="3"/>
  <c r="H481" i="3"/>
  <c r="H439" i="3"/>
  <c r="H252" i="3"/>
  <c r="H210" i="3"/>
  <c r="H168" i="3"/>
  <c r="H127" i="3"/>
  <c r="H3" i="3"/>
  <c r="H5" i="3"/>
  <c r="H281" i="3"/>
  <c r="H282" i="3"/>
  <c r="H4" i="3"/>
  <c r="H280" i="3"/>
  <c r="H969" i="3"/>
  <c r="H955" i="3"/>
  <c r="H930" i="3"/>
  <c r="H919" i="3"/>
  <c r="H905" i="3"/>
  <c r="H880" i="3"/>
  <c r="H866" i="3"/>
  <c r="H855" i="3"/>
  <c r="H841" i="3"/>
  <c r="H827" i="3"/>
  <c r="H816" i="3"/>
  <c r="H802" i="3"/>
  <c r="H791" i="3"/>
  <c r="H777" i="3"/>
  <c r="H763" i="3"/>
  <c r="H752" i="3"/>
  <c r="H738" i="3"/>
  <c r="H727" i="3"/>
  <c r="H713" i="3"/>
  <c r="H699" i="3"/>
  <c r="H688" i="3"/>
  <c r="H674" i="3"/>
  <c r="H662" i="3"/>
  <c r="H646" i="3"/>
  <c r="H617" i="3"/>
  <c r="H601" i="3"/>
  <c r="H587" i="3"/>
  <c r="H536" i="3"/>
  <c r="H478" i="3"/>
  <c r="H249" i="3"/>
  <c r="H207" i="3"/>
  <c r="H10" i="3"/>
  <c r="H286" i="3"/>
  <c r="H11" i="3"/>
  <c r="H287" i="3"/>
  <c r="H289" i="3"/>
  <c r="H6" i="3"/>
  <c r="H8" i="3"/>
  <c r="H16" i="3"/>
  <c r="H284" i="3"/>
  <c r="H283" i="3"/>
  <c r="H7" i="3"/>
  <c r="H9" i="3"/>
  <c r="H146" i="3"/>
  <c r="H154" i="3"/>
  <c r="H161" i="3"/>
  <c r="H169" i="3"/>
  <c r="H177" i="3"/>
  <c r="H185" i="3"/>
  <c r="H193" i="3"/>
  <c r="H422" i="3"/>
  <c r="H430" i="3"/>
  <c r="H437" i="3"/>
  <c r="H445" i="3"/>
  <c r="H453" i="3"/>
  <c r="H461" i="3"/>
  <c r="H469" i="3"/>
  <c r="H147" i="3"/>
  <c r="H155" i="3"/>
  <c r="H162" i="3"/>
  <c r="H170" i="3"/>
  <c r="H178" i="3"/>
  <c r="H186" i="3"/>
  <c r="H194" i="3"/>
  <c r="H423" i="3"/>
  <c r="H431" i="3"/>
  <c r="H438" i="3"/>
  <c r="H446" i="3"/>
  <c r="H454" i="3"/>
  <c r="H462" i="3"/>
  <c r="H470" i="3"/>
  <c r="H149" i="3"/>
  <c r="H157" i="3"/>
  <c r="H164" i="3"/>
  <c r="H172" i="3"/>
  <c r="H180" i="3"/>
  <c r="H188" i="3"/>
  <c r="H425" i="3"/>
  <c r="H433" i="3"/>
  <c r="H440" i="3"/>
  <c r="H448" i="3"/>
  <c r="H456" i="3"/>
  <c r="H464" i="3"/>
  <c r="H472" i="3"/>
  <c r="H150" i="3"/>
  <c r="H158" i="3"/>
  <c r="H165" i="3"/>
  <c r="H173" i="3"/>
  <c r="H181" i="3"/>
  <c r="H189" i="3"/>
  <c r="H426" i="3"/>
  <c r="H434" i="3"/>
  <c r="H441" i="3"/>
  <c r="H449" i="3"/>
  <c r="H457" i="3"/>
  <c r="H465" i="3"/>
  <c r="H152" i="3"/>
  <c r="H167" i="3"/>
  <c r="H175" i="3"/>
  <c r="H183" i="3"/>
  <c r="H191" i="3"/>
  <c r="H428" i="3"/>
  <c r="H436" i="3"/>
  <c r="H443" i="3"/>
  <c r="H451" i="3"/>
  <c r="H459" i="3"/>
  <c r="H467" i="3"/>
  <c r="H151" i="3"/>
  <c r="H171" i="3"/>
  <c r="H192" i="3"/>
  <c r="H424" i="3"/>
  <c r="H444" i="3"/>
  <c r="H466" i="3"/>
  <c r="H179" i="3"/>
  <c r="H432" i="3"/>
  <c r="H153" i="3"/>
  <c r="H174" i="3"/>
  <c r="H195" i="3"/>
  <c r="H427" i="3"/>
  <c r="H447" i="3"/>
  <c r="H468" i="3"/>
  <c r="H452" i="3"/>
  <c r="H156" i="3"/>
  <c r="H176" i="3"/>
  <c r="H429" i="3"/>
  <c r="H450" i="3"/>
  <c r="H471" i="3"/>
  <c r="H159" i="3"/>
  <c r="H983" i="3"/>
  <c r="H944" i="3"/>
  <c r="H891" i="3"/>
  <c r="H621" i="3"/>
  <c r="H629" i="3"/>
  <c r="H637" i="3"/>
  <c r="H645" i="3"/>
  <c r="H653" i="3"/>
  <c r="H661" i="3"/>
  <c r="H669" i="3"/>
  <c r="H622" i="3"/>
  <c r="H631" i="3"/>
  <c r="H640" i="3"/>
  <c r="H649" i="3"/>
  <c r="H658" i="3"/>
  <c r="H667" i="3"/>
  <c r="H623" i="3"/>
  <c r="H632" i="3"/>
  <c r="H641" i="3"/>
  <c r="H650" i="3"/>
  <c r="H659" i="3"/>
  <c r="H668" i="3"/>
  <c r="H624" i="3"/>
  <c r="H633" i="3"/>
  <c r="H642" i="3"/>
  <c r="H651" i="3"/>
  <c r="H660" i="3"/>
  <c r="H130" i="3"/>
  <c r="H138" i="3"/>
  <c r="H406" i="3"/>
  <c r="H414" i="3"/>
  <c r="H131" i="3"/>
  <c r="H139" i="3"/>
  <c r="H407" i="3"/>
  <c r="H415" i="3"/>
  <c r="H125" i="3"/>
  <c r="H133" i="3"/>
  <c r="H141" i="3"/>
  <c r="H401" i="3"/>
  <c r="H409" i="3"/>
  <c r="H417" i="3"/>
  <c r="H126" i="3"/>
  <c r="H134" i="3"/>
  <c r="H142" i="3"/>
  <c r="H402" i="3"/>
  <c r="H410" i="3"/>
  <c r="H418" i="3"/>
  <c r="H128" i="3"/>
  <c r="H136" i="3"/>
  <c r="H144" i="3"/>
  <c r="H404" i="3"/>
  <c r="H412" i="3"/>
  <c r="H420" i="3"/>
  <c r="H129" i="3"/>
  <c r="H403" i="3"/>
  <c r="H137" i="3"/>
  <c r="H132" i="3"/>
  <c r="H405" i="3"/>
  <c r="H135" i="3"/>
  <c r="H408" i="3"/>
  <c r="H411" i="3"/>
  <c r="H279" i="3"/>
  <c r="H2" i="3"/>
  <c r="H979" i="3"/>
  <c r="H968" i="3"/>
  <c r="H954" i="3"/>
  <c r="H943" i="3"/>
  <c r="H929" i="3"/>
  <c r="H915" i="3"/>
  <c r="H904" i="3"/>
  <c r="H890" i="3"/>
  <c r="H879" i="3"/>
  <c r="H865" i="3"/>
  <c r="H851" i="3"/>
  <c r="H840" i="3"/>
  <c r="H826" i="3"/>
  <c r="H815" i="3"/>
  <c r="H801" i="3"/>
  <c r="H787" i="3"/>
  <c r="H776" i="3"/>
  <c r="H762" i="3"/>
  <c r="H751" i="3"/>
  <c r="H737" i="3"/>
  <c r="H723" i="3"/>
  <c r="H712" i="3"/>
  <c r="H698" i="3"/>
  <c r="H687" i="3"/>
  <c r="H657" i="3"/>
  <c r="H644" i="3"/>
  <c r="H628" i="3"/>
  <c r="H616" i="3"/>
  <c r="H600" i="3"/>
  <c r="H533" i="3"/>
  <c r="H505" i="3"/>
  <c r="H475" i="3"/>
  <c r="H435" i="3"/>
  <c r="H288" i="3"/>
  <c r="H246" i="3"/>
  <c r="H205" i="3"/>
  <c r="H163" i="3"/>
  <c r="H121" i="3"/>
  <c r="H676" i="3"/>
  <c r="H684" i="3"/>
  <c r="H692" i="3"/>
  <c r="H700" i="3"/>
  <c r="H708" i="3"/>
  <c r="H716" i="3"/>
  <c r="H724" i="3"/>
  <c r="H732" i="3"/>
  <c r="H740" i="3"/>
  <c r="H748" i="3"/>
  <c r="H756" i="3"/>
  <c r="H764" i="3"/>
  <c r="H772" i="3"/>
  <c r="H780" i="3"/>
  <c r="H788" i="3"/>
  <c r="H796" i="3"/>
  <c r="H804" i="3"/>
  <c r="H812" i="3"/>
  <c r="H820" i="3"/>
  <c r="H828" i="3"/>
  <c r="H836" i="3"/>
  <c r="H844" i="3"/>
  <c r="H852" i="3"/>
  <c r="H860" i="3"/>
  <c r="H868" i="3"/>
  <c r="H876" i="3"/>
  <c r="H884" i="3"/>
  <c r="H892" i="3"/>
  <c r="H900" i="3"/>
  <c r="H908" i="3"/>
  <c r="H916" i="3"/>
  <c r="H924" i="3"/>
  <c r="H932" i="3"/>
  <c r="H940" i="3"/>
  <c r="H948" i="3"/>
  <c r="H956" i="3"/>
  <c r="H964" i="3"/>
  <c r="H972" i="3"/>
  <c r="H980" i="3"/>
  <c r="H988" i="3"/>
  <c r="H982" i="3"/>
  <c r="H677" i="3"/>
  <c r="H685" i="3"/>
  <c r="H693" i="3"/>
  <c r="H701" i="3"/>
  <c r="H709" i="3"/>
  <c r="H717" i="3"/>
  <c r="H725" i="3"/>
  <c r="H733" i="3"/>
  <c r="H741" i="3"/>
  <c r="H749" i="3"/>
  <c r="H757" i="3"/>
  <c r="H765" i="3"/>
  <c r="H773" i="3"/>
  <c r="H781" i="3"/>
  <c r="H789" i="3"/>
  <c r="H797" i="3"/>
  <c r="H805" i="3"/>
  <c r="H813" i="3"/>
  <c r="H821" i="3"/>
  <c r="H829" i="3"/>
  <c r="H837" i="3"/>
  <c r="H845" i="3"/>
  <c r="H853" i="3"/>
  <c r="H861" i="3"/>
  <c r="H869" i="3"/>
  <c r="H877" i="3"/>
  <c r="H885" i="3"/>
  <c r="H893" i="3"/>
  <c r="H901" i="3"/>
  <c r="H909" i="3"/>
  <c r="H917" i="3"/>
  <c r="H925" i="3"/>
  <c r="H933" i="3"/>
  <c r="H941" i="3"/>
  <c r="H949" i="3"/>
  <c r="H957" i="3"/>
  <c r="H965" i="3"/>
  <c r="H973" i="3"/>
  <c r="H981" i="3"/>
  <c r="H989" i="3"/>
  <c r="H670" i="3"/>
  <c r="H678" i="3"/>
  <c r="H686" i="3"/>
  <c r="H694" i="3"/>
  <c r="H702" i="3"/>
  <c r="H710" i="3"/>
  <c r="H718" i="3"/>
  <c r="H726" i="3"/>
  <c r="H734" i="3"/>
  <c r="H742" i="3"/>
  <c r="H750" i="3"/>
  <c r="H758" i="3"/>
  <c r="H766" i="3"/>
  <c r="H774" i="3"/>
  <c r="H782" i="3"/>
  <c r="H790" i="3"/>
  <c r="H798" i="3"/>
  <c r="H806" i="3"/>
  <c r="H814" i="3"/>
  <c r="H822" i="3"/>
  <c r="H830" i="3"/>
  <c r="H838" i="3"/>
  <c r="H846" i="3"/>
  <c r="H854" i="3"/>
  <c r="H862" i="3"/>
  <c r="H870" i="3"/>
  <c r="H878" i="3"/>
  <c r="H886" i="3"/>
  <c r="H894" i="3"/>
  <c r="H902" i="3"/>
  <c r="H910" i="3"/>
  <c r="H918" i="3"/>
  <c r="H926" i="3"/>
  <c r="H934" i="3"/>
  <c r="H942" i="3"/>
  <c r="H950" i="3"/>
  <c r="H958" i="3"/>
  <c r="H966" i="3"/>
  <c r="H974" i="3"/>
  <c r="H990" i="3"/>
  <c r="H579" i="3"/>
  <c r="H574" i="3"/>
  <c r="H581" i="3"/>
  <c r="H589" i="3"/>
  <c r="H597" i="3"/>
  <c r="H605" i="3"/>
  <c r="H613" i="3"/>
  <c r="H575" i="3"/>
  <c r="H577" i="3"/>
  <c r="H584" i="3"/>
  <c r="H592" i="3"/>
  <c r="H583" i="3"/>
  <c r="H594" i="3"/>
  <c r="H603" i="3"/>
  <c r="H612" i="3"/>
  <c r="H585" i="3"/>
  <c r="H595" i="3"/>
  <c r="H604" i="3"/>
  <c r="H614" i="3"/>
  <c r="H573" i="3"/>
  <c r="H586" i="3"/>
  <c r="H596" i="3"/>
  <c r="H606" i="3"/>
  <c r="H615" i="3"/>
  <c r="H122" i="3"/>
  <c r="H123" i="3"/>
  <c r="H399" i="3"/>
  <c r="H992" i="3"/>
  <c r="H978" i="3"/>
  <c r="H967" i="3"/>
  <c r="H953" i="3"/>
  <c r="H939" i="3"/>
  <c r="H928" i="3"/>
  <c r="H914" i="3"/>
  <c r="H903" i="3"/>
  <c r="H889" i="3"/>
  <c r="H875" i="3"/>
  <c r="H864" i="3"/>
  <c r="H850" i="3"/>
  <c r="H839" i="3"/>
  <c r="H825" i="3"/>
  <c r="H811" i="3"/>
  <c r="H800" i="3"/>
  <c r="H786" i="3"/>
  <c r="H775" i="3"/>
  <c r="H761" i="3"/>
  <c r="H747" i="3"/>
  <c r="H736" i="3"/>
  <c r="H722" i="3"/>
  <c r="H711" i="3"/>
  <c r="H697" i="3"/>
  <c r="H683" i="3"/>
  <c r="H672" i="3"/>
  <c r="H656" i="3"/>
  <c r="H643" i="3"/>
  <c r="H627" i="3"/>
  <c r="H611" i="3"/>
  <c r="H599" i="3"/>
  <c r="H580" i="3"/>
  <c r="H531" i="3"/>
  <c r="H502" i="3"/>
  <c r="H463" i="3"/>
  <c r="H421" i="3"/>
  <c r="H285" i="3"/>
  <c r="H244" i="3"/>
  <c r="H202" i="3"/>
  <c r="H160" i="3"/>
  <c r="H721" i="3"/>
  <c r="H707" i="3"/>
  <c r="H696" i="3"/>
  <c r="H682" i="3"/>
  <c r="H671" i="3"/>
  <c r="H610" i="3"/>
  <c r="H598" i="3"/>
  <c r="H530" i="3"/>
  <c r="H499" i="3"/>
  <c r="H460" i="3"/>
  <c r="H419" i="3"/>
  <c r="H231" i="3"/>
  <c r="H190" i="3"/>
  <c r="H148" i="3"/>
  <c r="H12" i="3"/>
  <c r="H387" i="3"/>
  <c r="H365" i="3"/>
  <c r="H344" i="3"/>
  <c r="H323" i="3"/>
  <c r="H301" i="3"/>
  <c r="H92" i="3"/>
  <c r="H71" i="3"/>
  <c r="H28" i="3"/>
  <c r="H114" i="3"/>
  <c r="H390" i="3"/>
  <c r="H115" i="3"/>
  <c r="H391" i="3"/>
  <c r="H117" i="3"/>
  <c r="H393" i="3"/>
  <c r="H118" i="3"/>
  <c r="H394" i="3"/>
  <c r="H120" i="3"/>
  <c r="H396" i="3"/>
  <c r="H271" i="3"/>
  <c r="H272" i="3"/>
  <c r="H548" i="3"/>
  <c r="H556" i="3"/>
  <c r="H564" i="3"/>
  <c r="H274" i="3"/>
  <c r="H550" i="3"/>
  <c r="H558" i="3"/>
  <c r="H566" i="3"/>
  <c r="H275" i="3"/>
  <c r="H551" i="3"/>
  <c r="H559" i="3"/>
  <c r="H567" i="3"/>
  <c r="H277" i="3"/>
  <c r="H553" i="3"/>
  <c r="H561" i="3"/>
  <c r="H18" i="3"/>
  <c r="H26" i="3"/>
  <c r="H50" i="3"/>
  <c r="H58" i="3"/>
  <c r="H66" i="3"/>
  <c r="H74" i="3"/>
  <c r="H82" i="3"/>
  <c r="H90" i="3"/>
  <c r="H98" i="3"/>
  <c r="H106" i="3"/>
  <c r="H294" i="3"/>
  <c r="H302" i="3"/>
  <c r="H326" i="3"/>
  <c r="H334" i="3"/>
  <c r="H342" i="3"/>
  <c r="H350" i="3"/>
  <c r="H358" i="3"/>
  <c r="H366" i="3"/>
  <c r="H374" i="3"/>
  <c r="H382" i="3"/>
  <c r="H19" i="3"/>
  <c r="H27" i="3"/>
  <c r="H51" i="3"/>
  <c r="H59" i="3"/>
  <c r="H67" i="3"/>
  <c r="H75" i="3"/>
  <c r="H83" i="3"/>
  <c r="H91" i="3"/>
  <c r="H99" i="3"/>
  <c r="H107" i="3"/>
  <c r="H295" i="3"/>
  <c r="H303" i="3"/>
  <c r="H327" i="3"/>
  <c r="H335" i="3"/>
  <c r="H343" i="3"/>
  <c r="H351" i="3"/>
  <c r="H359" i="3"/>
  <c r="H367" i="3"/>
  <c r="H375" i="3"/>
  <c r="H383" i="3"/>
  <c r="H21" i="3"/>
  <c r="H53" i="3"/>
  <c r="H61" i="3"/>
  <c r="H69" i="3"/>
  <c r="H77" i="3"/>
  <c r="H85" i="3"/>
  <c r="H93" i="3"/>
  <c r="H101" i="3"/>
  <c r="H109" i="3"/>
  <c r="H297" i="3"/>
  <c r="H329" i="3"/>
  <c r="H337" i="3"/>
  <c r="H345" i="3"/>
  <c r="H353" i="3"/>
  <c r="H361" i="3"/>
  <c r="H369" i="3"/>
  <c r="H377" i="3"/>
  <c r="H385" i="3"/>
  <c r="H22" i="3"/>
  <c r="H54" i="3"/>
  <c r="H62" i="3"/>
  <c r="H70" i="3"/>
  <c r="H78" i="3"/>
  <c r="H86" i="3"/>
  <c r="H94" i="3"/>
  <c r="H102" i="3"/>
  <c r="H110" i="3"/>
  <c r="H298" i="3"/>
  <c r="H330" i="3"/>
  <c r="H338" i="3"/>
  <c r="H346" i="3"/>
  <c r="H354" i="3"/>
  <c r="H362" i="3"/>
  <c r="H370" i="3"/>
  <c r="H378" i="3"/>
  <c r="H386" i="3"/>
  <c r="H24" i="3"/>
  <c r="H48" i="3"/>
  <c r="H56" i="3"/>
  <c r="H64" i="3"/>
  <c r="H72" i="3"/>
  <c r="H80" i="3"/>
  <c r="H88" i="3"/>
  <c r="H96" i="3"/>
  <c r="H104" i="3"/>
  <c r="H112" i="3"/>
  <c r="H292" i="3"/>
  <c r="H300" i="3"/>
  <c r="H332" i="3"/>
  <c r="H340" i="3"/>
  <c r="H348" i="3"/>
  <c r="H356" i="3"/>
  <c r="H364" i="3"/>
  <c r="H372" i="3"/>
  <c r="H380" i="3"/>
  <c r="H388" i="3"/>
  <c r="H571" i="3"/>
  <c r="H555" i="3"/>
  <c r="H384" i="3"/>
  <c r="H363" i="3"/>
  <c r="H341" i="3"/>
  <c r="H320" i="3"/>
  <c r="H299" i="3"/>
  <c r="H278" i="3"/>
  <c r="H111" i="3"/>
  <c r="H89" i="3"/>
  <c r="H68" i="3"/>
  <c r="H25" i="3"/>
  <c r="H34" i="3"/>
  <c r="H42" i="3"/>
  <c r="H310" i="3"/>
  <c r="H318" i="3"/>
  <c r="H35" i="3"/>
  <c r="H43" i="3"/>
  <c r="H311" i="3"/>
  <c r="H319" i="3"/>
  <c r="H13" i="3"/>
  <c r="H29" i="3"/>
  <c r="H37" i="3"/>
  <c r="H45" i="3"/>
  <c r="H305" i="3"/>
  <c r="H313" i="3"/>
  <c r="H321" i="3"/>
  <c r="H14" i="3"/>
  <c r="H30" i="3"/>
  <c r="H38" i="3"/>
  <c r="H46" i="3"/>
  <c r="H290" i="3"/>
  <c r="H306" i="3"/>
  <c r="H314" i="3"/>
  <c r="H322" i="3"/>
  <c r="H32" i="3"/>
  <c r="H40" i="3"/>
  <c r="H308" i="3"/>
  <c r="H316" i="3"/>
  <c r="H324" i="3"/>
  <c r="H570" i="3"/>
  <c r="H554" i="3"/>
  <c r="H381" i="3"/>
  <c r="H360" i="3"/>
  <c r="H339" i="3"/>
  <c r="H317" i="3"/>
  <c r="H296" i="3"/>
  <c r="H276" i="3"/>
  <c r="H108" i="3"/>
  <c r="H87" i="3"/>
  <c r="H65" i="3"/>
  <c r="H44" i="3"/>
  <c r="H2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317A4-A51D-4802-85B3-73787C6C3C0E}" keepAlive="1" name="Query - markets_table" description="Connection to the 'markets_table' query in the workbook." type="5" refreshedVersion="8" background="1" saveData="1">
    <dbPr connection="Provider=Microsoft.Mashup.OleDb.1;Data Source=$Workbook$;Location=markets_table;Extended Properties=&quot;&quot;" command="SELECT * FROM [markets_table]"/>
  </connection>
  <connection id="2" xr16:uid="{EA55E773-5F6E-4E4D-9AFE-41CA3F849390}" keepAlive="1" name="Query - product_table" description="Connection to the 'product_table' query in the workbook." type="5" refreshedVersion="8" background="1" saveData="1">
    <dbPr connection="Provider=Microsoft.Mashup.OleDb.1;Data Source=$Workbook$;Location=product_table;Extended Properties=&quot;&quot;" command="SELECT * FROM [product_table]"/>
  </connection>
  <connection id="3" xr16:uid="{B2CC66B5-FD01-43CA-883E-83074C273CC2}" keepAlive="1" name="Query - transactions_table" description="Connection to the 'transactions_table' query in the workbook." type="5" refreshedVersion="8" background="1" saveData="1">
    <dbPr connection="Provider=Microsoft.Mashup.OleDb.1;Data Source=$Workbook$;Location=transactions_table;Extended Properties=&quot;&quot;" command="SELECT * FROM [transactions_table]"/>
  </connection>
  <connection id="4" xr16:uid="{2E2A6341-3893-4C28-B70C-71808C523E76}" keepAlive="1" name="Query - transactions_table (2)" description="Connection to the 'transactions_table (2)' query in the workbook." type="5" refreshedVersion="8" background="1" saveData="1">
    <dbPr connection="Provider=Microsoft.Mashup.OleDb.1;Data Source=$Workbook$;Location=&quot;transactions_table (2)&quot;;Extended Properties=&quot;&quot;" command="SELECT * FROM [transactions_table (2)]"/>
  </connection>
</connections>
</file>

<file path=xl/sharedStrings.xml><?xml version="1.0" encoding="utf-8"?>
<sst xmlns="http://schemas.openxmlformats.org/spreadsheetml/2006/main" count="10796" uniqueCount="474">
  <si>
    <t>customer_code</t>
  </si>
  <si>
    <t>custmer_name</t>
  </si>
  <si>
    <t>customer_type</t>
  </si>
  <si>
    <t>Cus001</t>
  </si>
  <si>
    <t>Surge Stores</t>
  </si>
  <si>
    <t>Brick &amp; Mortar</t>
  </si>
  <si>
    <t>Cus002</t>
  </si>
  <si>
    <t>Nomad Stores</t>
  </si>
  <si>
    <t>Cus003</t>
  </si>
  <si>
    <t>Excel Stores</t>
  </si>
  <si>
    <t>Cus004</t>
  </si>
  <si>
    <t>Surface Stores</t>
  </si>
  <si>
    <t>Cus005</t>
  </si>
  <si>
    <t>Premium Stores</t>
  </si>
  <si>
    <t>Cus006</t>
  </si>
  <si>
    <t>Electricalsara Stores</t>
  </si>
  <si>
    <t>Cus007</t>
  </si>
  <si>
    <t>Info Stores</t>
  </si>
  <si>
    <t>Cus008</t>
  </si>
  <si>
    <t>Acclaimed Stores</t>
  </si>
  <si>
    <t>Cus009</t>
  </si>
  <si>
    <t>Electricalsquipo Stores</t>
  </si>
  <si>
    <t>Cus010</t>
  </si>
  <si>
    <t>Atlas Stores</t>
  </si>
  <si>
    <t>Cus011</t>
  </si>
  <si>
    <t>Flawless Stores</t>
  </si>
  <si>
    <t>Cus012</t>
  </si>
  <si>
    <t>Integration Stores</t>
  </si>
  <si>
    <t>Cus013</t>
  </si>
  <si>
    <t>Unity Stores</t>
  </si>
  <si>
    <t>Cus014</t>
  </si>
  <si>
    <t>Forward Stores</t>
  </si>
  <si>
    <t>Cus015</t>
  </si>
  <si>
    <t>Electricalsbea Stores</t>
  </si>
  <si>
    <t>Cus016</t>
  </si>
  <si>
    <t>Logic Stores</t>
  </si>
  <si>
    <t>Cus017</t>
  </si>
  <si>
    <t>Epic Stores</t>
  </si>
  <si>
    <t>Cus018</t>
  </si>
  <si>
    <t>Electricalslance Stores</t>
  </si>
  <si>
    <t>Cus019</t>
  </si>
  <si>
    <t>Electricalsopedia Stores</t>
  </si>
  <si>
    <t>Cus020</t>
  </si>
  <si>
    <t>Nixon</t>
  </si>
  <si>
    <t>E-Commerce</t>
  </si>
  <si>
    <t>Cus021</t>
  </si>
  <si>
    <t>Modular</t>
  </si>
  <si>
    <t>Cus022</t>
  </si>
  <si>
    <t>Electricalslytical</t>
  </si>
  <si>
    <t>Cus023</t>
  </si>
  <si>
    <t>Sound</t>
  </si>
  <si>
    <t>Cus024</t>
  </si>
  <si>
    <t>Power</t>
  </si>
  <si>
    <t>Cus025</t>
  </si>
  <si>
    <t>Path</t>
  </si>
  <si>
    <t>Cus026</t>
  </si>
  <si>
    <t>Insight</t>
  </si>
  <si>
    <t>Cus027</t>
  </si>
  <si>
    <t>Control</t>
  </si>
  <si>
    <t>Cus028</t>
  </si>
  <si>
    <t>Sage</t>
  </si>
  <si>
    <t>Cus029</t>
  </si>
  <si>
    <t>Electricalsocity</t>
  </si>
  <si>
    <t>Cus030</t>
  </si>
  <si>
    <t>Synthetic</t>
  </si>
  <si>
    <t>Cus031</t>
  </si>
  <si>
    <t>Zone</t>
  </si>
  <si>
    <t>Cus032</t>
  </si>
  <si>
    <t>Elite</t>
  </si>
  <si>
    <t>Cus033</t>
  </si>
  <si>
    <t>All-Out</t>
  </si>
  <si>
    <t>Cus034</t>
  </si>
  <si>
    <t>Expression</t>
  </si>
  <si>
    <t>Cus035</t>
  </si>
  <si>
    <t>Relief</t>
  </si>
  <si>
    <t>Cus036</t>
  </si>
  <si>
    <t>Novus</t>
  </si>
  <si>
    <t>Cus037</t>
  </si>
  <si>
    <t>Propel</t>
  </si>
  <si>
    <t>Cus038</t>
  </si>
  <si>
    <t>Leader</t>
  </si>
  <si>
    <t>date</t>
  </si>
  <si>
    <t>cy_date</t>
  </si>
  <si>
    <t>year</t>
  </si>
  <si>
    <t>month_name</t>
  </si>
  <si>
    <t>date_yy_mmm</t>
  </si>
  <si>
    <t>June</t>
  </si>
  <si>
    <t>17-Jun_x000D_</t>
  </si>
  <si>
    <t>July</t>
  </si>
  <si>
    <t>17-Jul_x000D_</t>
  </si>
  <si>
    <t>August</t>
  </si>
  <si>
    <t>17-Aug_x000D_</t>
  </si>
  <si>
    <t>September</t>
  </si>
  <si>
    <t>17-Sep_x000D_</t>
  </si>
  <si>
    <t>October</t>
  </si>
  <si>
    <t>17-Oct_x000D_</t>
  </si>
  <si>
    <t>November</t>
  </si>
  <si>
    <t>17-Nov_x000D_</t>
  </si>
  <si>
    <t>December</t>
  </si>
  <si>
    <t>17-Dec_x000D_</t>
  </si>
  <si>
    <t>January</t>
  </si>
  <si>
    <t>18-Jan_x000D_</t>
  </si>
  <si>
    <t>February</t>
  </si>
  <si>
    <t>18-Feb_x000D_</t>
  </si>
  <si>
    <t>March</t>
  </si>
  <si>
    <t>18-Mar_x000D_</t>
  </si>
  <si>
    <t>April</t>
  </si>
  <si>
    <t>18-Apr_x000D_</t>
  </si>
  <si>
    <t>May</t>
  </si>
  <si>
    <t>18-May_x000D_</t>
  </si>
  <si>
    <t>18-Jun_x000D_</t>
  </si>
  <si>
    <t>18-Jul_x000D_</t>
  </si>
  <si>
    <t>18-Aug_x000D_</t>
  </si>
  <si>
    <t>18-Sep_x000D_</t>
  </si>
  <si>
    <t>18-Oct_x000D_</t>
  </si>
  <si>
    <t>18-Nov_x000D_</t>
  </si>
  <si>
    <t>18-Dec_x000D_</t>
  </si>
  <si>
    <t>19-Jan_x000D_</t>
  </si>
  <si>
    <t>19-Feb_x000D_</t>
  </si>
  <si>
    <t>19-Mar_x000D_</t>
  </si>
  <si>
    <t>19-Apr_x000D_</t>
  </si>
  <si>
    <t>19-May_x000D_</t>
  </si>
  <si>
    <t>19-Jun_x000D_</t>
  </si>
  <si>
    <t>19-Jul_x000D_</t>
  </si>
  <si>
    <t>19-Aug_x000D_</t>
  </si>
  <si>
    <t>19-Sep_x000D_</t>
  </si>
  <si>
    <t>19-Oct_x000D_</t>
  </si>
  <si>
    <t>19-Nov_x000D_</t>
  </si>
  <si>
    <t>19-Dec_x000D_</t>
  </si>
  <si>
    <t>20-Jan_x000D_</t>
  </si>
  <si>
    <t>20-Feb_x000D_</t>
  </si>
  <si>
    <t>Column1</t>
  </si>
  <si>
    <t>markets_code</t>
  </si>
  <si>
    <t>markets_name</t>
  </si>
  <si>
    <t>zone</t>
  </si>
  <si>
    <t>Mark001</t>
  </si>
  <si>
    <t>Chennai</t>
  </si>
  <si>
    <t>South</t>
  </si>
  <si>
    <t>Mark002</t>
  </si>
  <si>
    <t>Mumbai</t>
  </si>
  <si>
    <t>Central</t>
  </si>
  <si>
    <t>Mark003</t>
  </si>
  <si>
    <t>Ahmedabad</t>
  </si>
  <si>
    <t>North</t>
  </si>
  <si>
    <t>Mark004</t>
  </si>
  <si>
    <t>Delhi NCR</t>
  </si>
  <si>
    <t>Mark005</t>
  </si>
  <si>
    <t>Kanpur</t>
  </si>
  <si>
    <t>Mark006</t>
  </si>
  <si>
    <t>Bengaluru</t>
  </si>
  <si>
    <t>Mark007</t>
  </si>
  <si>
    <t>Bhopal</t>
  </si>
  <si>
    <t>Mark008</t>
  </si>
  <si>
    <t>Lucknow</t>
  </si>
  <si>
    <t>Mark009</t>
  </si>
  <si>
    <t>Patna</t>
  </si>
  <si>
    <t>Mark010</t>
  </si>
  <si>
    <t>Kochi</t>
  </si>
  <si>
    <t>Mark011</t>
  </si>
  <si>
    <t>Nagpur</t>
  </si>
  <si>
    <t>Mark012</t>
  </si>
  <si>
    <t>Surat</t>
  </si>
  <si>
    <t>Mark013</t>
  </si>
  <si>
    <t>Mark014</t>
  </si>
  <si>
    <t>Hyderabad</t>
  </si>
  <si>
    <t>Mark015</t>
  </si>
  <si>
    <t>Bhubaneshwar</t>
  </si>
  <si>
    <t>Mark097</t>
  </si>
  <si>
    <t>New York</t>
  </si>
  <si>
    <t/>
  </si>
  <si>
    <t>Mark999</t>
  </si>
  <si>
    <t>Paris</t>
  </si>
  <si>
    <t>product_code</t>
  </si>
  <si>
    <t>product_type</t>
  </si>
  <si>
    <t>Prod001</t>
  </si>
  <si>
    <t>Own Brand_x000D_</t>
  </si>
  <si>
    <t>Prod002</t>
  </si>
  <si>
    <t>Prod003</t>
  </si>
  <si>
    <t>Prod004</t>
  </si>
  <si>
    <t>Prod005</t>
  </si>
  <si>
    <t>Prod006</t>
  </si>
  <si>
    <t>Prod007</t>
  </si>
  <si>
    <t>Prod008</t>
  </si>
  <si>
    <t>Prod009</t>
  </si>
  <si>
    <t>Prod010</t>
  </si>
  <si>
    <t>Prod011</t>
  </si>
  <si>
    <t>Prod012</t>
  </si>
  <si>
    <t>Prod013</t>
  </si>
  <si>
    <t>Prod014</t>
  </si>
  <si>
    <t>Prod015</t>
  </si>
  <si>
    <t>Prod016</t>
  </si>
  <si>
    <t>Prod017</t>
  </si>
  <si>
    <t>Prod018</t>
  </si>
  <si>
    <t>Prod019</t>
  </si>
  <si>
    <t>Prod020</t>
  </si>
  <si>
    <t>Prod021</t>
  </si>
  <si>
    <t>Prod022</t>
  </si>
  <si>
    <t>Distribution_x000D_</t>
  </si>
  <si>
    <t>Prod023</t>
  </si>
  <si>
    <t>Prod024</t>
  </si>
  <si>
    <t>Prod025</t>
  </si>
  <si>
    <t>Prod026</t>
  </si>
  <si>
    <t>Prod027</t>
  </si>
  <si>
    <t>Prod028</t>
  </si>
  <si>
    <t>Prod029</t>
  </si>
  <si>
    <t>Prod030</t>
  </si>
  <si>
    <t>Prod031</t>
  </si>
  <si>
    <t>Prod032</t>
  </si>
  <si>
    <t>Prod033</t>
  </si>
  <si>
    <t>Prod034</t>
  </si>
  <si>
    <t>Prod035</t>
  </si>
  <si>
    <t>Prod036</t>
  </si>
  <si>
    <t>Prod037</t>
  </si>
  <si>
    <t>Prod038</t>
  </si>
  <si>
    <t>Prod039</t>
  </si>
  <si>
    <t>Prod040</t>
  </si>
  <si>
    <t>Prod041</t>
  </si>
  <si>
    <t>Prod042</t>
  </si>
  <si>
    <t>Prod043</t>
  </si>
  <si>
    <t>Prod044</t>
  </si>
  <si>
    <t>Prod045</t>
  </si>
  <si>
    <t>Prod046</t>
  </si>
  <si>
    <t>Prod047</t>
  </si>
  <si>
    <t>Prod048</t>
  </si>
  <si>
    <t>Prod049</t>
  </si>
  <si>
    <t>Prod050</t>
  </si>
  <si>
    <t>Prod051</t>
  </si>
  <si>
    <t>Prod052</t>
  </si>
  <si>
    <t>Prod053</t>
  </si>
  <si>
    <t>Prod054</t>
  </si>
  <si>
    <t>Prod055</t>
  </si>
  <si>
    <t>Prod056</t>
  </si>
  <si>
    <t>Prod057</t>
  </si>
  <si>
    <t>Prod058</t>
  </si>
  <si>
    <t>Prod059</t>
  </si>
  <si>
    <t>Prod060</t>
  </si>
  <si>
    <t>Prod061</t>
  </si>
  <si>
    <t>Prod062</t>
  </si>
  <si>
    <t>Prod063</t>
  </si>
  <si>
    <t>Prod064</t>
  </si>
  <si>
    <t>Prod065</t>
  </si>
  <si>
    <t>Prod066</t>
  </si>
  <si>
    <t>Prod067</t>
  </si>
  <si>
    <t>Prod068</t>
  </si>
  <si>
    <t>Prod069</t>
  </si>
  <si>
    <t>Prod070</t>
  </si>
  <si>
    <t>Prod071</t>
  </si>
  <si>
    <t>Prod072</t>
  </si>
  <si>
    <t>Prod073</t>
  </si>
  <si>
    <t>Prod074</t>
  </si>
  <si>
    <t>Prod075</t>
  </si>
  <si>
    <t>Prod076</t>
  </si>
  <si>
    <t>Prod077</t>
  </si>
  <si>
    <t>Prod078</t>
  </si>
  <si>
    <t>Prod079</t>
  </si>
  <si>
    <t>Prod080</t>
  </si>
  <si>
    <t>Prod081</t>
  </si>
  <si>
    <t>Prod082</t>
  </si>
  <si>
    <t>Prod083</t>
  </si>
  <si>
    <t>Prod084</t>
  </si>
  <si>
    <t>Prod085</t>
  </si>
  <si>
    <t>Prod086</t>
  </si>
  <si>
    <t>Prod087</t>
  </si>
  <si>
    <t>Prod088</t>
  </si>
  <si>
    <t>Prod089</t>
  </si>
  <si>
    <t>Prod090</t>
  </si>
  <si>
    <t>Prod091</t>
  </si>
  <si>
    <t>Prod092</t>
  </si>
  <si>
    <t>Prod093</t>
  </si>
  <si>
    <t>Prod094</t>
  </si>
  <si>
    <t>Prod095</t>
  </si>
  <si>
    <t>Prod096</t>
  </si>
  <si>
    <t>Prod097</t>
  </si>
  <si>
    <t>Prod098</t>
  </si>
  <si>
    <t>Prod099</t>
  </si>
  <si>
    <t>Prod100</t>
  </si>
  <si>
    <t>Prod101</t>
  </si>
  <si>
    <t>Prod102</t>
  </si>
  <si>
    <t>Prod103</t>
  </si>
  <si>
    <t>Prod104</t>
  </si>
  <si>
    <t>Prod105</t>
  </si>
  <si>
    <t>Prod106</t>
  </si>
  <si>
    <t>Prod107</t>
  </si>
  <si>
    <t>Prod108</t>
  </si>
  <si>
    <t>Prod109</t>
  </si>
  <si>
    <t>Prod110</t>
  </si>
  <si>
    <t>Prod111</t>
  </si>
  <si>
    <t>Prod112</t>
  </si>
  <si>
    <t>Prod113</t>
  </si>
  <si>
    <t>Prod114</t>
  </si>
  <si>
    <t>Prod115</t>
  </si>
  <si>
    <t>Prod116</t>
  </si>
  <si>
    <t>Prod117</t>
  </si>
  <si>
    <t>Prod118</t>
  </si>
  <si>
    <t>Prod119</t>
  </si>
  <si>
    <t>Prod120</t>
  </si>
  <si>
    <t>Prod121</t>
  </si>
  <si>
    <t>Prod122</t>
  </si>
  <si>
    <t>Prod123</t>
  </si>
  <si>
    <t>Prod124</t>
  </si>
  <si>
    <t>Prod125</t>
  </si>
  <si>
    <t>Prod126</t>
  </si>
  <si>
    <t>Prod127</t>
  </si>
  <si>
    <t>Prod128</t>
  </si>
  <si>
    <t>Prod129</t>
  </si>
  <si>
    <t>Prod130</t>
  </si>
  <si>
    <t>Prod131</t>
  </si>
  <si>
    <t>Prod132</t>
  </si>
  <si>
    <t>Prod133</t>
  </si>
  <si>
    <t>Prod134</t>
  </si>
  <si>
    <t>Prod135</t>
  </si>
  <si>
    <t>Prod136</t>
  </si>
  <si>
    <t>Prod137</t>
  </si>
  <si>
    <t>Prod138</t>
  </si>
  <si>
    <t>Prod139</t>
  </si>
  <si>
    <t>Prod140</t>
  </si>
  <si>
    <t>Prod141</t>
  </si>
  <si>
    <t>Prod142</t>
  </si>
  <si>
    <t>Prod143</t>
  </si>
  <si>
    <t>Prod144</t>
  </si>
  <si>
    <t>Prod145</t>
  </si>
  <si>
    <t>Prod146</t>
  </si>
  <si>
    <t>Prod147</t>
  </si>
  <si>
    <t>Prod148</t>
  </si>
  <si>
    <t>Prod149</t>
  </si>
  <si>
    <t>Prod150</t>
  </si>
  <si>
    <t>Prod151</t>
  </si>
  <si>
    <t>Prod152</t>
  </si>
  <si>
    <t>Prod153</t>
  </si>
  <si>
    <t>Prod154</t>
  </si>
  <si>
    <t>Prod155</t>
  </si>
  <si>
    <t>Prod156</t>
  </si>
  <si>
    <t>Prod157</t>
  </si>
  <si>
    <t>Prod158</t>
  </si>
  <si>
    <t>Prod159</t>
  </si>
  <si>
    <t>Prod160</t>
  </si>
  <si>
    <t>Prod161</t>
  </si>
  <si>
    <t>Prod162</t>
  </si>
  <si>
    <t>Prod163</t>
  </si>
  <si>
    <t>Prod164</t>
  </si>
  <si>
    <t>Prod165</t>
  </si>
  <si>
    <t>Prod166</t>
  </si>
  <si>
    <t>Prod167</t>
  </si>
  <si>
    <t>Prod168</t>
  </si>
  <si>
    <t>Prod169</t>
  </si>
  <si>
    <t>Prod170</t>
  </si>
  <si>
    <t>Prod171</t>
  </si>
  <si>
    <t>Prod172</t>
  </si>
  <si>
    <t>Prod173</t>
  </si>
  <si>
    <t>Prod174</t>
  </si>
  <si>
    <t>Prod175</t>
  </si>
  <si>
    <t>Prod176</t>
  </si>
  <si>
    <t>Prod177</t>
  </si>
  <si>
    <t>Prod178</t>
  </si>
  <si>
    <t>Prod179</t>
  </si>
  <si>
    <t>Prod180</t>
  </si>
  <si>
    <t>Prod181</t>
  </si>
  <si>
    <t>Prod182</t>
  </si>
  <si>
    <t>Prod183</t>
  </si>
  <si>
    <t>Prod184</t>
  </si>
  <si>
    <t>Prod185</t>
  </si>
  <si>
    <t>Prod186</t>
  </si>
  <si>
    <t>Prod187</t>
  </si>
  <si>
    <t>Prod188</t>
  </si>
  <si>
    <t>Prod189</t>
  </si>
  <si>
    <t>Prod190</t>
  </si>
  <si>
    <t>Prod191</t>
  </si>
  <si>
    <t>Prod192</t>
  </si>
  <si>
    <t>Prod193</t>
  </si>
  <si>
    <t>Prod194</t>
  </si>
  <si>
    <t>Prod195</t>
  </si>
  <si>
    <t>Prod196</t>
  </si>
  <si>
    <t>Prod197</t>
  </si>
  <si>
    <t>Prod198</t>
  </si>
  <si>
    <t>Prod199</t>
  </si>
  <si>
    <t>Prod200</t>
  </si>
  <si>
    <t>Prod201</t>
  </si>
  <si>
    <t>Prod202</t>
  </si>
  <si>
    <t>Prod203</t>
  </si>
  <si>
    <t>Prod204</t>
  </si>
  <si>
    <t>Prod205</t>
  </si>
  <si>
    <t>Prod206</t>
  </si>
  <si>
    <t>Prod207</t>
  </si>
  <si>
    <t>Prod208</t>
  </si>
  <si>
    <t>Prod209</t>
  </si>
  <si>
    <t>Prod210</t>
  </si>
  <si>
    <t>Prod211</t>
  </si>
  <si>
    <t>Prod212</t>
  </si>
  <si>
    <t>Prod213</t>
  </si>
  <si>
    <t>Prod214</t>
  </si>
  <si>
    <t>Prod215</t>
  </si>
  <si>
    <t>Prod216</t>
  </si>
  <si>
    <t>Prod217</t>
  </si>
  <si>
    <t>Prod218</t>
  </si>
  <si>
    <t>Prod219</t>
  </si>
  <si>
    <t>Prod220</t>
  </si>
  <si>
    <t>Prod221</t>
  </si>
  <si>
    <t>Prod222</t>
  </si>
  <si>
    <t>Prod223</t>
  </si>
  <si>
    <t>Prod224</t>
  </si>
  <si>
    <t>Prod225</t>
  </si>
  <si>
    <t>Prod226</t>
  </si>
  <si>
    <t>Prod227</t>
  </si>
  <si>
    <t>Prod228</t>
  </si>
  <si>
    <t>Prod229</t>
  </si>
  <si>
    <t>Prod230</t>
  </si>
  <si>
    <t>Prod231</t>
  </si>
  <si>
    <t>Prod232</t>
  </si>
  <si>
    <t>Prod233</t>
  </si>
  <si>
    <t>Prod234</t>
  </si>
  <si>
    <t>Prod235</t>
  </si>
  <si>
    <t>Prod236</t>
  </si>
  <si>
    <t>Prod237</t>
  </si>
  <si>
    <t>Prod238</t>
  </si>
  <si>
    <t>Prod239</t>
  </si>
  <si>
    <t>Prod240</t>
  </si>
  <si>
    <t>Prod241</t>
  </si>
  <si>
    <t>Prod242</t>
  </si>
  <si>
    <t>Prod243</t>
  </si>
  <si>
    <t>Prod244</t>
  </si>
  <si>
    <t>Prod245</t>
  </si>
  <si>
    <t>Prod246</t>
  </si>
  <si>
    <t>Prod247</t>
  </si>
  <si>
    <t>Prod248</t>
  </si>
  <si>
    <t>Prod249</t>
  </si>
  <si>
    <t>Prod250</t>
  </si>
  <si>
    <t>Prod251</t>
  </si>
  <si>
    <t>Prod252</t>
  </si>
  <si>
    <t>Prod253</t>
  </si>
  <si>
    <t>Prod254</t>
  </si>
  <si>
    <t>Prod255</t>
  </si>
  <si>
    <t>Prod256</t>
  </si>
  <si>
    <t>Prod257</t>
  </si>
  <si>
    <t>Prod258</t>
  </si>
  <si>
    <t>Prod259</t>
  </si>
  <si>
    <t>Prod260</t>
  </si>
  <si>
    <t>Prod261</t>
  </si>
  <si>
    <t>Prod262</t>
  </si>
  <si>
    <t>Prod263</t>
  </si>
  <si>
    <t>Prod264</t>
  </si>
  <si>
    <t>Prod265</t>
  </si>
  <si>
    <t>Prod266</t>
  </si>
  <si>
    <t>Prod267</t>
  </si>
  <si>
    <t>Prod268</t>
  </si>
  <si>
    <t>Prod269</t>
  </si>
  <si>
    <t>Prod270</t>
  </si>
  <si>
    <t>Prod271</t>
  </si>
  <si>
    <t>Prod272</t>
  </si>
  <si>
    <t>Prod273</t>
  </si>
  <si>
    <t>Prod274</t>
  </si>
  <si>
    <t>Prod275</t>
  </si>
  <si>
    <t>Prod276</t>
  </si>
  <si>
    <t>Prod277</t>
  </si>
  <si>
    <t>Prod278</t>
  </si>
  <si>
    <t>Prod279</t>
  </si>
  <si>
    <t>market_code</t>
  </si>
  <si>
    <t>order_date</t>
  </si>
  <si>
    <t>sales_qty</t>
  </si>
  <si>
    <t>sales_amount</t>
  </si>
  <si>
    <t>currency</t>
  </si>
  <si>
    <t>INR</t>
  </si>
  <si>
    <t>USD</t>
  </si>
  <si>
    <t>INR_x000D_</t>
  </si>
  <si>
    <t>USD_x000D_</t>
  </si>
  <si>
    <t>Product_type2</t>
  </si>
  <si>
    <t>Sales_amount2</t>
  </si>
  <si>
    <t>Sum of sales_amount</t>
  </si>
  <si>
    <t>Row Labels</t>
  </si>
  <si>
    <t>Grand Total</t>
  </si>
  <si>
    <t>2017</t>
  </si>
  <si>
    <t>2018</t>
  </si>
  <si>
    <t>2019</t>
  </si>
  <si>
    <t>2020</t>
  </si>
  <si>
    <t>Sum of sales_qty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</si>
</sst>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sales by market_name</a:t>
            </a:r>
          </a:p>
        </c:rich>
      </c:tx>
      <c:layout>
        <c:manualLayout>
          <c:xMode val="edge"/>
          <c:yMode val="edge"/>
          <c:x val="0.2859589956915763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pivots!$A$8:$A$15</c:f>
              <c:strCache>
                <c:ptCount val="7"/>
                <c:pt idx="0">
                  <c:v>Ahmedabad</c:v>
                </c:pt>
                <c:pt idx="1">
                  <c:v>Bhopal</c:v>
                </c:pt>
                <c:pt idx="2">
                  <c:v>Chennai</c:v>
                </c:pt>
                <c:pt idx="3">
                  <c:v>Delhi NCR</c:v>
                </c:pt>
                <c:pt idx="4">
                  <c:v>Kanpur</c:v>
                </c:pt>
                <c:pt idx="5">
                  <c:v>Lucknow</c:v>
                </c:pt>
                <c:pt idx="6">
                  <c:v>Mumbai</c:v>
                </c:pt>
              </c:strCache>
            </c:strRef>
          </c:cat>
          <c:val>
            <c:numRef>
              <c:f>pivots!$B$8:$B$15</c:f>
              <c:numCache>
                <c:formatCode>General</c:formatCode>
                <c:ptCount val="7"/>
                <c:pt idx="0">
                  <c:v>1027488</c:v>
                </c:pt>
                <c:pt idx="1">
                  <c:v>88388</c:v>
                </c:pt>
                <c:pt idx="2">
                  <c:v>485083</c:v>
                </c:pt>
                <c:pt idx="3">
                  <c:v>4098717</c:v>
                </c:pt>
                <c:pt idx="4">
                  <c:v>434883</c:v>
                </c:pt>
                <c:pt idx="5">
                  <c:v>105333</c:v>
                </c:pt>
                <c:pt idx="6">
                  <c:v>6539584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2-458A-87AC-156323241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848833407"/>
        <c:axId val="1848831487"/>
      </c:barChart>
      <c:catAx>
        <c:axId val="184883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831487"/>
        <c:crosses val="autoZero"/>
        <c:auto val="1"/>
        <c:lblAlgn val="ctr"/>
        <c:lblOffset val="100"/>
        <c:noMultiLvlLbl val="0"/>
      </c:catAx>
      <c:valAx>
        <c:axId val="1848831487"/>
        <c:scaling>
          <c:logBase val="10"/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48833407"/>
        <c:crosses val="autoZero"/>
        <c:crossBetween val="between"/>
        <c:minorUnit val="100000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store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pivots!$B$21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BB38-4113-AE21-40201159C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BB38-4113-AE21-40201159C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BB38-4113-AE21-40201159C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BB38-4113-AE21-40201159C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BB38-4113-AE21-40201159CD1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BB38-4113-AE21-40201159CD1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BB38-4113-AE21-40201159CD1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BB38-4113-AE21-40201159CD1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BB38-4113-AE21-40201159CD1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BB38-4113-AE21-40201159C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pivots!$A$22:$A$27</c:f>
              <c:strCache>
                <c:ptCount val="5"/>
                <c:pt idx="0">
                  <c:v>Electricalsara Stores</c:v>
                </c:pt>
                <c:pt idx="1">
                  <c:v>Electricalslytical</c:v>
                </c:pt>
                <c:pt idx="2">
                  <c:v>Info Stores</c:v>
                </c:pt>
                <c:pt idx="3">
                  <c:v>Logic Stores</c:v>
                </c:pt>
                <c:pt idx="4">
                  <c:v>Path</c:v>
                </c:pt>
              </c:strCache>
            </c:strRef>
          </c:cat>
          <c:val>
            <c:numRef>
              <c:f>pivots!$B$22:$B$27</c:f>
              <c:numCache>
                <c:formatCode>General</c:formatCode>
                <c:ptCount val="5"/>
                <c:pt idx="0">
                  <c:v>2359181</c:v>
                </c:pt>
                <c:pt idx="1">
                  <c:v>2289335</c:v>
                </c:pt>
                <c:pt idx="2">
                  <c:v>966470</c:v>
                </c:pt>
                <c:pt idx="3">
                  <c:v>1819465</c:v>
                </c:pt>
                <c:pt idx="4">
                  <c:v>1883686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8-4113-AE21-40201159CD1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[sales_analysis.xlsx]pivots!PivotTable4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85451512292928"/>
          <c:y val="0.10366867383005413"/>
          <c:w val="0.74525352531859268"/>
          <c:h val="0.764200295496534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pivots!$B$32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pivots!$A$33:$A$35</c:f>
              <c:strCache>
                <c:ptCount val="2"/>
                <c:pt idx="0">
                  <c:v>Brick &amp; Mortar</c:v>
                </c:pt>
                <c:pt idx="1">
                  <c:v>E-Commerce</c:v>
                </c:pt>
              </c:strCache>
            </c:strRef>
          </c:cat>
          <c:val>
            <c:numRef>
              <c:f>pivots!$B$33:$B$35</c:f>
              <c:numCache>
                <c:formatCode>General</c:formatCode>
                <c:ptCount val="2"/>
                <c:pt idx="0">
                  <c:v>7562329</c:v>
                </c:pt>
                <c:pt idx="1">
                  <c:v>5217147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09-4223-8FED-BD77A0999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7808895"/>
        <c:axId val="2047809375"/>
      </c:barChart>
      <c:catAx>
        <c:axId val="2047808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809375"/>
        <c:crosses val="autoZero"/>
        <c:auto val="1"/>
        <c:lblAlgn val="ctr"/>
        <c:lblOffset val="100"/>
        <c:noMultiLvlLbl val="0"/>
      </c:catAx>
      <c:valAx>
        <c:axId val="2047809375"/>
        <c:scaling>
          <c:logBase val="5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808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pivots!$B$40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pivots!$A$41:$A$59</c:f>
              <c:strCache>
                <c:ptCount val="18"/>
                <c:pt idx="0">
                  <c:v>Prod001</c:v>
                </c:pt>
                <c:pt idx="1">
                  <c:v>Prod002</c:v>
                </c:pt>
                <c:pt idx="2">
                  <c:v>Prod003</c:v>
                </c:pt>
                <c:pt idx="3">
                  <c:v>Prod004</c:v>
                </c:pt>
                <c:pt idx="4">
                  <c:v>Prod005</c:v>
                </c:pt>
                <c:pt idx="5">
                  <c:v>Prod006</c:v>
                </c:pt>
                <c:pt idx="6">
                  <c:v>Prod007</c:v>
                </c:pt>
                <c:pt idx="7">
                  <c:v>Prod008</c:v>
                </c:pt>
                <c:pt idx="8">
                  <c:v>Prod009</c:v>
                </c:pt>
                <c:pt idx="9">
                  <c:v>Prod010</c:v>
                </c:pt>
                <c:pt idx="10">
                  <c:v>Prod011</c:v>
                </c:pt>
                <c:pt idx="11">
                  <c:v>Prod012</c:v>
                </c:pt>
                <c:pt idx="12">
                  <c:v>Prod013</c:v>
                </c:pt>
                <c:pt idx="13">
                  <c:v>Prod014</c:v>
                </c:pt>
                <c:pt idx="14">
                  <c:v>Prod015</c:v>
                </c:pt>
                <c:pt idx="15">
                  <c:v>Prod016</c:v>
                </c:pt>
                <c:pt idx="16">
                  <c:v>Prod017</c:v>
                </c:pt>
                <c:pt idx="17">
                  <c:v>Prod018</c:v>
                </c:pt>
              </c:strCache>
            </c:strRef>
          </c:cat>
          <c:val>
            <c:numRef>
              <c:f>pivots!$B$41:$B$59</c:f>
              <c:numCache>
                <c:formatCode>General</c:formatCode>
                <c:ptCount val="18"/>
                <c:pt idx="0">
                  <c:v>82482</c:v>
                </c:pt>
                <c:pt idx="1">
                  <c:v>17268</c:v>
                </c:pt>
                <c:pt idx="2">
                  <c:v>724546</c:v>
                </c:pt>
                <c:pt idx="3">
                  <c:v>59852</c:v>
                </c:pt>
                <c:pt idx="4">
                  <c:v>1265146</c:v>
                </c:pt>
                <c:pt idx="5">
                  <c:v>10100</c:v>
                </c:pt>
                <c:pt idx="6">
                  <c:v>12436</c:v>
                </c:pt>
                <c:pt idx="7">
                  <c:v>35408</c:v>
                </c:pt>
                <c:pt idx="8">
                  <c:v>131160</c:v>
                </c:pt>
                <c:pt idx="9">
                  <c:v>295006</c:v>
                </c:pt>
                <c:pt idx="10">
                  <c:v>410060</c:v>
                </c:pt>
                <c:pt idx="11">
                  <c:v>59296</c:v>
                </c:pt>
                <c:pt idx="12">
                  <c:v>630628</c:v>
                </c:pt>
                <c:pt idx="13">
                  <c:v>8574</c:v>
                </c:pt>
                <c:pt idx="14">
                  <c:v>27708</c:v>
                </c:pt>
                <c:pt idx="15">
                  <c:v>1997834</c:v>
                </c:pt>
                <c:pt idx="16">
                  <c:v>656766</c:v>
                </c:pt>
                <c:pt idx="17">
                  <c:v>6355206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6-4E09-AC08-6A9C1A9B0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4648319"/>
        <c:axId val="894649279"/>
      </c:lineChart>
      <c:catAx>
        <c:axId val="89464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649279"/>
        <c:crosses val="autoZero"/>
        <c:auto val="1"/>
        <c:lblAlgn val="ctr"/>
        <c:lblOffset val="100"/>
        <c:noMultiLvlLbl val="0"/>
      </c:catAx>
      <c:valAx>
        <c:axId val="89464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64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349793</xdr:colOff>
      <xdr:row>3</xdr:row>
      <xdr:rowOff>173808</xdr:rowOff>
    </xdr:from>
    <xdr:to>
      <xdr:col>8</xdr:col>
      <xdr:colOff>164536</xdr:colOff>
      <xdr:row>14</xdr:row>
      <xdr:rowOff>122094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02C14D-D9DB-0A19-9440-204CBB50D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150395</xdr:colOff>
      <xdr:row>11</xdr:row>
      <xdr:rowOff>20654</xdr:rowOff>
    </xdr:from>
    <xdr:to>
      <xdr:col>8</xdr:col>
      <xdr:colOff>13235</xdr:colOff>
      <xdr:row>23</xdr:row>
      <xdr:rowOff>159218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5950B1-EB65-B483-7497-D3AE9B10D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182746</xdr:colOff>
      <xdr:row>25</xdr:row>
      <xdr:rowOff>20626</xdr:rowOff>
    </xdr:from>
    <xdr:to>
      <xdr:col>8</xdr:col>
      <xdr:colOff>454526</xdr:colOff>
      <xdr:row>35</xdr:row>
      <xdr:rowOff>53474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88B26F-B153-25C5-0BDE-35D53501E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414421</xdr:colOff>
      <xdr:row>39</xdr:row>
      <xdr:rowOff>173790</xdr:rowOff>
    </xdr:from>
    <xdr:to>
      <xdr:col>8</xdr:col>
      <xdr:colOff>225545</xdr:colOff>
      <xdr:row>57</xdr:row>
      <xdr:rowOff>157174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57BC20-1CE1-62F3-896E-42DFC82C3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148.410247106483" createdVersion="8" refreshedVersion="8" minRefreshableVersion="3" recordCount="991" xr:uid="{29A872E8-11FA-40A8-8CD2-E2D63C2349A5}">
  <cacheSource type="worksheet">
    <worksheetSource name="transactions_table8"/>
  </cacheSource>
  <cacheFields count="16">
    <cacheField name="product_code" numFmtId="0">
      <sharedItems count="18">
        <s v="Prod001"/>
        <s v="Prod002"/>
        <s v="Prod003"/>
        <s v="Prod004"/>
        <s v="Prod005"/>
        <s v="Prod006"/>
        <s v="Prod007"/>
        <s v="Prod008"/>
        <s v="Prod009"/>
        <s v="Prod010"/>
        <s v="Prod011"/>
        <s v="Prod012"/>
        <s v="Prod013"/>
        <s v="Prod014"/>
        <s v="Prod015"/>
        <s v="Prod016"/>
        <s v="Prod017"/>
        <s v="Prod018"/>
      </sharedItems>
    </cacheField>
    <cacheField name="customer_code" numFmtId="0">
      <sharedItems count="24">
        <s v="Cus001"/>
        <s v="Cus003"/>
        <s v="Cus004"/>
        <s v="Cus005"/>
        <s v="Cus006"/>
        <s v="Cus007"/>
        <s v="Cus008"/>
        <s v="Cus009"/>
        <s v="Cus010"/>
        <s v="Cus011"/>
        <s v="Cus012"/>
        <s v="Cus013"/>
        <s v="Cus014"/>
        <s v="Cus016"/>
        <s v="Cus017"/>
        <s v="Cus019"/>
        <s v="Cus020"/>
        <s v="Cus002"/>
        <s v="Cus021"/>
        <s v="Cus022"/>
        <s v="Cus023"/>
        <s v="Cus024"/>
        <s v="Cus025"/>
        <s v="Cus026"/>
      </sharedItems>
    </cacheField>
    <cacheField name="market_code" numFmtId="0">
      <sharedItems count="7">
        <s v="Mark001"/>
        <s v="Mark003"/>
        <s v="Mark004"/>
        <s v="Mark005"/>
        <s v="Mark002"/>
        <s v="Mark007"/>
        <s v="Mark008"/>
      </sharedItems>
    </cacheField>
    <cacheField name="order_date" numFmtId="14">
      <sharedItems containsSemiMixedTypes="0" containsNonDate="0" containsDate="1" containsString="0" minDate="2017-10-05T00:00:00" maxDate="2020-06-17T00:00:00" count="365">
        <d v="2017-10-10T00:00:00"/>
        <d v="2018-04-06T00:00:00"/>
        <d v="2018-04-11T00:00:00"/>
        <d v="2018-06-18T00:00:00"/>
        <d v="2017-11-20T00:00:00"/>
        <d v="2017-11-22T00:00:00"/>
        <d v="2017-11-23T00:00:00"/>
        <d v="2017-11-27T00:00:00"/>
        <d v="2017-11-28T00:00:00"/>
        <d v="2017-11-29T00:00:00"/>
        <d v="2017-11-30T00:00:00"/>
        <d v="2017-12-19T00:00:00"/>
        <d v="2018-08-07T00:00:00"/>
        <d v="2017-12-04T00:00:00"/>
        <d v="2018-06-29T00:00:00"/>
        <d v="2018-07-02T00:00:00"/>
        <d v="2018-07-03T00:00:00"/>
        <d v="2018-07-04T00:00:00"/>
        <d v="2018-07-06T00:00:00"/>
        <d v="2018-07-13T00:00:00"/>
        <d v="2019-06-07T00:00:00"/>
        <d v="2019-07-29T00:00:00"/>
        <d v="2019-08-01T00:00:00"/>
        <d v="2019-09-19T00:00:00"/>
        <d v="2019-09-27T00:00:00"/>
        <d v="2017-10-09T00:00:00"/>
        <d v="2017-10-13T00:00:00"/>
        <d v="2017-10-27T00:00:00"/>
        <d v="2017-11-03T00:00:00"/>
        <d v="2017-11-06T00:00:00"/>
        <d v="2017-11-10T00:00:00"/>
        <d v="2017-11-16T00:00:00"/>
        <d v="2017-11-17T00:00:00"/>
        <d v="2017-12-08T00:00:00"/>
        <d v="2017-12-11T00:00:00"/>
        <d v="2017-12-18T00:00:00"/>
        <d v="2017-12-27T00:00:00"/>
        <d v="2017-12-28T00:00:00"/>
        <d v="2018-01-05T00:00:00"/>
        <d v="2018-01-08T00:00:00"/>
        <d v="2018-01-22T00:00:00"/>
        <d v="2018-02-21T00:00:00"/>
        <d v="2018-02-23T00:00:00"/>
        <d v="2018-08-03T00:00:00"/>
        <d v="2018-08-24T00:00:00"/>
        <d v="2018-09-21T00:00:00"/>
        <d v="2018-09-28T00:00:00"/>
        <d v="2018-11-09T00:00:00"/>
        <d v="2018-11-16T00:00:00"/>
        <d v="2018-12-07T00:00:00"/>
        <d v="2018-12-14T00:00:00"/>
        <d v="2019-01-25T00:00:00"/>
        <d v="2019-02-01T00:00:00"/>
        <d v="2019-02-08T00:00:00"/>
        <d v="2019-02-15T00:00:00"/>
        <d v="2019-02-22T00:00:00"/>
        <d v="2019-03-01T00:00:00"/>
        <d v="2019-03-08T00:00:00"/>
        <d v="2019-03-15T00:00:00"/>
        <d v="2019-03-22T00:00:00"/>
        <d v="2019-03-29T00:00:00"/>
        <d v="2019-04-05T00:00:00"/>
        <d v="2019-04-12T00:00:00"/>
        <d v="2019-04-23T00:00:00"/>
        <d v="2019-04-29T00:00:00"/>
        <d v="2019-05-06T00:00:00"/>
        <d v="2019-05-10T00:00:00"/>
        <d v="2019-05-17T00:00:00"/>
        <d v="2019-06-03T00:00:00"/>
        <d v="2019-06-17T00:00:00"/>
        <d v="2019-06-24T00:00:00"/>
        <d v="2019-06-28T00:00:00"/>
        <d v="2019-07-05T00:00:00"/>
        <d v="2019-07-12T00:00:00"/>
        <d v="2019-07-19T00:00:00"/>
        <d v="2019-07-26T00:00:00"/>
        <d v="2019-08-02T00:00:00"/>
        <d v="2019-08-09T00:00:00"/>
        <d v="2019-08-16T00:00:00"/>
        <d v="2019-09-02T00:00:00"/>
        <d v="2019-09-03T00:00:00"/>
        <d v="2019-09-06T00:00:00"/>
        <d v="2019-09-13T00:00:00"/>
        <d v="2019-09-20T00:00:00"/>
        <d v="2019-09-23T00:00:00"/>
        <d v="2019-10-07T00:00:00"/>
        <d v="2019-10-28T00:00:00"/>
        <d v="2019-11-08T00:00:00"/>
        <d v="2019-11-15T00:00:00"/>
        <d v="2019-11-22T00:00:00"/>
        <d v="2019-11-29T00:00:00"/>
        <d v="2019-12-06T00:00:00"/>
        <d v="2019-12-13T00:00:00"/>
        <d v="2019-12-20T00:00:00"/>
        <d v="2020-01-09T00:00:00"/>
        <d v="2020-01-10T00:00:00"/>
        <d v="2020-01-17T00:00:00"/>
        <d v="2020-02-07T00:00:00"/>
        <d v="2020-02-14T00:00:00"/>
        <d v="2020-02-28T00:00:00"/>
        <d v="2020-03-06T00:00:00"/>
        <d v="2020-03-13T00:00:00"/>
        <d v="2020-04-03T00:00:00"/>
        <d v="2020-04-14T00:00:00"/>
        <d v="2020-04-20T00:00:00"/>
        <d v="2020-05-15T00:00:00"/>
        <d v="2017-10-24T00:00:00"/>
        <d v="2017-10-25T00:00:00"/>
        <d v="2017-10-30T00:00:00"/>
        <d v="2017-12-12T00:00:00"/>
        <d v="2018-02-12T00:00:00"/>
        <d v="2018-10-19T00:00:00"/>
        <d v="2017-11-24T00:00:00"/>
        <d v="2018-11-14T00:00:00"/>
        <d v="2019-05-22T00:00:00"/>
        <d v="2019-05-23T00:00:00"/>
        <d v="2019-05-28T00:00:00"/>
        <d v="2019-05-29T00:00:00"/>
        <d v="2019-05-31T00:00:00"/>
        <d v="2019-06-04T00:00:00"/>
        <d v="2019-06-05T00:00:00"/>
        <d v="2019-06-06T00:00:00"/>
        <d v="2019-06-11T00:00:00"/>
        <d v="2019-06-12T00:00:00"/>
        <d v="2019-06-14T00:00:00"/>
        <d v="2019-06-18T00:00:00"/>
        <d v="2019-06-19T00:00:00"/>
        <d v="2018-04-23T00:00:00"/>
        <d v="2018-05-03T00:00:00"/>
        <d v="2018-05-04T00:00:00"/>
        <d v="2018-05-07T00:00:00"/>
        <d v="2018-05-09T00:00:00"/>
        <d v="2018-05-11T00:00:00"/>
        <d v="2018-05-16T00:00:00"/>
        <d v="2018-05-17T00:00:00"/>
        <d v="2018-05-18T00:00:00"/>
        <d v="2018-05-23T00:00:00"/>
        <d v="2018-05-24T00:00:00"/>
        <d v="2018-05-25T00:00:00"/>
        <d v="2018-05-28T00:00:00"/>
        <d v="2018-05-29T00:00:00"/>
        <d v="2018-05-30T00:00:00"/>
        <d v="2018-05-31T00:00:00"/>
        <d v="2018-06-01T00:00:00"/>
        <d v="2018-06-06T00:00:00"/>
        <d v="2018-06-07T00:00:00"/>
        <d v="2018-06-08T00:00:00"/>
        <d v="2018-06-11T00:00:00"/>
        <d v="2018-06-13T00:00:00"/>
        <d v="2018-06-14T00:00:00"/>
        <d v="2018-06-15T00:00:00"/>
        <d v="2018-06-21T00:00:00"/>
        <d v="2018-07-18T00:00:00"/>
        <d v="2018-07-19T00:00:00"/>
        <d v="2018-07-23T00:00:00"/>
        <d v="2018-07-30T00:00:00"/>
        <d v="2019-02-04T00:00:00"/>
        <d v="2019-02-20T00:00:00"/>
        <d v="2019-03-13T00:00:00"/>
        <d v="2019-03-28T00:00:00"/>
        <d v="2017-10-06T00:00:00"/>
        <d v="2017-10-20T00:00:00"/>
        <d v="2018-02-08T00:00:00"/>
        <d v="2018-02-16T00:00:00"/>
        <d v="2018-02-26T00:00:00"/>
        <d v="2018-03-01T00:00:00"/>
        <d v="2018-03-02T00:00:00"/>
        <d v="2018-03-05T00:00:00"/>
        <d v="2018-03-12T00:00:00"/>
        <d v="2018-04-03T00:00:00"/>
        <d v="2018-04-09T00:00:00"/>
        <d v="2018-04-13T00:00:00"/>
        <d v="2018-04-24T00:00:00"/>
        <d v="2018-04-26T00:00:00"/>
        <d v="2018-04-27T00:00:00"/>
        <d v="2018-05-14T00:00:00"/>
        <d v="2018-06-22T00:00:00"/>
        <d v="2018-07-09T00:00:00"/>
        <d v="2018-07-20T00:00:00"/>
        <d v="2018-07-27T00:00:00"/>
        <d v="2018-10-12T00:00:00"/>
        <d v="2018-10-17T00:00:00"/>
        <d v="2018-10-25T00:00:00"/>
        <d v="2018-10-26T00:00:00"/>
        <d v="2018-10-31T00:00:00"/>
        <d v="2018-11-05T00:00:00"/>
        <d v="2018-11-06T00:00:00"/>
        <d v="2018-12-21T00:00:00"/>
        <d v="2019-01-28T00:00:00"/>
        <d v="2019-07-15T00:00:00"/>
        <d v="2019-10-04T00:00:00"/>
        <d v="2019-10-18T00:00:00"/>
        <d v="2019-10-21T00:00:00"/>
        <d v="2019-10-25T00:00:00"/>
        <d v="2019-11-01T00:00:00"/>
        <d v="2019-11-04T00:00:00"/>
        <d v="2019-11-18T00:00:00"/>
        <d v="2020-06-12T00:00:00"/>
        <d v="2020-06-16T00:00:00"/>
        <d v="2018-06-05T00:00:00"/>
        <d v="2017-10-11T00:00:00"/>
        <d v="2017-10-16T00:00:00"/>
        <d v="2017-10-23T00:00:00"/>
        <d v="2017-11-02T00:00:00"/>
        <d v="2017-11-08T00:00:00"/>
        <d v="2017-11-14T00:00:00"/>
        <d v="2017-12-05T00:00:00"/>
        <d v="2017-12-15T00:00:00"/>
        <d v="2018-01-15T00:00:00"/>
        <d v="2018-02-06T00:00:00"/>
        <d v="2018-02-09T00:00:00"/>
        <d v="2018-02-14T00:00:00"/>
        <d v="2017-12-01T00:00:00"/>
        <d v="2018-03-22T00:00:00"/>
        <d v="2017-10-17T00:00:00"/>
        <d v="2017-11-21T00:00:00"/>
        <d v="2018-01-12T00:00:00"/>
        <d v="2018-02-22T00:00:00"/>
        <d v="2018-06-28T00:00:00"/>
        <d v="2018-07-11T00:00:00"/>
        <d v="2018-07-24T00:00:00"/>
        <d v="2018-07-25T00:00:00"/>
        <d v="2018-07-26T00:00:00"/>
        <d v="2018-07-31T00:00:00"/>
        <d v="2018-08-01T00:00:00"/>
        <d v="2018-08-02T00:00:00"/>
        <d v="2018-08-10T00:00:00"/>
        <d v="2018-08-15T00:00:00"/>
        <d v="2018-09-12T00:00:00"/>
        <d v="2018-09-13T00:00:00"/>
        <d v="2019-02-06T00:00:00"/>
        <d v="2019-05-08T00:00:00"/>
        <d v="2019-08-28T00:00:00"/>
        <d v="2019-10-10T00:00:00"/>
        <d v="2019-11-07T00:00:00"/>
        <d v="2017-10-05T00:00:00"/>
        <d v="2017-10-12T00:00:00"/>
        <d v="2017-12-06T00:00:00"/>
        <d v="2017-12-07T00:00:00"/>
        <d v="2017-12-14T00:00:00"/>
        <d v="2017-12-21T00:00:00"/>
        <d v="2017-12-22T00:00:00"/>
        <d v="2018-01-02T00:00:00"/>
        <d v="2018-01-16T00:00:00"/>
        <d v="2018-01-29T00:00:00"/>
        <d v="2018-02-01T00:00:00"/>
        <d v="2018-02-02T00:00:00"/>
        <d v="2018-04-10T00:00:00"/>
        <d v="2018-04-19T00:00:00"/>
        <d v="2018-05-08T00:00:00"/>
        <d v="2018-05-15T00:00:00"/>
        <d v="2018-06-04T00:00:00"/>
        <d v="2018-01-17T00:00:00"/>
        <d v="2018-03-06T00:00:00"/>
        <d v="2018-03-08T00:00:00"/>
        <d v="2018-03-09T00:00:00"/>
        <d v="2018-03-15T00:00:00"/>
        <d v="2018-03-19T00:00:00"/>
        <d v="2018-03-20T00:00:00"/>
        <d v="2018-03-21T00:00:00"/>
        <d v="2018-03-23T00:00:00"/>
        <d v="2018-03-27T00:00:00"/>
        <d v="2018-03-28T00:00:00"/>
        <d v="2018-03-29T00:00:00"/>
        <d v="2018-04-04T00:00:00"/>
        <d v="2018-04-12T00:00:00"/>
        <d v="2018-04-17T00:00:00"/>
        <d v="2018-04-18T00:00:00"/>
        <d v="2018-04-20T00:00:00"/>
        <d v="2018-04-30T00:00:00"/>
        <d v="2018-05-21T00:00:00"/>
        <d v="2018-05-22T00:00:00"/>
        <d v="2018-06-12T00:00:00"/>
        <d v="2018-06-19T00:00:00"/>
        <d v="2018-06-20T00:00:00"/>
        <d v="2018-06-25T00:00:00"/>
        <d v="2018-06-27T00:00:00"/>
        <d v="2018-07-05T00:00:00"/>
        <d v="2018-07-10T00:00:00"/>
        <d v="2018-07-12T00:00:00"/>
        <d v="2018-07-16T00:00:00"/>
        <d v="2018-07-17T00:00:00"/>
        <d v="2018-08-06T00:00:00"/>
        <d v="2018-08-08T00:00:00"/>
        <d v="2018-08-09T00:00:00"/>
        <d v="2018-08-13T00:00:00"/>
        <d v="2018-08-14T00:00:00"/>
        <d v="2018-08-17T00:00:00"/>
        <d v="2018-08-20T00:00:00"/>
        <d v="2018-08-21T00:00:00"/>
        <d v="2018-08-22T00:00:00"/>
        <d v="2018-08-23T00:00:00"/>
        <d v="2018-08-27T00:00:00"/>
        <d v="2018-08-29T00:00:00"/>
        <d v="2018-08-31T00:00:00"/>
        <d v="2018-09-03T00:00:00"/>
        <d v="2018-09-04T00:00:00"/>
        <d v="2018-09-06T00:00:00"/>
        <d v="2018-09-07T00:00:00"/>
        <d v="2018-09-10T00:00:00"/>
        <d v="2018-09-14T00:00:00"/>
        <d v="2018-09-17T00:00:00"/>
        <d v="2018-09-18T00:00:00"/>
        <d v="2018-09-19T00:00:00"/>
        <d v="2018-09-24T00:00:00"/>
        <d v="2018-09-26T00:00:00"/>
        <d v="2018-09-27T00:00:00"/>
        <d v="2018-10-01T00:00:00"/>
        <d v="2018-10-02T00:00:00"/>
        <d v="2018-10-03T00:00:00"/>
        <d v="2018-10-08T00:00:00"/>
        <d v="2018-10-09T00:00:00"/>
        <d v="2018-10-11T00:00:00"/>
        <d v="2018-10-15T00:00:00"/>
        <d v="2018-10-18T00:00:00"/>
        <d v="2018-10-22T00:00:00"/>
        <d v="2018-10-23T00:00:00"/>
        <d v="2018-10-24T00:00:00"/>
        <d v="2018-10-29T00:00:00"/>
        <d v="2018-10-30T00:00:00"/>
        <d v="2018-11-01T00:00:00"/>
        <d v="2018-11-02T00:00:00"/>
        <d v="2018-11-07T00:00:00"/>
        <d v="2018-11-08T00:00:00"/>
        <d v="2018-11-12T00:00:00"/>
        <d v="2018-11-13T00:00:00"/>
        <d v="2018-11-15T00:00:00"/>
        <d v="2018-11-20T00:00:00"/>
        <d v="2018-11-21T00:00:00"/>
        <d v="2018-11-22T00:00:00"/>
        <d v="2018-11-23T00:00:00"/>
        <d v="2018-11-26T00:00:00"/>
        <d v="2018-11-27T00:00:00"/>
        <d v="2018-11-29T00:00:00"/>
        <d v="2018-12-03T00:00:00"/>
        <d v="2018-12-04T00:00:00"/>
        <d v="2018-12-06T00:00:00"/>
        <d v="2018-12-10T00:00:00"/>
        <d v="2018-12-12T00:00:00"/>
        <d v="2018-12-13T00:00:00"/>
        <d v="2018-12-17T00:00:00"/>
        <d v="2018-12-18T00:00:00"/>
        <d v="2018-12-20T00:00:00"/>
        <d v="2018-12-28T00:00:00"/>
        <d v="2019-01-04T00:00:00"/>
        <d v="2019-01-07T00:00:00"/>
        <d v="2019-01-08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1T00:00:00"/>
        <d v="2019-01-24T00:00:00"/>
        <d v="2019-01-30T00:00:00"/>
        <d v="2019-01-31T00:00:00"/>
        <d v="2019-02-05T00:00:00"/>
        <d v="2019-02-07T00:00:00"/>
        <d v="2019-02-11T00:00:00"/>
        <d v="2019-02-12T00:00:00"/>
        <d v="2019-02-13T00:00:00"/>
        <d v="2019-02-14T00:00:00"/>
        <d v="2019-02-18T00:00:00"/>
      </sharedItems>
      <fieldGroup par="15"/>
    </cacheField>
    <cacheField name="sales_qty" numFmtId="0">
      <sharedItems containsSemiMixedTypes="0" containsString="0" containsNumber="1" containsInteger="1" minValue="1" maxValue="310"/>
    </cacheField>
    <cacheField name="sales_amount" numFmtId="0">
      <sharedItems containsSemiMixedTypes="0" containsString="0" containsNumber="1" containsInteger="1" minValue="102" maxValue="251903"/>
    </cacheField>
    <cacheField name="currency" numFmtId="0">
      <sharedItems/>
    </cacheField>
    <cacheField name="product_type" numFmtId="0">
      <sharedItems/>
    </cacheField>
    <cacheField name="markets_name" numFmtId="0">
      <sharedItems count="7">
        <s v="Chennai"/>
        <s v="Ahmedabad"/>
        <s v="Delhi NCR"/>
        <s v="Kanpur"/>
        <s v="Mumbai"/>
        <s v="Bhopal"/>
        <s v="Lucknow"/>
      </sharedItems>
    </cacheField>
    <cacheField name="zone" numFmtId="0">
      <sharedItems count="3">
        <s v="South"/>
        <s v="North"/>
        <s v="Central"/>
      </sharedItems>
    </cacheField>
    <cacheField name="custmer_name" numFmtId="0">
      <sharedItems count="24">
        <s v="Surge Stores"/>
        <s v="Excel Stores"/>
        <s v="Surface Stores"/>
        <s v="Premium Stores"/>
        <s v="Electricalsara Stores"/>
        <s v="Info Stores"/>
        <s v="Acclaimed Stores"/>
        <s v="Electricalsquipo Stores"/>
        <s v="Atlas Stores"/>
        <s v="Flawless Stores"/>
        <s v="Integration Stores"/>
        <s v="Unity Stores"/>
        <s v="Forward Stores"/>
        <s v="Logic Stores"/>
        <s v="Epic Stores"/>
        <s v="Electricalsopedia Stores"/>
        <s v="Nixon"/>
        <s v="Nomad Stores"/>
        <s v="Modular"/>
        <s v="Electricalslytical"/>
        <s v="Sound"/>
        <s v="Power"/>
        <s v="Path"/>
        <s v="Insight"/>
      </sharedItems>
    </cacheField>
    <cacheField name="customer_type" numFmtId="0">
      <sharedItems count="2">
        <s v="Brick &amp; Mortar"/>
        <s v="E-Commerce"/>
      </sharedItems>
    </cacheField>
    <cacheField name="Sales_amount2" numFmtId="0">
      <sharedItems containsSemiMixedTypes="0" containsString="0" containsNumber="1" containsInteger="1" minValue="102" maxValue="251903"/>
    </cacheField>
    <cacheField name="Months (order_date)" numFmtId="0" databaseField="0">
      <fieldGroup base="3">
        <rangePr groupBy="months" startDate="2017-10-05T00:00:00" endDate="2020-06-17T00:00:00"/>
        <groupItems count="14">
          <s v="&lt;05-10-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7-06-2020"/>
        </groupItems>
      </fieldGroup>
    </cacheField>
    <cacheField name="Quarters (order_date)" numFmtId="0" databaseField="0">
      <fieldGroup base="3">
        <rangePr groupBy="quarters" startDate="2017-10-05T00:00:00" endDate="2020-06-17T00:00:00"/>
        <groupItems count="6">
          <s v="&lt;05-10-2017"/>
          <s v="Qtr1"/>
          <s v="Qtr2"/>
          <s v="Qtr3"/>
          <s v="Qtr4"/>
          <s v="&gt;17-06-2020"/>
        </groupItems>
      </fieldGroup>
    </cacheField>
    <cacheField name="Years (order_date)" numFmtId="0" databaseField="0">
      <fieldGroup base="3">
        <rangePr groupBy="years" startDate="2017-10-05T00:00:00" endDate="2020-06-17T00:00:00"/>
        <groupItems count="6">
          <s v="&lt;05-10-2017"/>
          <s v="2017"/>
          <s v="2018"/>
          <s v="2019"/>
          <s v="2020"/>
          <s v="&gt;17-06-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1">
  <r>
    <x v="0"/>
    <x v="0"/>
    <x v="0"/>
    <x v="0"/>
    <n v="100"/>
    <n v="41241"/>
    <s v="INR"/>
    <s v="Own Brand"/>
    <x v="0"/>
    <x v="0"/>
    <x v="0"/>
    <x v="0"/>
    <n v="41241"/>
  </r>
  <r>
    <x v="1"/>
    <x v="1"/>
    <x v="1"/>
    <x v="1"/>
    <n v="1"/>
    <n v="875"/>
    <s v="INR"/>
    <s v="Own Brand"/>
    <x v="1"/>
    <x v="1"/>
    <x v="1"/>
    <x v="0"/>
    <n v="875"/>
  </r>
  <r>
    <x v="1"/>
    <x v="1"/>
    <x v="1"/>
    <x v="2"/>
    <n v="1"/>
    <n v="583"/>
    <s v="INR"/>
    <s v="Own Brand"/>
    <x v="1"/>
    <x v="1"/>
    <x v="1"/>
    <x v="0"/>
    <n v="583"/>
  </r>
  <r>
    <x v="1"/>
    <x v="2"/>
    <x v="1"/>
    <x v="3"/>
    <n v="6"/>
    <n v="7176"/>
    <s v="INR"/>
    <s v="Own Brand"/>
    <x v="1"/>
    <x v="1"/>
    <x v="2"/>
    <x v="0"/>
    <n v="7176"/>
  </r>
  <r>
    <x v="2"/>
    <x v="3"/>
    <x v="2"/>
    <x v="4"/>
    <n v="59"/>
    <n v="500"/>
    <s v="USD"/>
    <s v="Own Brand"/>
    <x v="2"/>
    <x v="1"/>
    <x v="3"/>
    <x v="0"/>
    <n v="41500"/>
  </r>
  <r>
    <x v="2"/>
    <x v="3"/>
    <x v="2"/>
    <x v="5"/>
    <n v="36"/>
    <n v="250"/>
    <s v="USD"/>
    <s v="Own Brand"/>
    <x v="2"/>
    <x v="1"/>
    <x v="3"/>
    <x v="0"/>
    <n v="20750"/>
  </r>
  <r>
    <x v="2"/>
    <x v="3"/>
    <x v="2"/>
    <x v="6"/>
    <n v="39"/>
    <n v="21412"/>
    <s v="INR"/>
    <s v="Own Brand"/>
    <x v="2"/>
    <x v="1"/>
    <x v="3"/>
    <x v="0"/>
    <n v="21412"/>
  </r>
  <r>
    <x v="2"/>
    <x v="3"/>
    <x v="2"/>
    <x v="7"/>
    <n v="35"/>
    <n v="19213"/>
    <s v="INR"/>
    <s v="Own Brand"/>
    <x v="2"/>
    <x v="1"/>
    <x v="3"/>
    <x v="0"/>
    <n v="19213"/>
  </r>
  <r>
    <x v="2"/>
    <x v="3"/>
    <x v="2"/>
    <x v="8"/>
    <n v="310"/>
    <n v="170185"/>
    <s v="INR"/>
    <s v="Own Brand"/>
    <x v="2"/>
    <x v="1"/>
    <x v="3"/>
    <x v="0"/>
    <n v="170185"/>
  </r>
  <r>
    <x v="2"/>
    <x v="3"/>
    <x v="2"/>
    <x v="9"/>
    <n v="184"/>
    <n v="101194"/>
    <s v="INR"/>
    <s v="Own Brand"/>
    <x v="2"/>
    <x v="1"/>
    <x v="3"/>
    <x v="0"/>
    <n v="101194"/>
  </r>
  <r>
    <x v="2"/>
    <x v="3"/>
    <x v="2"/>
    <x v="10"/>
    <n v="35"/>
    <n v="19213"/>
    <s v="INR"/>
    <s v="Own Brand"/>
    <x v="2"/>
    <x v="1"/>
    <x v="3"/>
    <x v="0"/>
    <n v="19213"/>
  </r>
  <r>
    <x v="3"/>
    <x v="3"/>
    <x v="2"/>
    <x v="9"/>
    <n v="17"/>
    <n v="9426"/>
    <s v="INR"/>
    <s v="Own Brand"/>
    <x v="2"/>
    <x v="1"/>
    <x v="3"/>
    <x v="0"/>
    <n v="9426"/>
  </r>
  <r>
    <x v="3"/>
    <x v="3"/>
    <x v="2"/>
    <x v="11"/>
    <n v="1"/>
    <n v="218"/>
    <s v="INR"/>
    <s v="Own Brand"/>
    <x v="2"/>
    <x v="1"/>
    <x v="3"/>
    <x v="0"/>
    <n v="218"/>
  </r>
  <r>
    <x v="4"/>
    <x v="3"/>
    <x v="2"/>
    <x v="12"/>
    <n v="5"/>
    <n v="3093"/>
    <s v="INR"/>
    <s v="Own Brand"/>
    <x v="2"/>
    <x v="1"/>
    <x v="3"/>
    <x v="0"/>
    <n v="3093"/>
  </r>
  <r>
    <x v="2"/>
    <x v="4"/>
    <x v="2"/>
    <x v="13"/>
    <n v="58"/>
    <n v="30306"/>
    <s v="INR"/>
    <s v="Own Brand"/>
    <x v="2"/>
    <x v="1"/>
    <x v="4"/>
    <x v="0"/>
    <n v="30306"/>
  </r>
  <r>
    <x v="4"/>
    <x v="4"/>
    <x v="2"/>
    <x v="14"/>
    <n v="38"/>
    <n v="52319"/>
    <s v="INR"/>
    <s v="Own Brand"/>
    <x v="2"/>
    <x v="1"/>
    <x v="4"/>
    <x v="0"/>
    <n v="52319"/>
  </r>
  <r>
    <x v="4"/>
    <x v="4"/>
    <x v="2"/>
    <x v="15"/>
    <n v="93"/>
    <n v="126296"/>
    <s v="INR"/>
    <s v="Own Brand"/>
    <x v="2"/>
    <x v="1"/>
    <x v="4"/>
    <x v="0"/>
    <n v="126296"/>
  </r>
  <r>
    <x v="4"/>
    <x v="4"/>
    <x v="2"/>
    <x v="16"/>
    <n v="79"/>
    <n v="107500"/>
    <s v="INR"/>
    <s v="Own Brand"/>
    <x v="2"/>
    <x v="1"/>
    <x v="4"/>
    <x v="0"/>
    <n v="107500"/>
  </r>
  <r>
    <x v="4"/>
    <x v="4"/>
    <x v="2"/>
    <x v="17"/>
    <n v="1"/>
    <n v="273"/>
    <s v="INR"/>
    <s v="Own Brand"/>
    <x v="2"/>
    <x v="1"/>
    <x v="4"/>
    <x v="0"/>
    <n v="273"/>
  </r>
  <r>
    <x v="4"/>
    <x v="4"/>
    <x v="2"/>
    <x v="18"/>
    <n v="3"/>
    <n v="3574"/>
    <s v="INR"/>
    <s v="Own Brand"/>
    <x v="2"/>
    <x v="1"/>
    <x v="4"/>
    <x v="0"/>
    <n v="3574"/>
  </r>
  <r>
    <x v="4"/>
    <x v="4"/>
    <x v="2"/>
    <x v="19"/>
    <n v="1"/>
    <n v="273"/>
    <s v="INR"/>
    <s v="Own Brand"/>
    <x v="2"/>
    <x v="1"/>
    <x v="4"/>
    <x v="0"/>
    <n v="273"/>
  </r>
  <r>
    <x v="4"/>
    <x v="4"/>
    <x v="2"/>
    <x v="20"/>
    <n v="20"/>
    <n v="23403"/>
    <s v="INR"/>
    <s v="Own Brand"/>
    <x v="2"/>
    <x v="1"/>
    <x v="4"/>
    <x v="0"/>
    <n v="23403"/>
  </r>
  <r>
    <x v="4"/>
    <x v="4"/>
    <x v="2"/>
    <x v="21"/>
    <n v="81"/>
    <n v="76329"/>
    <s v="INR"/>
    <s v="Own Brand"/>
    <x v="2"/>
    <x v="1"/>
    <x v="4"/>
    <x v="0"/>
    <n v="76329"/>
  </r>
  <r>
    <x v="4"/>
    <x v="4"/>
    <x v="2"/>
    <x v="22"/>
    <n v="5"/>
    <n v="4542"/>
    <s v="INR"/>
    <s v="Own Brand"/>
    <x v="2"/>
    <x v="1"/>
    <x v="4"/>
    <x v="0"/>
    <n v="4542"/>
  </r>
  <r>
    <x v="4"/>
    <x v="4"/>
    <x v="2"/>
    <x v="23"/>
    <n v="18"/>
    <n v="16579"/>
    <s v="INR"/>
    <s v="Own Brand"/>
    <x v="2"/>
    <x v="1"/>
    <x v="4"/>
    <x v="0"/>
    <n v="16579"/>
  </r>
  <r>
    <x v="4"/>
    <x v="4"/>
    <x v="2"/>
    <x v="24"/>
    <n v="90"/>
    <n v="105301"/>
    <s v="INR"/>
    <s v="Own Brand"/>
    <x v="2"/>
    <x v="1"/>
    <x v="4"/>
    <x v="0"/>
    <n v="105301"/>
  </r>
  <r>
    <x v="3"/>
    <x v="5"/>
    <x v="2"/>
    <x v="25"/>
    <n v="1"/>
    <n v="185"/>
    <s v="INR"/>
    <s v="Own Brand"/>
    <x v="2"/>
    <x v="1"/>
    <x v="5"/>
    <x v="0"/>
    <n v="185"/>
  </r>
  <r>
    <x v="3"/>
    <x v="5"/>
    <x v="2"/>
    <x v="26"/>
    <n v="1"/>
    <n v="556"/>
    <s v="INR"/>
    <s v="Own Brand"/>
    <x v="2"/>
    <x v="1"/>
    <x v="5"/>
    <x v="0"/>
    <n v="556"/>
  </r>
  <r>
    <x v="3"/>
    <x v="5"/>
    <x v="2"/>
    <x v="27"/>
    <n v="1"/>
    <n v="551"/>
    <s v="INR"/>
    <s v="Own Brand"/>
    <x v="2"/>
    <x v="1"/>
    <x v="5"/>
    <x v="0"/>
    <n v="551"/>
  </r>
  <r>
    <x v="3"/>
    <x v="5"/>
    <x v="2"/>
    <x v="28"/>
    <n v="1"/>
    <n v="167"/>
    <s v="INR"/>
    <s v="Own Brand"/>
    <x v="2"/>
    <x v="1"/>
    <x v="5"/>
    <x v="0"/>
    <n v="167"/>
  </r>
  <r>
    <x v="3"/>
    <x v="5"/>
    <x v="2"/>
    <x v="29"/>
    <n v="1"/>
    <n v="333"/>
    <s v="INR"/>
    <s v="Own Brand"/>
    <x v="2"/>
    <x v="1"/>
    <x v="5"/>
    <x v="0"/>
    <n v="333"/>
  </r>
  <r>
    <x v="3"/>
    <x v="5"/>
    <x v="2"/>
    <x v="30"/>
    <n v="1"/>
    <n v="500"/>
    <s v="INR"/>
    <s v="Own Brand"/>
    <x v="2"/>
    <x v="1"/>
    <x v="5"/>
    <x v="0"/>
    <n v="500"/>
  </r>
  <r>
    <x v="3"/>
    <x v="5"/>
    <x v="2"/>
    <x v="31"/>
    <n v="1"/>
    <n v="333"/>
    <s v="INR"/>
    <s v="Own Brand"/>
    <x v="2"/>
    <x v="1"/>
    <x v="5"/>
    <x v="0"/>
    <n v="333"/>
  </r>
  <r>
    <x v="3"/>
    <x v="5"/>
    <x v="2"/>
    <x v="32"/>
    <n v="1"/>
    <n v="333"/>
    <s v="INR"/>
    <s v="Own Brand"/>
    <x v="2"/>
    <x v="1"/>
    <x v="5"/>
    <x v="0"/>
    <n v="333"/>
  </r>
  <r>
    <x v="3"/>
    <x v="5"/>
    <x v="2"/>
    <x v="7"/>
    <n v="1"/>
    <n v="500"/>
    <s v="INR"/>
    <s v="Own Brand"/>
    <x v="2"/>
    <x v="1"/>
    <x v="5"/>
    <x v="0"/>
    <n v="500"/>
  </r>
  <r>
    <x v="3"/>
    <x v="5"/>
    <x v="2"/>
    <x v="13"/>
    <n v="1"/>
    <n v="833"/>
    <s v="INR"/>
    <s v="Own Brand"/>
    <x v="2"/>
    <x v="1"/>
    <x v="5"/>
    <x v="0"/>
    <n v="833"/>
  </r>
  <r>
    <x v="3"/>
    <x v="5"/>
    <x v="2"/>
    <x v="33"/>
    <n v="1"/>
    <n v="167"/>
    <s v="INR"/>
    <s v="Own Brand"/>
    <x v="2"/>
    <x v="1"/>
    <x v="5"/>
    <x v="0"/>
    <n v="167"/>
  </r>
  <r>
    <x v="3"/>
    <x v="5"/>
    <x v="2"/>
    <x v="34"/>
    <n v="1"/>
    <n v="833"/>
    <s v="INR"/>
    <s v="Own Brand"/>
    <x v="2"/>
    <x v="1"/>
    <x v="5"/>
    <x v="0"/>
    <n v="833"/>
  </r>
  <r>
    <x v="3"/>
    <x v="5"/>
    <x v="2"/>
    <x v="35"/>
    <n v="1"/>
    <n v="1000"/>
    <s v="INR"/>
    <s v="Own Brand"/>
    <x v="2"/>
    <x v="1"/>
    <x v="5"/>
    <x v="0"/>
    <n v="1000"/>
  </r>
  <r>
    <x v="3"/>
    <x v="5"/>
    <x v="2"/>
    <x v="36"/>
    <n v="2"/>
    <n v="1833"/>
    <s v="INR"/>
    <s v="Own Brand"/>
    <x v="2"/>
    <x v="1"/>
    <x v="5"/>
    <x v="0"/>
    <n v="1833"/>
  </r>
  <r>
    <x v="3"/>
    <x v="5"/>
    <x v="2"/>
    <x v="37"/>
    <n v="1"/>
    <n v="167"/>
    <s v="INR"/>
    <s v="Own Brand"/>
    <x v="2"/>
    <x v="1"/>
    <x v="5"/>
    <x v="0"/>
    <n v="167"/>
  </r>
  <r>
    <x v="3"/>
    <x v="5"/>
    <x v="2"/>
    <x v="38"/>
    <n v="1"/>
    <n v="167"/>
    <s v="INR"/>
    <s v="Own Brand"/>
    <x v="2"/>
    <x v="1"/>
    <x v="5"/>
    <x v="0"/>
    <n v="167"/>
  </r>
  <r>
    <x v="3"/>
    <x v="5"/>
    <x v="2"/>
    <x v="39"/>
    <n v="1"/>
    <n v="833"/>
    <s v="INR"/>
    <s v="Own Brand"/>
    <x v="2"/>
    <x v="1"/>
    <x v="5"/>
    <x v="0"/>
    <n v="833"/>
  </r>
  <r>
    <x v="3"/>
    <x v="5"/>
    <x v="2"/>
    <x v="40"/>
    <n v="1"/>
    <n v="167"/>
    <s v="INR"/>
    <s v="Own Brand"/>
    <x v="2"/>
    <x v="1"/>
    <x v="5"/>
    <x v="0"/>
    <n v="167"/>
  </r>
  <r>
    <x v="3"/>
    <x v="5"/>
    <x v="2"/>
    <x v="41"/>
    <n v="26"/>
    <n v="10657"/>
    <s v="INR"/>
    <s v="Own Brand"/>
    <x v="2"/>
    <x v="1"/>
    <x v="5"/>
    <x v="0"/>
    <n v="10657"/>
  </r>
  <r>
    <x v="3"/>
    <x v="5"/>
    <x v="2"/>
    <x v="42"/>
    <n v="1"/>
    <n v="167"/>
    <s v="INR"/>
    <s v="Own Brand"/>
    <x v="2"/>
    <x v="1"/>
    <x v="5"/>
    <x v="0"/>
    <n v="167"/>
  </r>
  <r>
    <x v="4"/>
    <x v="5"/>
    <x v="2"/>
    <x v="43"/>
    <n v="1"/>
    <n v="157"/>
    <s v="INR"/>
    <s v="Own Brand"/>
    <x v="2"/>
    <x v="1"/>
    <x v="5"/>
    <x v="0"/>
    <n v="157"/>
  </r>
  <r>
    <x v="4"/>
    <x v="5"/>
    <x v="2"/>
    <x v="44"/>
    <n v="1"/>
    <n v="315"/>
    <s v="INR"/>
    <s v="Own Brand"/>
    <x v="2"/>
    <x v="1"/>
    <x v="5"/>
    <x v="0"/>
    <n v="315"/>
  </r>
  <r>
    <x v="4"/>
    <x v="5"/>
    <x v="2"/>
    <x v="45"/>
    <n v="1"/>
    <n v="630"/>
    <s v="INR"/>
    <s v="Own Brand"/>
    <x v="2"/>
    <x v="1"/>
    <x v="5"/>
    <x v="0"/>
    <n v="630"/>
  </r>
  <r>
    <x v="4"/>
    <x v="5"/>
    <x v="2"/>
    <x v="46"/>
    <n v="1"/>
    <n v="315"/>
    <s v="INR"/>
    <s v="Own Brand"/>
    <x v="2"/>
    <x v="1"/>
    <x v="5"/>
    <x v="0"/>
    <n v="315"/>
  </r>
  <r>
    <x v="4"/>
    <x v="5"/>
    <x v="2"/>
    <x v="47"/>
    <n v="1"/>
    <n v="157"/>
    <s v="INR"/>
    <s v="Own Brand"/>
    <x v="2"/>
    <x v="1"/>
    <x v="5"/>
    <x v="0"/>
    <n v="157"/>
  </r>
  <r>
    <x v="4"/>
    <x v="5"/>
    <x v="2"/>
    <x v="48"/>
    <n v="1"/>
    <n v="472"/>
    <s v="INR"/>
    <s v="Own Brand"/>
    <x v="2"/>
    <x v="1"/>
    <x v="5"/>
    <x v="0"/>
    <n v="472"/>
  </r>
  <r>
    <x v="4"/>
    <x v="5"/>
    <x v="2"/>
    <x v="49"/>
    <n v="1"/>
    <n v="157"/>
    <s v="INR"/>
    <s v="Own Brand"/>
    <x v="2"/>
    <x v="1"/>
    <x v="5"/>
    <x v="0"/>
    <n v="157"/>
  </r>
  <r>
    <x v="4"/>
    <x v="5"/>
    <x v="2"/>
    <x v="50"/>
    <n v="1"/>
    <n v="157"/>
    <s v="INR"/>
    <s v="Own Brand"/>
    <x v="2"/>
    <x v="1"/>
    <x v="5"/>
    <x v="0"/>
    <n v="157"/>
  </r>
  <r>
    <x v="4"/>
    <x v="5"/>
    <x v="2"/>
    <x v="51"/>
    <n v="1"/>
    <n v="315"/>
    <s v="INR"/>
    <s v="Own Brand"/>
    <x v="2"/>
    <x v="1"/>
    <x v="5"/>
    <x v="0"/>
    <n v="315"/>
  </r>
  <r>
    <x v="4"/>
    <x v="5"/>
    <x v="2"/>
    <x v="52"/>
    <n v="1"/>
    <n v="157"/>
    <s v="INR"/>
    <s v="Own Brand"/>
    <x v="2"/>
    <x v="1"/>
    <x v="5"/>
    <x v="0"/>
    <n v="157"/>
  </r>
  <r>
    <x v="4"/>
    <x v="5"/>
    <x v="2"/>
    <x v="53"/>
    <n v="1"/>
    <n v="472"/>
    <s v="INR"/>
    <s v="Own Brand"/>
    <x v="2"/>
    <x v="1"/>
    <x v="5"/>
    <x v="0"/>
    <n v="472"/>
  </r>
  <r>
    <x v="4"/>
    <x v="5"/>
    <x v="2"/>
    <x v="54"/>
    <n v="1"/>
    <n v="472"/>
    <s v="INR"/>
    <s v="Own Brand"/>
    <x v="2"/>
    <x v="1"/>
    <x v="5"/>
    <x v="0"/>
    <n v="472"/>
  </r>
  <r>
    <x v="4"/>
    <x v="5"/>
    <x v="2"/>
    <x v="55"/>
    <n v="1"/>
    <n v="315"/>
    <s v="INR"/>
    <s v="Own Brand"/>
    <x v="2"/>
    <x v="1"/>
    <x v="5"/>
    <x v="0"/>
    <n v="315"/>
  </r>
  <r>
    <x v="4"/>
    <x v="5"/>
    <x v="2"/>
    <x v="56"/>
    <n v="1"/>
    <n v="472"/>
    <s v="INR"/>
    <s v="Own Brand"/>
    <x v="2"/>
    <x v="1"/>
    <x v="5"/>
    <x v="0"/>
    <n v="472"/>
  </r>
  <r>
    <x v="4"/>
    <x v="5"/>
    <x v="2"/>
    <x v="57"/>
    <n v="1"/>
    <n v="315"/>
    <s v="INR"/>
    <s v="Own Brand"/>
    <x v="2"/>
    <x v="1"/>
    <x v="5"/>
    <x v="0"/>
    <n v="315"/>
  </r>
  <r>
    <x v="4"/>
    <x v="5"/>
    <x v="2"/>
    <x v="58"/>
    <n v="1"/>
    <n v="157"/>
    <s v="INR"/>
    <s v="Own Brand"/>
    <x v="2"/>
    <x v="1"/>
    <x v="5"/>
    <x v="0"/>
    <n v="157"/>
  </r>
  <r>
    <x v="4"/>
    <x v="5"/>
    <x v="2"/>
    <x v="59"/>
    <n v="1"/>
    <n v="315"/>
    <s v="INR"/>
    <s v="Own Brand"/>
    <x v="2"/>
    <x v="1"/>
    <x v="5"/>
    <x v="0"/>
    <n v="315"/>
  </r>
  <r>
    <x v="4"/>
    <x v="5"/>
    <x v="2"/>
    <x v="60"/>
    <n v="1"/>
    <n v="315"/>
    <s v="INR"/>
    <s v="Own Brand"/>
    <x v="2"/>
    <x v="1"/>
    <x v="5"/>
    <x v="0"/>
    <n v="315"/>
  </r>
  <r>
    <x v="4"/>
    <x v="5"/>
    <x v="2"/>
    <x v="61"/>
    <n v="1"/>
    <n v="315"/>
    <s v="INR"/>
    <s v="Own Brand"/>
    <x v="2"/>
    <x v="1"/>
    <x v="5"/>
    <x v="0"/>
    <n v="315"/>
  </r>
  <r>
    <x v="4"/>
    <x v="5"/>
    <x v="2"/>
    <x v="62"/>
    <n v="1"/>
    <n v="787"/>
    <s v="INR"/>
    <s v="Own Brand"/>
    <x v="2"/>
    <x v="1"/>
    <x v="5"/>
    <x v="0"/>
    <n v="787"/>
  </r>
  <r>
    <x v="4"/>
    <x v="5"/>
    <x v="2"/>
    <x v="63"/>
    <n v="1"/>
    <n v="630"/>
    <s v="INR"/>
    <s v="Own Brand"/>
    <x v="2"/>
    <x v="1"/>
    <x v="5"/>
    <x v="0"/>
    <n v="630"/>
  </r>
  <r>
    <x v="4"/>
    <x v="5"/>
    <x v="2"/>
    <x v="64"/>
    <n v="1"/>
    <n v="472"/>
    <s v="INR"/>
    <s v="Own Brand"/>
    <x v="2"/>
    <x v="1"/>
    <x v="5"/>
    <x v="0"/>
    <n v="472"/>
  </r>
  <r>
    <x v="4"/>
    <x v="5"/>
    <x v="2"/>
    <x v="65"/>
    <n v="1"/>
    <n v="315"/>
    <s v="INR"/>
    <s v="Own Brand"/>
    <x v="2"/>
    <x v="1"/>
    <x v="5"/>
    <x v="0"/>
    <n v="315"/>
  </r>
  <r>
    <x v="4"/>
    <x v="5"/>
    <x v="2"/>
    <x v="66"/>
    <n v="1"/>
    <n v="787"/>
    <s v="INR"/>
    <s v="Own Brand"/>
    <x v="2"/>
    <x v="1"/>
    <x v="5"/>
    <x v="0"/>
    <n v="787"/>
  </r>
  <r>
    <x v="4"/>
    <x v="5"/>
    <x v="2"/>
    <x v="67"/>
    <n v="1"/>
    <n v="1102"/>
    <s v="INR"/>
    <s v="Own Brand"/>
    <x v="2"/>
    <x v="1"/>
    <x v="5"/>
    <x v="0"/>
    <n v="1102"/>
  </r>
  <r>
    <x v="4"/>
    <x v="5"/>
    <x v="2"/>
    <x v="68"/>
    <n v="1"/>
    <n v="787"/>
    <s v="INR"/>
    <s v="Own Brand"/>
    <x v="2"/>
    <x v="1"/>
    <x v="5"/>
    <x v="0"/>
    <n v="787"/>
  </r>
  <r>
    <x v="4"/>
    <x v="5"/>
    <x v="2"/>
    <x v="20"/>
    <n v="1"/>
    <n v="157"/>
    <s v="INR"/>
    <s v="Own Brand"/>
    <x v="2"/>
    <x v="1"/>
    <x v="5"/>
    <x v="0"/>
    <n v="157"/>
  </r>
  <r>
    <x v="4"/>
    <x v="5"/>
    <x v="2"/>
    <x v="69"/>
    <n v="1"/>
    <n v="315"/>
    <s v="INR"/>
    <s v="Own Brand"/>
    <x v="2"/>
    <x v="1"/>
    <x v="5"/>
    <x v="0"/>
    <n v="315"/>
  </r>
  <r>
    <x v="4"/>
    <x v="5"/>
    <x v="2"/>
    <x v="70"/>
    <n v="1"/>
    <n v="315"/>
    <s v="INR"/>
    <s v="Own Brand"/>
    <x v="2"/>
    <x v="1"/>
    <x v="5"/>
    <x v="0"/>
    <n v="315"/>
  </r>
  <r>
    <x v="4"/>
    <x v="5"/>
    <x v="2"/>
    <x v="71"/>
    <n v="1"/>
    <n v="315"/>
    <s v="INR"/>
    <s v="Own Brand"/>
    <x v="2"/>
    <x v="1"/>
    <x v="5"/>
    <x v="0"/>
    <n v="315"/>
  </r>
  <r>
    <x v="4"/>
    <x v="5"/>
    <x v="2"/>
    <x v="72"/>
    <n v="1"/>
    <n v="472"/>
    <s v="INR"/>
    <s v="Own Brand"/>
    <x v="2"/>
    <x v="1"/>
    <x v="5"/>
    <x v="0"/>
    <n v="472"/>
  </r>
  <r>
    <x v="4"/>
    <x v="5"/>
    <x v="2"/>
    <x v="73"/>
    <n v="1"/>
    <n v="630"/>
    <s v="INR"/>
    <s v="Own Brand"/>
    <x v="2"/>
    <x v="1"/>
    <x v="5"/>
    <x v="0"/>
    <n v="630"/>
  </r>
  <r>
    <x v="4"/>
    <x v="5"/>
    <x v="2"/>
    <x v="74"/>
    <n v="1"/>
    <n v="944"/>
    <s v="INR"/>
    <s v="Own Brand"/>
    <x v="2"/>
    <x v="1"/>
    <x v="5"/>
    <x v="0"/>
    <n v="944"/>
  </r>
  <r>
    <x v="4"/>
    <x v="5"/>
    <x v="2"/>
    <x v="75"/>
    <n v="2"/>
    <n v="1417"/>
    <s v="INR"/>
    <s v="Own Brand"/>
    <x v="2"/>
    <x v="1"/>
    <x v="5"/>
    <x v="0"/>
    <n v="1417"/>
  </r>
  <r>
    <x v="4"/>
    <x v="5"/>
    <x v="2"/>
    <x v="76"/>
    <n v="2"/>
    <n v="1417"/>
    <s v="INR"/>
    <s v="Own Brand"/>
    <x v="2"/>
    <x v="1"/>
    <x v="5"/>
    <x v="0"/>
    <n v="1417"/>
  </r>
  <r>
    <x v="4"/>
    <x v="5"/>
    <x v="2"/>
    <x v="77"/>
    <n v="1"/>
    <n v="787"/>
    <s v="INR"/>
    <s v="Own Brand"/>
    <x v="2"/>
    <x v="1"/>
    <x v="5"/>
    <x v="0"/>
    <n v="787"/>
  </r>
  <r>
    <x v="4"/>
    <x v="5"/>
    <x v="2"/>
    <x v="78"/>
    <n v="1"/>
    <n v="1259"/>
    <s v="INR"/>
    <s v="Own Brand"/>
    <x v="2"/>
    <x v="1"/>
    <x v="5"/>
    <x v="0"/>
    <n v="1259"/>
  </r>
  <r>
    <x v="4"/>
    <x v="5"/>
    <x v="2"/>
    <x v="79"/>
    <n v="2"/>
    <n v="1574"/>
    <s v="INR"/>
    <s v="Own Brand"/>
    <x v="2"/>
    <x v="1"/>
    <x v="5"/>
    <x v="0"/>
    <n v="1574"/>
  </r>
  <r>
    <x v="4"/>
    <x v="5"/>
    <x v="2"/>
    <x v="80"/>
    <n v="1"/>
    <n v="630"/>
    <s v="INR"/>
    <s v="Own Brand"/>
    <x v="2"/>
    <x v="1"/>
    <x v="5"/>
    <x v="0"/>
    <n v="630"/>
  </r>
  <r>
    <x v="4"/>
    <x v="5"/>
    <x v="2"/>
    <x v="81"/>
    <n v="1"/>
    <n v="157"/>
    <s v="INR"/>
    <s v="Own Brand"/>
    <x v="2"/>
    <x v="1"/>
    <x v="5"/>
    <x v="0"/>
    <n v="157"/>
  </r>
  <r>
    <x v="4"/>
    <x v="5"/>
    <x v="2"/>
    <x v="82"/>
    <n v="2"/>
    <n v="1417"/>
    <s v="INR"/>
    <s v="Own Brand"/>
    <x v="2"/>
    <x v="1"/>
    <x v="5"/>
    <x v="0"/>
    <n v="1417"/>
  </r>
  <r>
    <x v="4"/>
    <x v="5"/>
    <x v="2"/>
    <x v="83"/>
    <n v="1"/>
    <n v="630"/>
    <s v="INR"/>
    <s v="Own Brand"/>
    <x v="2"/>
    <x v="1"/>
    <x v="5"/>
    <x v="0"/>
    <n v="630"/>
  </r>
  <r>
    <x v="4"/>
    <x v="5"/>
    <x v="2"/>
    <x v="84"/>
    <n v="200"/>
    <n v="66111"/>
    <s v="INR"/>
    <s v="Own Brand"/>
    <x v="2"/>
    <x v="1"/>
    <x v="5"/>
    <x v="0"/>
    <n v="66111"/>
  </r>
  <r>
    <x v="4"/>
    <x v="5"/>
    <x v="2"/>
    <x v="24"/>
    <n v="2"/>
    <n v="1884"/>
    <s v="INR"/>
    <s v="Own Brand"/>
    <x v="2"/>
    <x v="1"/>
    <x v="5"/>
    <x v="0"/>
    <n v="1884"/>
  </r>
  <r>
    <x v="4"/>
    <x v="5"/>
    <x v="2"/>
    <x v="85"/>
    <n v="1"/>
    <n v="944"/>
    <s v="INR"/>
    <s v="Own Brand"/>
    <x v="2"/>
    <x v="1"/>
    <x v="5"/>
    <x v="0"/>
    <n v="944"/>
  </r>
  <r>
    <x v="4"/>
    <x v="5"/>
    <x v="2"/>
    <x v="86"/>
    <n v="7"/>
    <n v="2574"/>
    <s v="INR"/>
    <s v="Own Brand"/>
    <x v="2"/>
    <x v="1"/>
    <x v="5"/>
    <x v="0"/>
    <n v="2574"/>
  </r>
  <r>
    <x v="4"/>
    <x v="5"/>
    <x v="2"/>
    <x v="87"/>
    <n v="1"/>
    <n v="630"/>
    <s v="INR"/>
    <s v="Own Brand"/>
    <x v="2"/>
    <x v="1"/>
    <x v="5"/>
    <x v="0"/>
    <n v="630"/>
  </r>
  <r>
    <x v="4"/>
    <x v="5"/>
    <x v="2"/>
    <x v="88"/>
    <n v="1"/>
    <n v="472"/>
    <s v="INR"/>
    <s v="Own Brand"/>
    <x v="2"/>
    <x v="1"/>
    <x v="5"/>
    <x v="0"/>
    <n v="472"/>
  </r>
  <r>
    <x v="4"/>
    <x v="5"/>
    <x v="2"/>
    <x v="89"/>
    <n v="1"/>
    <n v="944"/>
    <s v="INR"/>
    <s v="Own Brand"/>
    <x v="2"/>
    <x v="1"/>
    <x v="5"/>
    <x v="0"/>
    <n v="944"/>
  </r>
  <r>
    <x v="4"/>
    <x v="5"/>
    <x v="2"/>
    <x v="90"/>
    <n v="2"/>
    <n v="1417"/>
    <s v="INR"/>
    <s v="Own Brand"/>
    <x v="2"/>
    <x v="1"/>
    <x v="5"/>
    <x v="0"/>
    <n v="1417"/>
  </r>
  <r>
    <x v="4"/>
    <x v="5"/>
    <x v="2"/>
    <x v="91"/>
    <n v="1"/>
    <n v="1259"/>
    <s v="INR"/>
    <s v="Own Brand"/>
    <x v="2"/>
    <x v="1"/>
    <x v="5"/>
    <x v="0"/>
    <n v="1259"/>
  </r>
  <r>
    <x v="4"/>
    <x v="5"/>
    <x v="2"/>
    <x v="92"/>
    <n v="4"/>
    <n v="3773"/>
    <s v="INR"/>
    <s v="Own Brand"/>
    <x v="2"/>
    <x v="1"/>
    <x v="5"/>
    <x v="0"/>
    <n v="3773"/>
  </r>
  <r>
    <x v="4"/>
    <x v="5"/>
    <x v="2"/>
    <x v="93"/>
    <n v="1"/>
    <n v="315"/>
    <s v="INR"/>
    <s v="Own Brand"/>
    <x v="2"/>
    <x v="1"/>
    <x v="5"/>
    <x v="0"/>
    <n v="315"/>
  </r>
  <r>
    <x v="4"/>
    <x v="5"/>
    <x v="2"/>
    <x v="94"/>
    <n v="1"/>
    <n v="630"/>
    <s v="INR"/>
    <s v="Own Brand"/>
    <x v="2"/>
    <x v="1"/>
    <x v="5"/>
    <x v="0"/>
    <n v="630"/>
  </r>
  <r>
    <x v="4"/>
    <x v="5"/>
    <x v="2"/>
    <x v="95"/>
    <n v="1"/>
    <n v="472"/>
    <s v="INR"/>
    <s v="Own Brand"/>
    <x v="2"/>
    <x v="1"/>
    <x v="5"/>
    <x v="0"/>
    <n v="472"/>
  </r>
  <r>
    <x v="4"/>
    <x v="5"/>
    <x v="2"/>
    <x v="96"/>
    <n v="2"/>
    <n v="2042"/>
    <s v="INR"/>
    <s v="Own Brand"/>
    <x v="2"/>
    <x v="1"/>
    <x v="5"/>
    <x v="0"/>
    <n v="2042"/>
  </r>
  <r>
    <x v="4"/>
    <x v="5"/>
    <x v="2"/>
    <x v="97"/>
    <n v="1"/>
    <n v="417"/>
    <s v="INR"/>
    <s v="Own Brand"/>
    <x v="2"/>
    <x v="1"/>
    <x v="5"/>
    <x v="0"/>
    <n v="417"/>
  </r>
  <r>
    <x v="4"/>
    <x v="5"/>
    <x v="2"/>
    <x v="98"/>
    <n v="1"/>
    <n v="310"/>
    <s v="INR"/>
    <s v="Own Brand"/>
    <x v="2"/>
    <x v="1"/>
    <x v="5"/>
    <x v="0"/>
    <n v="310"/>
  </r>
  <r>
    <x v="4"/>
    <x v="5"/>
    <x v="2"/>
    <x v="99"/>
    <n v="1"/>
    <n v="208"/>
    <s v="INR"/>
    <s v="Own Brand"/>
    <x v="2"/>
    <x v="1"/>
    <x v="5"/>
    <x v="0"/>
    <n v="208"/>
  </r>
  <r>
    <x v="4"/>
    <x v="5"/>
    <x v="2"/>
    <x v="100"/>
    <n v="1"/>
    <n v="620"/>
    <s v="INR"/>
    <s v="Own Brand"/>
    <x v="2"/>
    <x v="1"/>
    <x v="5"/>
    <x v="0"/>
    <n v="620"/>
  </r>
  <r>
    <x v="4"/>
    <x v="5"/>
    <x v="2"/>
    <x v="101"/>
    <n v="1"/>
    <n v="620"/>
    <s v="INR"/>
    <s v="Own Brand"/>
    <x v="2"/>
    <x v="1"/>
    <x v="5"/>
    <x v="0"/>
    <n v="620"/>
  </r>
  <r>
    <x v="4"/>
    <x v="5"/>
    <x v="2"/>
    <x v="102"/>
    <n v="1"/>
    <n v="829"/>
    <s v="INR"/>
    <s v="Own Brand"/>
    <x v="2"/>
    <x v="1"/>
    <x v="5"/>
    <x v="0"/>
    <n v="829"/>
  </r>
  <r>
    <x v="4"/>
    <x v="5"/>
    <x v="2"/>
    <x v="103"/>
    <n v="4"/>
    <n v="2694"/>
    <s v="INR"/>
    <s v="Own Brand"/>
    <x v="2"/>
    <x v="1"/>
    <x v="5"/>
    <x v="0"/>
    <n v="2694"/>
  </r>
  <r>
    <x v="4"/>
    <x v="5"/>
    <x v="2"/>
    <x v="104"/>
    <n v="1"/>
    <n v="102"/>
    <s v="INR"/>
    <s v="Own Brand"/>
    <x v="2"/>
    <x v="1"/>
    <x v="5"/>
    <x v="0"/>
    <n v="102"/>
  </r>
  <r>
    <x v="4"/>
    <x v="5"/>
    <x v="2"/>
    <x v="105"/>
    <n v="2"/>
    <n v="528"/>
    <s v="INR"/>
    <s v="Own Brand"/>
    <x v="2"/>
    <x v="1"/>
    <x v="5"/>
    <x v="0"/>
    <n v="528"/>
  </r>
  <r>
    <x v="5"/>
    <x v="3"/>
    <x v="2"/>
    <x v="106"/>
    <n v="1"/>
    <n v="380"/>
    <s v="INR"/>
    <s v="Own Brand"/>
    <x v="2"/>
    <x v="1"/>
    <x v="3"/>
    <x v="0"/>
    <n v="380"/>
  </r>
  <r>
    <x v="5"/>
    <x v="5"/>
    <x v="2"/>
    <x v="107"/>
    <n v="1"/>
    <n v="560"/>
    <s v="INR"/>
    <s v="Own Brand"/>
    <x v="2"/>
    <x v="1"/>
    <x v="5"/>
    <x v="0"/>
    <n v="560"/>
  </r>
  <r>
    <x v="5"/>
    <x v="5"/>
    <x v="2"/>
    <x v="108"/>
    <n v="1"/>
    <n v="560"/>
    <s v="INR"/>
    <s v="Own Brand"/>
    <x v="2"/>
    <x v="1"/>
    <x v="5"/>
    <x v="0"/>
    <n v="560"/>
  </r>
  <r>
    <x v="5"/>
    <x v="5"/>
    <x v="2"/>
    <x v="7"/>
    <n v="1"/>
    <n v="1116"/>
    <s v="INR"/>
    <s v="Own Brand"/>
    <x v="2"/>
    <x v="1"/>
    <x v="5"/>
    <x v="0"/>
    <n v="1116"/>
  </r>
  <r>
    <x v="5"/>
    <x v="6"/>
    <x v="3"/>
    <x v="34"/>
    <n v="1"/>
    <n v="657"/>
    <s v="INR"/>
    <s v="Own Brand"/>
    <x v="3"/>
    <x v="1"/>
    <x v="6"/>
    <x v="0"/>
    <n v="657"/>
  </r>
  <r>
    <x v="5"/>
    <x v="5"/>
    <x v="2"/>
    <x v="109"/>
    <n v="1"/>
    <n v="560"/>
    <s v="INR"/>
    <s v="Own Brand"/>
    <x v="2"/>
    <x v="1"/>
    <x v="5"/>
    <x v="0"/>
    <n v="560"/>
  </r>
  <r>
    <x v="5"/>
    <x v="6"/>
    <x v="3"/>
    <x v="11"/>
    <n v="1"/>
    <n v="657"/>
    <s v="INR"/>
    <s v="Own Brand"/>
    <x v="3"/>
    <x v="1"/>
    <x v="6"/>
    <x v="0"/>
    <n v="657"/>
  </r>
  <r>
    <x v="5"/>
    <x v="5"/>
    <x v="2"/>
    <x v="110"/>
    <n v="1"/>
    <n v="560"/>
    <s v="INR"/>
    <s v="Own Brand"/>
    <x v="2"/>
    <x v="1"/>
    <x v="5"/>
    <x v="0"/>
    <n v="560"/>
  </r>
  <r>
    <x v="6"/>
    <x v="5"/>
    <x v="2"/>
    <x v="111"/>
    <n v="11"/>
    <n v="6218"/>
    <s v="INR"/>
    <s v="Own Brand"/>
    <x v="2"/>
    <x v="1"/>
    <x v="5"/>
    <x v="0"/>
    <n v="6218"/>
  </r>
  <r>
    <x v="7"/>
    <x v="5"/>
    <x v="2"/>
    <x v="4"/>
    <n v="7"/>
    <n v="2426"/>
    <s v="INR"/>
    <s v="Own Brand"/>
    <x v="2"/>
    <x v="1"/>
    <x v="5"/>
    <x v="0"/>
    <n v="2426"/>
  </r>
  <r>
    <x v="7"/>
    <x v="5"/>
    <x v="2"/>
    <x v="112"/>
    <n v="33"/>
    <n v="15278"/>
    <s v="INR"/>
    <s v="Own Brand"/>
    <x v="2"/>
    <x v="1"/>
    <x v="5"/>
    <x v="0"/>
    <n v="15278"/>
  </r>
  <r>
    <x v="8"/>
    <x v="7"/>
    <x v="4"/>
    <x v="113"/>
    <n v="3"/>
    <n v="3032"/>
    <s v="INR"/>
    <s v="Own Brand"/>
    <x v="4"/>
    <x v="2"/>
    <x v="7"/>
    <x v="0"/>
    <n v="3032"/>
  </r>
  <r>
    <x v="8"/>
    <x v="8"/>
    <x v="1"/>
    <x v="114"/>
    <n v="2"/>
    <n v="3194"/>
    <s v="INR"/>
    <s v="Own Brand"/>
    <x v="1"/>
    <x v="1"/>
    <x v="8"/>
    <x v="0"/>
    <n v="3194"/>
  </r>
  <r>
    <x v="8"/>
    <x v="8"/>
    <x v="1"/>
    <x v="115"/>
    <n v="1"/>
    <n v="912"/>
    <s v="INR"/>
    <s v="Own Brand"/>
    <x v="1"/>
    <x v="1"/>
    <x v="8"/>
    <x v="0"/>
    <n v="912"/>
  </r>
  <r>
    <x v="8"/>
    <x v="8"/>
    <x v="1"/>
    <x v="116"/>
    <n v="1"/>
    <n v="1824"/>
    <s v="INR"/>
    <s v="Own Brand"/>
    <x v="1"/>
    <x v="1"/>
    <x v="8"/>
    <x v="0"/>
    <n v="1824"/>
  </r>
  <r>
    <x v="8"/>
    <x v="8"/>
    <x v="1"/>
    <x v="117"/>
    <n v="1"/>
    <n v="458"/>
    <s v="INR"/>
    <s v="Own Brand"/>
    <x v="1"/>
    <x v="1"/>
    <x v="8"/>
    <x v="0"/>
    <n v="458"/>
  </r>
  <r>
    <x v="8"/>
    <x v="1"/>
    <x v="1"/>
    <x v="118"/>
    <n v="3"/>
    <n v="4444"/>
    <s v="INR"/>
    <s v="Own Brand"/>
    <x v="1"/>
    <x v="1"/>
    <x v="1"/>
    <x v="0"/>
    <n v="4444"/>
  </r>
  <r>
    <x v="8"/>
    <x v="8"/>
    <x v="1"/>
    <x v="68"/>
    <n v="1"/>
    <n v="458"/>
    <s v="INR"/>
    <s v="Own Brand"/>
    <x v="1"/>
    <x v="1"/>
    <x v="8"/>
    <x v="0"/>
    <n v="458"/>
  </r>
  <r>
    <x v="8"/>
    <x v="8"/>
    <x v="1"/>
    <x v="119"/>
    <n v="1"/>
    <n v="458"/>
    <s v="INR"/>
    <s v="Own Brand"/>
    <x v="1"/>
    <x v="1"/>
    <x v="8"/>
    <x v="0"/>
    <n v="458"/>
  </r>
  <r>
    <x v="8"/>
    <x v="8"/>
    <x v="1"/>
    <x v="120"/>
    <n v="1"/>
    <n v="1824"/>
    <s v="INR"/>
    <s v="Own Brand"/>
    <x v="1"/>
    <x v="1"/>
    <x v="8"/>
    <x v="0"/>
    <n v="1824"/>
  </r>
  <r>
    <x v="8"/>
    <x v="1"/>
    <x v="1"/>
    <x v="120"/>
    <n v="2"/>
    <n v="2667"/>
    <s v="INR"/>
    <s v="Own Brand"/>
    <x v="1"/>
    <x v="1"/>
    <x v="1"/>
    <x v="0"/>
    <n v="2667"/>
  </r>
  <r>
    <x v="8"/>
    <x v="8"/>
    <x v="1"/>
    <x v="121"/>
    <n v="14"/>
    <n v="19171"/>
    <s v="INR"/>
    <s v="Own Brand"/>
    <x v="1"/>
    <x v="1"/>
    <x v="8"/>
    <x v="0"/>
    <n v="19171"/>
  </r>
  <r>
    <x v="8"/>
    <x v="8"/>
    <x v="1"/>
    <x v="20"/>
    <n v="1"/>
    <n v="458"/>
    <s v="INR"/>
    <s v="Own Brand"/>
    <x v="1"/>
    <x v="1"/>
    <x v="8"/>
    <x v="0"/>
    <n v="458"/>
  </r>
  <r>
    <x v="8"/>
    <x v="8"/>
    <x v="1"/>
    <x v="122"/>
    <n v="1"/>
    <n v="458"/>
    <s v="INR"/>
    <s v="Own Brand"/>
    <x v="1"/>
    <x v="1"/>
    <x v="8"/>
    <x v="0"/>
    <n v="458"/>
  </r>
  <r>
    <x v="8"/>
    <x v="8"/>
    <x v="1"/>
    <x v="123"/>
    <n v="1"/>
    <n v="458"/>
    <s v="INR"/>
    <s v="Own Brand"/>
    <x v="1"/>
    <x v="1"/>
    <x v="8"/>
    <x v="0"/>
    <n v="458"/>
  </r>
  <r>
    <x v="8"/>
    <x v="8"/>
    <x v="1"/>
    <x v="124"/>
    <n v="1"/>
    <n v="1370"/>
    <s v="INR"/>
    <s v="Own Brand"/>
    <x v="1"/>
    <x v="1"/>
    <x v="8"/>
    <x v="0"/>
    <n v="1370"/>
  </r>
  <r>
    <x v="8"/>
    <x v="1"/>
    <x v="1"/>
    <x v="124"/>
    <n v="2"/>
    <n v="2667"/>
    <s v="INR"/>
    <s v="Own Brand"/>
    <x v="1"/>
    <x v="1"/>
    <x v="1"/>
    <x v="0"/>
    <n v="2667"/>
  </r>
  <r>
    <x v="8"/>
    <x v="1"/>
    <x v="1"/>
    <x v="69"/>
    <n v="1"/>
    <n v="1333"/>
    <s v="INR"/>
    <s v="Own Brand"/>
    <x v="1"/>
    <x v="1"/>
    <x v="1"/>
    <x v="0"/>
    <n v="1333"/>
  </r>
  <r>
    <x v="8"/>
    <x v="9"/>
    <x v="1"/>
    <x v="125"/>
    <n v="1"/>
    <n v="597"/>
    <s v="INR"/>
    <s v="Own Brand"/>
    <x v="1"/>
    <x v="1"/>
    <x v="9"/>
    <x v="0"/>
    <n v="597"/>
  </r>
  <r>
    <x v="8"/>
    <x v="1"/>
    <x v="1"/>
    <x v="125"/>
    <n v="7"/>
    <n v="8889"/>
    <s v="INR"/>
    <s v="Own Brand"/>
    <x v="1"/>
    <x v="1"/>
    <x v="1"/>
    <x v="0"/>
    <n v="8889"/>
  </r>
  <r>
    <x v="8"/>
    <x v="1"/>
    <x v="1"/>
    <x v="126"/>
    <n v="1"/>
    <n v="1778"/>
    <s v="INR"/>
    <s v="Own Brand"/>
    <x v="1"/>
    <x v="1"/>
    <x v="1"/>
    <x v="0"/>
    <n v="1778"/>
  </r>
  <r>
    <x v="8"/>
    <x v="8"/>
    <x v="1"/>
    <x v="71"/>
    <n v="7"/>
    <n v="9130"/>
    <s v="INR"/>
    <s v="Own Brand"/>
    <x v="1"/>
    <x v="1"/>
    <x v="8"/>
    <x v="0"/>
    <n v="9130"/>
  </r>
  <r>
    <x v="9"/>
    <x v="9"/>
    <x v="1"/>
    <x v="127"/>
    <n v="1"/>
    <n v="602"/>
    <s v="INR"/>
    <s v="Own Brand"/>
    <x v="1"/>
    <x v="1"/>
    <x v="9"/>
    <x v="0"/>
    <n v="602"/>
  </r>
  <r>
    <x v="9"/>
    <x v="10"/>
    <x v="1"/>
    <x v="128"/>
    <n v="2"/>
    <n v="3227"/>
    <s v="INR"/>
    <s v="Own Brand"/>
    <x v="1"/>
    <x v="1"/>
    <x v="10"/>
    <x v="0"/>
    <n v="3227"/>
  </r>
  <r>
    <x v="9"/>
    <x v="1"/>
    <x v="1"/>
    <x v="129"/>
    <n v="1"/>
    <n v="449"/>
    <s v="INR"/>
    <s v="Own Brand"/>
    <x v="1"/>
    <x v="1"/>
    <x v="1"/>
    <x v="0"/>
    <n v="449"/>
  </r>
  <r>
    <x v="9"/>
    <x v="1"/>
    <x v="1"/>
    <x v="130"/>
    <n v="1"/>
    <n v="449"/>
    <s v="INR"/>
    <s v="Own Brand"/>
    <x v="1"/>
    <x v="1"/>
    <x v="1"/>
    <x v="0"/>
    <n v="449"/>
  </r>
  <r>
    <x v="9"/>
    <x v="1"/>
    <x v="1"/>
    <x v="131"/>
    <n v="1"/>
    <n v="449"/>
    <s v="INR"/>
    <s v="Own Brand"/>
    <x v="1"/>
    <x v="1"/>
    <x v="1"/>
    <x v="0"/>
    <n v="449"/>
  </r>
  <r>
    <x v="9"/>
    <x v="1"/>
    <x v="1"/>
    <x v="132"/>
    <n v="1"/>
    <n v="449"/>
    <s v="INR"/>
    <s v="Own Brand"/>
    <x v="1"/>
    <x v="1"/>
    <x v="1"/>
    <x v="0"/>
    <n v="449"/>
  </r>
  <r>
    <x v="9"/>
    <x v="11"/>
    <x v="1"/>
    <x v="132"/>
    <n v="7"/>
    <n v="9880"/>
    <s v="INR"/>
    <s v="Own Brand"/>
    <x v="1"/>
    <x v="1"/>
    <x v="11"/>
    <x v="0"/>
    <n v="9880"/>
  </r>
  <r>
    <x v="9"/>
    <x v="9"/>
    <x v="1"/>
    <x v="133"/>
    <n v="1"/>
    <n v="301"/>
    <s v="INR"/>
    <s v="Own Brand"/>
    <x v="1"/>
    <x v="1"/>
    <x v="9"/>
    <x v="0"/>
    <n v="301"/>
  </r>
  <r>
    <x v="9"/>
    <x v="12"/>
    <x v="1"/>
    <x v="133"/>
    <n v="6"/>
    <n v="7954"/>
    <s v="INR"/>
    <s v="Own Brand"/>
    <x v="1"/>
    <x v="1"/>
    <x v="12"/>
    <x v="0"/>
    <n v="7954"/>
  </r>
  <r>
    <x v="9"/>
    <x v="10"/>
    <x v="1"/>
    <x v="134"/>
    <n v="1"/>
    <n v="2153"/>
    <s v="INR"/>
    <s v="Own Brand"/>
    <x v="1"/>
    <x v="1"/>
    <x v="10"/>
    <x v="0"/>
    <n v="2153"/>
  </r>
  <r>
    <x v="9"/>
    <x v="12"/>
    <x v="1"/>
    <x v="134"/>
    <n v="4"/>
    <n v="5306"/>
    <s v="INR"/>
    <s v="Own Brand"/>
    <x v="1"/>
    <x v="1"/>
    <x v="12"/>
    <x v="0"/>
    <n v="5306"/>
  </r>
  <r>
    <x v="9"/>
    <x v="1"/>
    <x v="1"/>
    <x v="135"/>
    <n v="1"/>
    <n v="1801"/>
    <s v="INR"/>
    <s v="Own Brand"/>
    <x v="1"/>
    <x v="1"/>
    <x v="1"/>
    <x v="0"/>
    <n v="1801"/>
  </r>
  <r>
    <x v="9"/>
    <x v="1"/>
    <x v="1"/>
    <x v="136"/>
    <n v="2"/>
    <n v="2699"/>
    <s v="INR"/>
    <s v="Own Brand"/>
    <x v="1"/>
    <x v="1"/>
    <x v="1"/>
    <x v="0"/>
    <n v="2699"/>
  </r>
  <r>
    <x v="9"/>
    <x v="10"/>
    <x v="1"/>
    <x v="137"/>
    <n v="1"/>
    <n v="1616"/>
    <s v="INR"/>
    <s v="Own Brand"/>
    <x v="1"/>
    <x v="1"/>
    <x v="10"/>
    <x v="0"/>
    <n v="1616"/>
  </r>
  <r>
    <x v="9"/>
    <x v="1"/>
    <x v="1"/>
    <x v="138"/>
    <n v="2"/>
    <n v="2245"/>
    <s v="INR"/>
    <s v="Own Brand"/>
    <x v="1"/>
    <x v="1"/>
    <x v="1"/>
    <x v="0"/>
    <n v="2245"/>
  </r>
  <r>
    <x v="9"/>
    <x v="1"/>
    <x v="1"/>
    <x v="139"/>
    <n v="1"/>
    <n v="903"/>
    <s v="INR"/>
    <s v="Own Brand"/>
    <x v="1"/>
    <x v="1"/>
    <x v="1"/>
    <x v="0"/>
    <n v="903"/>
  </r>
  <r>
    <x v="9"/>
    <x v="12"/>
    <x v="1"/>
    <x v="140"/>
    <n v="4"/>
    <n v="5306"/>
    <s v="INR"/>
    <s v="Own Brand"/>
    <x v="1"/>
    <x v="1"/>
    <x v="12"/>
    <x v="0"/>
    <n v="5306"/>
  </r>
  <r>
    <x v="9"/>
    <x v="8"/>
    <x v="1"/>
    <x v="141"/>
    <n v="3"/>
    <n v="3778"/>
    <s v="INR"/>
    <s v="Own Brand"/>
    <x v="1"/>
    <x v="1"/>
    <x v="8"/>
    <x v="0"/>
    <n v="3778"/>
  </r>
  <r>
    <x v="9"/>
    <x v="10"/>
    <x v="1"/>
    <x v="142"/>
    <n v="1"/>
    <n v="537"/>
    <s v="INR"/>
    <s v="Own Brand"/>
    <x v="1"/>
    <x v="1"/>
    <x v="10"/>
    <x v="0"/>
    <n v="537"/>
  </r>
  <r>
    <x v="9"/>
    <x v="8"/>
    <x v="1"/>
    <x v="142"/>
    <n v="1"/>
    <n v="1417"/>
    <s v="INR"/>
    <s v="Own Brand"/>
    <x v="1"/>
    <x v="1"/>
    <x v="8"/>
    <x v="0"/>
    <n v="1417"/>
  </r>
  <r>
    <x v="9"/>
    <x v="12"/>
    <x v="1"/>
    <x v="142"/>
    <n v="4"/>
    <n v="5306"/>
    <s v="INR"/>
    <s v="Own Brand"/>
    <x v="1"/>
    <x v="1"/>
    <x v="12"/>
    <x v="0"/>
    <n v="5306"/>
  </r>
  <r>
    <x v="9"/>
    <x v="8"/>
    <x v="1"/>
    <x v="143"/>
    <n v="1"/>
    <n v="472"/>
    <s v="INR"/>
    <s v="Own Brand"/>
    <x v="1"/>
    <x v="1"/>
    <x v="8"/>
    <x v="0"/>
    <n v="472"/>
  </r>
  <r>
    <x v="9"/>
    <x v="1"/>
    <x v="1"/>
    <x v="143"/>
    <n v="3"/>
    <n v="4051"/>
    <s v="INR"/>
    <s v="Own Brand"/>
    <x v="1"/>
    <x v="1"/>
    <x v="1"/>
    <x v="0"/>
    <n v="4051"/>
  </r>
  <r>
    <x v="9"/>
    <x v="11"/>
    <x v="1"/>
    <x v="143"/>
    <n v="10"/>
    <n v="14815"/>
    <s v="INR"/>
    <s v="Own Brand"/>
    <x v="1"/>
    <x v="1"/>
    <x v="11"/>
    <x v="0"/>
    <n v="14815"/>
  </r>
  <r>
    <x v="9"/>
    <x v="1"/>
    <x v="1"/>
    <x v="144"/>
    <n v="3"/>
    <n v="4495"/>
    <s v="INR"/>
    <s v="Own Brand"/>
    <x v="1"/>
    <x v="1"/>
    <x v="1"/>
    <x v="0"/>
    <n v="4495"/>
  </r>
  <r>
    <x v="9"/>
    <x v="10"/>
    <x v="1"/>
    <x v="145"/>
    <n v="2"/>
    <n v="2690"/>
    <s v="INR"/>
    <s v="Own Brand"/>
    <x v="1"/>
    <x v="1"/>
    <x v="10"/>
    <x v="0"/>
    <n v="2690"/>
  </r>
  <r>
    <x v="9"/>
    <x v="8"/>
    <x v="1"/>
    <x v="145"/>
    <n v="1"/>
    <n v="1417"/>
    <s v="INR"/>
    <s v="Own Brand"/>
    <x v="1"/>
    <x v="1"/>
    <x v="8"/>
    <x v="0"/>
    <n v="1417"/>
  </r>
  <r>
    <x v="9"/>
    <x v="1"/>
    <x v="1"/>
    <x v="146"/>
    <n v="1"/>
    <n v="449"/>
    <s v="INR"/>
    <s v="Own Brand"/>
    <x v="1"/>
    <x v="1"/>
    <x v="1"/>
    <x v="0"/>
    <n v="449"/>
  </r>
  <r>
    <x v="9"/>
    <x v="12"/>
    <x v="1"/>
    <x v="146"/>
    <n v="18"/>
    <n v="23866"/>
    <s v="INR"/>
    <s v="Own Brand"/>
    <x v="1"/>
    <x v="1"/>
    <x v="12"/>
    <x v="0"/>
    <n v="23866"/>
  </r>
  <r>
    <x v="9"/>
    <x v="1"/>
    <x v="1"/>
    <x v="147"/>
    <n v="1"/>
    <n v="898"/>
    <s v="INR"/>
    <s v="Own Brand"/>
    <x v="1"/>
    <x v="1"/>
    <x v="1"/>
    <x v="0"/>
    <n v="898"/>
  </r>
  <r>
    <x v="9"/>
    <x v="11"/>
    <x v="1"/>
    <x v="147"/>
    <n v="3"/>
    <n v="4940"/>
    <s v="INR"/>
    <s v="Own Brand"/>
    <x v="1"/>
    <x v="1"/>
    <x v="11"/>
    <x v="0"/>
    <n v="4940"/>
  </r>
  <r>
    <x v="9"/>
    <x v="1"/>
    <x v="1"/>
    <x v="148"/>
    <n v="1"/>
    <n v="449"/>
    <s v="INR"/>
    <s v="Own Brand"/>
    <x v="1"/>
    <x v="1"/>
    <x v="1"/>
    <x v="0"/>
    <n v="449"/>
  </r>
  <r>
    <x v="9"/>
    <x v="10"/>
    <x v="1"/>
    <x v="149"/>
    <n v="1"/>
    <n v="2153"/>
    <s v="INR"/>
    <s v="Own Brand"/>
    <x v="1"/>
    <x v="1"/>
    <x v="10"/>
    <x v="0"/>
    <n v="2153"/>
  </r>
  <r>
    <x v="9"/>
    <x v="8"/>
    <x v="1"/>
    <x v="149"/>
    <n v="1"/>
    <n v="472"/>
    <s v="INR"/>
    <s v="Own Brand"/>
    <x v="1"/>
    <x v="1"/>
    <x v="8"/>
    <x v="0"/>
    <n v="472"/>
  </r>
  <r>
    <x v="9"/>
    <x v="1"/>
    <x v="1"/>
    <x v="149"/>
    <n v="1"/>
    <n v="449"/>
    <s v="INR"/>
    <s v="Own Brand"/>
    <x v="1"/>
    <x v="1"/>
    <x v="1"/>
    <x v="0"/>
    <n v="449"/>
  </r>
  <r>
    <x v="9"/>
    <x v="12"/>
    <x v="1"/>
    <x v="149"/>
    <n v="4"/>
    <n v="5306"/>
    <s v="INR"/>
    <s v="Own Brand"/>
    <x v="1"/>
    <x v="1"/>
    <x v="12"/>
    <x v="0"/>
    <n v="5306"/>
  </r>
  <r>
    <x v="9"/>
    <x v="1"/>
    <x v="1"/>
    <x v="150"/>
    <n v="3"/>
    <n v="3602"/>
    <s v="INR"/>
    <s v="Own Brand"/>
    <x v="1"/>
    <x v="1"/>
    <x v="1"/>
    <x v="0"/>
    <n v="3602"/>
  </r>
  <r>
    <x v="9"/>
    <x v="9"/>
    <x v="1"/>
    <x v="3"/>
    <n v="4"/>
    <n v="3583"/>
    <s v="INR"/>
    <s v="Own Brand"/>
    <x v="1"/>
    <x v="1"/>
    <x v="9"/>
    <x v="0"/>
    <n v="3583"/>
  </r>
  <r>
    <x v="9"/>
    <x v="1"/>
    <x v="1"/>
    <x v="3"/>
    <n v="4"/>
    <n v="4954"/>
    <s v="INR"/>
    <s v="Own Brand"/>
    <x v="1"/>
    <x v="1"/>
    <x v="1"/>
    <x v="0"/>
    <n v="4954"/>
  </r>
  <r>
    <x v="9"/>
    <x v="8"/>
    <x v="1"/>
    <x v="151"/>
    <n v="1"/>
    <n v="1889"/>
    <s v="INR"/>
    <s v="Own Brand"/>
    <x v="1"/>
    <x v="1"/>
    <x v="8"/>
    <x v="0"/>
    <n v="1889"/>
  </r>
  <r>
    <x v="9"/>
    <x v="8"/>
    <x v="1"/>
    <x v="152"/>
    <n v="1"/>
    <n v="472"/>
    <s v="INR"/>
    <s v="Own Brand"/>
    <x v="1"/>
    <x v="1"/>
    <x v="8"/>
    <x v="0"/>
    <n v="472"/>
  </r>
  <r>
    <x v="9"/>
    <x v="1"/>
    <x v="1"/>
    <x v="152"/>
    <n v="1"/>
    <n v="1352"/>
    <s v="INR"/>
    <s v="Own Brand"/>
    <x v="1"/>
    <x v="1"/>
    <x v="1"/>
    <x v="0"/>
    <n v="1352"/>
  </r>
  <r>
    <x v="9"/>
    <x v="10"/>
    <x v="1"/>
    <x v="153"/>
    <n v="1"/>
    <n v="1616"/>
    <s v="INR"/>
    <s v="Own Brand"/>
    <x v="1"/>
    <x v="1"/>
    <x v="10"/>
    <x v="0"/>
    <n v="1616"/>
  </r>
  <r>
    <x v="9"/>
    <x v="1"/>
    <x v="1"/>
    <x v="153"/>
    <n v="1"/>
    <n v="449"/>
    <s v="INR"/>
    <s v="Own Brand"/>
    <x v="1"/>
    <x v="1"/>
    <x v="1"/>
    <x v="0"/>
    <n v="449"/>
  </r>
  <r>
    <x v="9"/>
    <x v="1"/>
    <x v="1"/>
    <x v="154"/>
    <n v="1"/>
    <n v="1801"/>
    <s v="INR"/>
    <s v="Own Brand"/>
    <x v="1"/>
    <x v="1"/>
    <x v="1"/>
    <x v="0"/>
    <n v="1801"/>
  </r>
  <r>
    <x v="9"/>
    <x v="1"/>
    <x v="1"/>
    <x v="155"/>
    <n v="1"/>
    <n v="1801"/>
    <s v="INR"/>
    <s v="Own Brand"/>
    <x v="1"/>
    <x v="1"/>
    <x v="1"/>
    <x v="0"/>
    <n v="1801"/>
  </r>
  <r>
    <x v="9"/>
    <x v="1"/>
    <x v="1"/>
    <x v="51"/>
    <n v="1"/>
    <n v="449"/>
    <s v="INR"/>
    <s v="Own Brand"/>
    <x v="1"/>
    <x v="1"/>
    <x v="1"/>
    <x v="0"/>
    <n v="449"/>
  </r>
  <r>
    <x v="9"/>
    <x v="1"/>
    <x v="1"/>
    <x v="156"/>
    <n v="1"/>
    <n v="449"/>
    <s v="INR"/>
    <s v="Own Brand"/>
    <x v="1"/>
    <x v="1"/>
    <x v="1"/>
    <x v="0"/>
    <n v="449"/>
  </r>
  <r>
    <x v="9"/>
    <x v="1"/>
    <x v="1"/>
    <x v="157"/>
    <n v="1"/>
    <n v="449"/>
    <s v="INR"/>
    <s v="Own Brand"/>
    <x v="1"/>
    <x v="1"/>
    <x v="1"/>
    <x v="0"/>
    <n v="449"/>
  </r>
  <r>
    <x v="9"/>
    <x v="1"/>
    <x v="1"/>
    <x v="158"/>
    <n v="1"/>
    <n v="444"/>
    <s v="INR"/>
    <s v="Own Brand"/>
    <x v="1"/>
    <x v="1"/>
    <x v="1"/>
    <x v="0"/>
    <n v="444"/>
  </r>
  <r>
    <x v="9"/>
    <x v="1"/>
    <x v="1"/>
    <x v="159"/>
    <n v="1"/>
    <n v="444"/>
    <s v="INR"/>
    <s v="Own Brand"/>
    <x v="1"/>
    <x v="1"/>
    <x v="1"/>
    <x v="0"/>
    <n v="444"/>
  </r>
  <r>
    <x v="10"/>
    <x v="13"/>
    <x v="4"/>
    <x v="160"/>
    <n v="1"/>
    <n v="505"/>
    <s v="INR"/>
    <s v="Own Brand"/>
    <x v="4"/>
    <x v="2"/>
    <x v="13"/>
    <x v="0"/>
    <n v="505"/>
  </r>
  <r>
    <x v="10"/>
    <x v="13"/>
    <x v="4"/>
    <x v="26"/>
    <n v="1"/>
    <n v="1514"/>
    <s v="INR"/>
    <s v="Own Brand"/>
    <x v="4"/>
    <x v="2"/>
    <x v="13"/>
    <x v="0"/>
    <n v="1514"/>
  </r>
  <r>
    <x v="10"/>
    <x v="13"/>
    <x v="4"/>
    <x v="161"/>
    <n v="1"/>
    <n v="2023"/>
    <s v="INR"/>
    <s v="Own Brand"/>
    <x v="4"/>
    <x v="2"/>
    <x v="13"/>
    <x v="0"/>
    <n v="2023"/>
  </r>
  <r>
    <x v="10"/>
    <x v="13"/>
    <x v="4"/>
    <x v="27"/>
    <n v="25"/>
    <n v="37889"/>
    <s v="INR"/>
    <s v="Own Brand"/>
    <x v="4"/>
    <x v="2"/>
    <x v="13"/>
    <x v="0"/>
    <n v="37889"/>
  </r>
  <r>
    <x v="10"/>
    <x v="13"/>
    <x v="4"/>
    <x v="162"/>
    <n v="1"/>
    <n v="593"/>
    <s v="INR"/>
    <s v="Own Brand"/>
    <x v="4"/>
    <x v="2"/>
    <x v="13"/>
    <x v="0"/>
    <n v="593"/>
  </r>
  <r>
    <x v="10"/>
    <x v="5"/>
    <x v="2"/>
    <x v="163"/>
    <n v="1"/>
    <n v="597"/>
    <s v="INR"/>
    <s v="Own Brand"/>
    <x v="2"/>
    <x v="1"/>
    <x v="5"/>
    <x v="0"/>
    <n v="597"/>
  </r>
  <r>
    <x v="10"/>
    <x v="5"/>
    <x v="2"/>
    <x v="164"/>
    <n v="1"/>
    <n v="2389"/>
    <s v="INR"/>
    <s v="Own Brand"/>
    <x v="2"/>
    <x v="1"/>
    <x v="5"/>
    <x v="0"/>
    <n v="2389"/>
  </r>
  <r>
    <x v="10"/>
    <x v="13"/>
    <x v="4"/>
    <x v="165"/>
    <n v="1"/>
    <n v="593"/>
    <s v="INR"/>
    <s v="Own Brand"/>
    <x v="4"/>
    <x v="2"/>
    <x v="13"/>
    <x v="0"/>
    <n v="593"/>
  </r>
  <r>
    <x v="10"/>
    <x v="5"/>
    <x v="2"/>
    <x v="166"/>
    <n v="1"/>
    <n v="1194"/>
    <s v="INR"/>
    <s v="Own Brand"/>
    <x v="2"/>
    <x v="1"/>
    <x v="5"/>
    <x v="0"/>
    <n v="1194"/>
  </r>
  <r>
    <x v="10"/>
    <x v="5"/>
    <x v="2"/>
    <x v="167"/>
    <n v="8"/>
    <n v="13736"/>
    <s v="INR"/>
    <s v="Own Brand"/>
    <x v="2"/>
    <x v="1"/>
    <x v="5"/>
    <x v="0"/>
    <n v="13736"/>
  </r>
  <r>
    <x v="10"/>
    <x v="5"/>
    <x v="2"/>
    <x v="168"/>
    <n v="1"/>
    <n v="1194"/>
    <s v="INR"/>
    <s v="Own Brand"/>
    <x v="2"/>
    <x v="1"/>
    <x v="5"/>
    <x v="0"/>
    <n v="1194"/>
  </r>
  <r>
    <x v="10"/>
    <x v="5"/>
    <x v="2"/>
    <x v="169"/>
    <n v="1"/>
    <n v="597"/>
    <s v="INR"/>
    <s v="Own Brand"/>
    <x v="2"/>
    <x v="1"/>
    <x v="5"/>
    <x v="0"/>
    <n v="597"/>
  </r>
  <r>
    <x v="10"/>
    <x v="5"/>
    <x v="2"/>
    <x v="170"/>
    <n v="1"/>
    <n v="597"/>
    <s v="INR"/>
    <s v="Own Brand"/>
    <x v="2"/>
    <x v="1"/>
    <x v="5"/>
    <x v="0"/>
    <n v="597"/>
  </r>
  <r>
    <x v="10"/>
    <x v="5"/>
    <x v="2"/>
    <x v="171"/>
    <n v="1"/>
    <n v="597"/>
    <s v="INR"/>
    <s v="Own Brand"/>
    <x v="2"/>
    <x v="1"/>
    <x v="5"/>
    <x v="0"/>
    <n v="597"/>
  </r>
  <r>
    <x v="10"/>
    <x v="14"/>
    <x v="5"/>
    <x v="172"/>
    <n v="17"/>
    <n v="17472"/>
    <s v="INR"/>
    <s v="Own Brand"/>
    <x v="5"/>
    <x v="2"/>
    <x v="14"/>
    <x v="0"/>
    <n v="17472"/>
  </r>
  <r>
    <x v="10"/>
    <x v="5"/>
    <x v="2"/>
    <x v="173"/>
    <n v="2"/>
    <n v="2986"/>
    <s v="INR"/>
    <s v="Own Brand"/>
    <x v="2"/>
    <x v="1"/>
    <x v="5"/>
    <x v="0"/>
    <n v="2986"/>
  </r>
  <r>
    <x v="10"/>
    <x v="5"/>
    <x v="2"/>
    <x v="174"/>
    <n v="2"/>
    <n v="2986"/>
    <s v="INR"/>
    <s v="Own Brand"/>
    <x v="2"/>
    <x v="1"/>
    <x v="5"/>
    <x v="0"/>
    <n v="2986"/>
  </r>
  <r>
    <x v="10"/>
    <x v="5"/>
    <x v="2"/>
    <x v="130"/>
    <n v="1"/>
    <n v="597"/>
    <s v="INR"/>
    <s v="Own Brand"/>
    <x v="2"/>
    <x v="1"/>
    <x v="5"/>
    <x v="0"/>
    <n v="597"/>
  </r>
  <r>
    <x v="10"/>
    <x v="5"/>
    <x v="2"/>
    <x v="175"/>
    <n v="1"/>
    <n v="1194"/>
    <s v="INR"/>
    <s v="Own Brand"/>
    <x v="2"/>
    <x v="1"/>
    <x v="5"/>
    <x v="0"/>
    <n v="1194"/>
  </r>
  <r>
    <x v="10"/>
    <x v="5"/>
    <x v="2"/>
    <x v="135"/>
    <n v="1"/>
    <n v="796"/>
    <s v="INR"/>
    <s v="Own Brand"/>
    <x v="2"/>
    <x v="1"/>
    <x v="5"/>
    <x v="0"/>
    <n v="796"/>
  </r>
  <r>
    <x v="10"/>
    <x v="14"/>
    <x v="5"/>
    <x v="142"/>
    <n v="26"/>
    <n v="26722"/>
    <s v="INR"/>
    <s v="Own Brand"/>
    <x v="5"/>
    <x v="2"/>
    <x v="14"/>
    <x v="0"/>
    <n v="26722"/>
  </r>
  <r>
    <x v="10"/>
    <x v="5"/>
    <x v="2"/>
    <x v="147"/>
    <n v="1"/>
    <n v="796"/>
    <s v="INR"/>
    <s v="Own Brand"/>
    <x v="2"/>
    <x v="1"/>
    <x v="5"/>
    <x v="0"/>
    <n v="796"/>
  </r>
  <r>
    <x v="10"/>
    <x v="5"/>
    <x v="2"/>
    <x v="148"/>
    <n v="1"/>
    <n v="796"/>
    <s v="INR"/>
    <s v="Own Brand"/>
    <x v="2"/>
    <x v="1"/>
    <x v="5"/>
    <x v="0"/>
    <n v="796"/>
  </r>
  <r>
    <x v="10"/>
    <x v="5"/>
    <x v="2"/>
    <x v="149"/>
    <n v="1"/>
    <n v="3185"/>
    <s v="INR"/>
    <s v="Own Brand"/>
    <x v="2"/>
    <x v="1"/>
    <x v="5"/>
    <x v="0"/>
    <n v="3185"/>
  </r>
  <r>
    <x v="10"/>
    <x v="5"/>
    <x v="2"/>
    <x v="3"/>
    <n v="1"/>
    <n v="796"/>
    <s v="INR"/>
    <s v="Own Brand"/>
    <x v="2"/>
    <x v="1"/>
    <x v="5"/>
    <x v="0"/>
    <n v="796"/>
  </r>
  <r>
    <x v="10"/>
    <x v="5"/>
    <x v="2"/>
    <x v="176"/>
    <n v="1"/>
    <n v="2389"/>
    <s v="INR"/>
    <s v="Own Brand"/>
    <x v="2"/>
    <x v="1"/>
    <x v="5"/>
    <x v="0"/>
    <n v="2389"/>
  </r>
  <r>
    <x v="10"/>
    <x v="5"/>
    <x v="2"/>
    <x v="14"/>
    <n v="1"/>
    <n v="3185"/>
    <s v="INR"/>
    <s v="Own Brand"/>
    <x v="2"/>
    <x v="1"/>
    <x v="5"/>
    <x v="0"/>
    <n v="3185"/>
  </r>
  <r>
    <x v="10"/>
    <x v="5"/>
    <x v="2"/>
    <x v="177"/>
    <n v="2"/>
    <n v="5574"/>
    <s v="INR"/>
    <s v="Own Brand"/>
    <x v="2"/>
    <x v="1"/>
    <x v="5"/>
    <x v="0"/>
    <n v="5574"/>
  </r>
  <r>
    <x v="10"/>
    <x v="5"/>
    <x v="2"/>
    <x v="19"/>
    <n v="1"/>
    <n v="796"/>
    <s v="INR"/>
    <s v="Own Brand"/>
    <x v="2"/>
    <x v="1"/>
    <x v="5"/>
    <x v="0"/>
    <n v="796"/>
  </r>
  <r>
    <x v="10"/>
    <x v="5"/>
    <x v="2"/>
    <x v="178"/>
    <n v="1"/>
    <n v="796"/>
    <s v="INR"/>
    <s v="Own Brand"/>
    <x v="2"/>
    <x v="1"/>
    <x v="5"/>
    <x v="0"/>
    <n v="796"/>
  </r>
  <r>
    <x v="10"/>
    <x v="5"/>
    <x v="2"/>
    <x v="179"/>
    <n v="1"/>
    <n v="796"/>
    <s v="INR"/>
    <s v="Own Brand"/>
    <x v="2"/>
    <x v="1"/>
    <x v="5"/>
    <x v="0"/>
    <n v="796"/>
  </r>
  <r>
    <x v="10"/>
    <x v="5"/>
    <x v="2"/>
    <x v="43"/>
    <n v="1"/>
    <n v="1593"/>
    <s v="INR"/>
    <s v="Own Brand"/>
    <x v="2"/>
    <x v="1"/>
    <x v="5"/>
    <x v="0"/>
    <n v="1593"/>
  </r>
  <r>
    <x v="10"/>
    <x v="13"/>
    <x v="4"/>
    <x v="180"/>
    <n v="1"/>
    <n v="514"/>
    <s v="INR"/>
    <s v="Own Brand"/>
    <x v="4"/>
    <x v="2"/>
    <x v="13"/>
    <x v="0"/>
    <n v="514"/>
  </r>
  <r>
    <x v="10"/>
    <x v="5"/>
    <x v="2"/>
    <x v="181"/>
    <n v="1"/>
    <n v="4759"/>
    <s v="INR"/>
    <s v="Own Brand"/>
    <x v="2"/>
    <x v="1"/>
    <x v="5"/>
    <x v="0"/>
    <n v="4759"/>
  </r>
  <r>
    <x v="10"/>
    <x v="5"/>
    <x v="2"/>
    <x v="182"/>
    <n v="1"/>
    <n v="1190"/>
    <s v="INR"/>
    <s v="Own Brand"/>
    <x v="2"/>
    <x v="1"/>
    <x v="5"/>
    <x v="0"/>
    <n v="1190"/>
  </r>
  <r>
    <x v="10"/>
    <x v="5"/>
    <x v="2"/>
    <x v="183"/>
    <n v="1"/>
    <n v="1190"/>
    <s v="INR"/>
    <s v="Own Brand"/>
    <x v="2"/>
    <x v="1"/>
    <x v="5"/>
    <x v="0"/>
    <n v="1190"/>
  </r>
  <r>
    <x v="10"/>
    <x v="13"/>
    <x v="4"/>
    <x v="184"/>
    <n v="3"/>
    <n v="4106"/>
    <s v="INR"/>
    <s v="Own Brand"/>
    <x v="4"/>
    <x v="2"/>
    <x v="13"/>
    <x v="0"/>
    <n v="4106"/>
  </r>
  <r>
    <x v="10"/>
    <x v="5"/>
    <x v="2"/>
    <x v="185"/>
    <n v="2"/>
    <n v="5949"/>
    <s v="INR"/>
    <s v="Own Brand"/>
    <x v="2"/>
    <x v="1"/>
    <x v="5"/>
    <x v="0"/>
    <n v="5949"/>
  </r>
  <r>
    <x v="10"/>
    <x v="5"/>
    <x v="2"/>
    <x v="186"/>
    <n v="2"/>
    <n v="5949"/>
    <s v="INR"/>
    <s v="Own Brand"/>
    <x v="2"/>
    <x v="1"/>
    <x v="5"/>
    <x v="0"/>
    <n v="5949"/>
  </r>
  <r>
    <x v="10"/>
    <x v="13"/>
    <x v="4"/>
    <x v="49"/>
    <n v="1"/>
    <n v="514"/>
    <s v="INR"/>
    <s v="Own Brand"/>
    <x v="4"/>
    <x v="2"/>
    <x v="13"/>
    <x v="0"/>
    <n v="514"/>
  </r>
  <r>
    <x v="10"/>
    <x v="13"/>
    <x v="4"/>
    <x v="50"/>
    <n v="1"/>
    <n v="514"/>
    <s v="INR"/>
    <s v="Own Brand"/>
    <x v="4"/>
    <x v="2"/>
    <x v="13"/>
    <x v="0"/>
    <n v="514"/>
  </r>
  <r>
    <x v="10"/>
    <x v="13"/>
    <x v="4"/>
    <x v="187"/>
    <n v="1"/>
    <n v="514"/>
    <s v="INR"/>
    <s v="Own Brand"/>
    <x v="4"/>
    <x v="2"/>
    <x v="13"/>
    <x v="0"/>
    <n v="514"/>
  </r>
  <r>
    <x v="10"/>
    <x v="13"/>
    <x v="4"/>
    <x v="188"/>
    <n v="1"/>
    <n v="514"/>
    <s v="INR"/>
    <s v="Own Brand"/>
    <x v="4"/>
    <x v="2"/>
    <x v="13"/>
    <x v="0"/>
    <n v="514"/>
  </r>
  <r>
    <x v="10"/>
    <x v="13"/>
    <x v="4"/>
    <x v="52"/>
    <n v="1"/>
    <n v="514"/>
    <s v="INR"/>
    <s v="Own Brand"/>
    <x v="4"/>
    <x v="2"/>
    <x v="13"/>
    <x v="0"/>
    <n v="514"/>
  </r>
  <r>
    <x v="10"/>
    <x v="13"/>
    <x v="4"/>
    <x v="53"/>
    <n v="1"/>
    <n v="1028"/>
    <s v="INR"/>
    <s v="Own Brand"/>
    <x v="4"/>
    <x v="2"/>
    <x v="13"/>
    <x v="0"/>
    <n v="1028"/>
  </r>
  <r>
    <x v="10"/>
    <x v="13"/>
    <x v="4"/>
    <x v="54"/>
    <n v="1"/>
    <n v="2056"/>
    <s v="INR"/>
    <s v="Own Brand"/>
    <x v="4"/>
    <x v="2"/>
    <x v="13"/>
    <x v="0"/>
    <n v="2056"/>
  </r>
  <r>
    <x v="10"/>
    <x v="5"/>
    <x v="2"/>
    <x v="55"/>
    <n v="1"/>
    <n v="796"/>
    <s v="INR"/>
    <s v="Own Brand"/>
    <x v="2"/>
    <x v="1"/>
    <x v="5"/>
    <x v="0"/>
    <n v="796"/>
  </r>
  <r>
    <x v="10"/>
    <x v="13"/>
    <x v="4"/>
    <x v="55"/>
    <n v="1"/>
    <n v="1542"/>
    <s v="INR"/>
    <s v="Own Brand"/>
    <x v="4"/>
    <x v="2"/>
    <x v="13"/>
    <x v="0"/>
    <n v="1542"/>
  </r>
  <r>
    <x v="10"/>
    <x v="13"/>
    <x v="4"/>
    <x v="56"/>
    <n v="1"/>
    <n v="514"/>
    <s v="INR"/>
    <s v="Own Brand"/>
    <x v="4"/>
    <x v="2"/>
    <x v="13"/>
    <x v="0"/>
    <n v="514"/>
  </r>
  <r>
    <x v="10"/>
    <x v="13"/>
    <x v="4"/>
    <x v="57"/>
    <n v="1"/>
    <n v="1028"/>
    <s v="INR"/>
    <s v="Own Brand"/>
    <x v="4"/>
    <x v="2"/>
    <x v="13"/>
    <x v="0"/>
    <n v="1028"/>
  </r>
  <r>
    <x v="10"/>
    <x v="5"/>
    <x v="2"/>
    <x v="62"/>
    <n v="1"/>
    <n v="796"/>
    <s v="INR"/>
    <s v="Own Brand"/>
    <x v="2"/>
    <x v="1"/>
    <x v="5"/>
    <x v="0"/>
    <n v="796"/>
  </r>
  <r>
    <x v="10"/>
    <x v="5"/>
    <x v="2"/>
    <x v="68"/>
    <n v="1"/>
    <n v="796"/>
    <s v="INR"/>
    <s v="Own Brand"/>
    <x v="2"/>
    <x v="1"/>
    <x v="5"/>
    <x v="0"/>
    <n v="796"/>
  </r>
  <r>
    <x v="10"/>
    <x v="5"/>
    <x v="2"/>
    <x v="69"/>
    <n v="1"/>
    <n v="1593"/>
    <s v="INR"/>
    <s v="Own Brand"/>
    <x v="2"/>
    <x v="1"/>
    <x v="5"/>
    <x v="0"/>
    <n v="1593"/>
  </r>
  <r>
    <x v="10"/>
    <x v="5"/>
    <x v="2"/>
    <x v="70"/>
    <n v="1"/>
    <n v="796"/>
    <s v="INR"/>
    <s v="Own Brand"/>
    <x v="2"/>
    <x v="1"/>
    <x v="5"/>
    <x v="0"/>
    <n v="796"/>
  </r>
  <r>
    <x v="10"/>
    <x v="9"/>
    <x v="1"/>
    <x v="189"/>
    <n v="1"/>
    <n v="611"/>
    <s v="INR"/>
    <s v="Own Brand"/>
    <x v="1"/>
    <x v="1"/>
    <x v="9"/>
    <x v="0"/>
    <n v="611"/>
  </r>
  <r>
    <x v="10"/>
    <x v="13"/>
    <x v="4"/>
    <x v="78"/>
    <n v="1"/>
    <n v="1028"/>
    <s v="INR"/>
    <s v="Own Brand"/>
    <x v="4"/>
    <x v="2"/>
    <x v="13"/>
    <x v="0"/>
    <n v="1028"/>
  </r>
  <r>
    <x v="10"/>
    <x v="13"/>
    <x v="4"/>
    <x v="24"/>
    <n v="1"/>
    <n v="514"/>
    <s v="INR"/>
    <s v="Own Brand"/>
    <x v="4"/>
    <x v="2"/>
    <x v="13"/>
    <x v="0"/>
    <n v="514"/>
  </r>
  <r>
    <x v="10"/>
    <x v="13"/>
    <x v="4"/>
    <x v="190"/>
    <n v="1"/>
    <n v="514"/>
    <s v="INR"/>
    <s v="Own Brand"/>
    <x v="4"/>
    <x v="2"/>
    <x v="13"/>
    <x v="0"/>
    <n v="514"/>
  </r>
  <r>
    <x v="10"/>
    <x v="13"/>
    <x v="4"/>
    <x v="191"/>
    <n v="1"/>
    <n v="514"/>
    <s v="INR"/>
    <s v="Own Brand"/>
    <x v="4"/>
    <x v="2"/>
    <x v="13"/>
    <x v="0"/>
    <n v="514"/>
  </r>
  <r>
    <x v="10"/>
    <x v="5"/>
    <x v="2"/>
    <x v="192"/>
    <n v="1"/>
    <n v="796"/>
    <s v="INR"/>
    <s v="Own Brand"/>
    <x v="2"/>
    <x v="1"/>
    <x v="5"/>
    <x v="0"/>
    <n v="796"/>
  </r>
  <r>
    <x v="10"/>
    <x v="5"/>
    <x v="2"/>
    <x v="193"/>
    <n v="1"/>
    <n v="796"/>
    <s v="INR"/>
    <s v="Own Brand"/>
    <x v="2"/>
    <x v="1"/>
    <x v="5"/>
    <x v="0"/>
    <n v="796"/>
  </r>
  <r>
    <x v="10"/>
    <x v="13"/>
    <x v="4"/>
    <x v="194"/>
    <n v="1"/>
    <n v="514"/>
    <s v="INR"/>
    <s v="Own Brand"/>
    <x v="4"/>
    <x v="2"/>
    <x v="13"/>
    <x v="0"/>
    <n v="514"/>
  </r>
  <r>
    <x v="10"/>
    <x v="5"/>
    <x v="2"/>
    <x v="195"/>
    <n v="1"/>
    <n v="796"/>
    <s v="INR"/>
    <s v="Own Brand"/>
    <x v="2"/>
    <x v="1"/>
    <x v="5"/>
    <x v="0"/>
    <n v="796"/>
  </r>
  <r>
    <x v="10"/>
    <x v="5"/>
    <x v="2"/>
    <x v="87"/>
    <n v="1"/>
    <n v="1593"/>
    <s v="INR"/>
    <s v="Own Brand"/>
    <x v="2"/>
    <x v="1"/>
    <x v="5"/>
    <x v="0"/>
    <n v="1593"/>
  </r>
  <r>
    <x v="10"/>
    <x v="13"/>
    <x v="4"/>
    <x v="87"/>
    <n v="1"/>
    <n v="514"/>
    <s v="INR"/>
    <s v="Own Brand"/>
    <x v="4"/>
    <x v="2"/>
    <x v="13"/>
    <x v="0"/>
    <n v="514"/>
  </r>
  <r>
    <x v="10"/>
    <x v="5"/>
    <x v="2"/>
    <x v="88"/>
    <n v="1"/>
    <n v="3185"/>
    <s v="INR"/>
    <s v="Own Brand"/>
    <x v="2"/>
    <x v="1"/>
    <x v="5"/>
    <x v="0"/>
    <n v="3185"/>
  </r>
  <r>
    <x v="10"/>
    <x v="13"/>
    <x v="4"/>
    <x v="88"/>
    <n v="1"/>
    <n v="514"/>
    <s v="INR"/>
    <s v="Own Brand"/>
    <x v="4"/>
    <x v="2"/>
    <x v="13"/>
    <x v="0"/>
    <n v="514"/>
  </r>
  <r>
    <x v="10"/>
    <x v="13"/>
    <x v="4"/>
    <x v="196"/>
    <n v="1"/>
    <n v="514"/>
    <s v="INR"/>
    <s v="Own Brand"/>
    <x v="4"/>
    <x v="2"/>
    <x v="13"/>
    <x v="0"/>
    <n v="514"/>
  </r>
  <r>
    <x v="10"/>
    <x v="5"/>
    <x v="2"/>
    <x v="91"/>
    <n v="2"/>
    <n v="4778"/>
    <s v="INR"/>
    <s v="Own Brand"/>
    <x v="2"/>
    <x v="1"/>
    <x v="5"/>
    <x v="0"/>
    <n v="4778"/>
  </r>
  <r>
    <x v="10"/>
    <x v="13"/>
    <x v="4"/>
    <x v="91"/>
    <n v="1"/>
    <n v="514"/>
    <s v="INR"/>
    <s v="Own Brand"/>
    <x v="4"/>
    <x v="2"/>
    <x v="13"/>
    <x v="0"/>
    <n v="514"/>
  </r>
  <r>
    <x v="10"/>
    <x v="5"/>
    <x v="2"/>
    <x v="92"/>
    <n v="4"/>
    <n v="10352"/>
    <s v="INR"/>
    <s v="Own Brand"/>
    <x v="2"/>
    <x v="1"/>
    <x v="5"/>
    <x v="0"/>
    <n v="10352"/>
  </r>
  <r>
    <x v="10"/>
    <x v="5"/>
    <x v="2"/>
    <x v="93"/>
    <n v="1"/>
    <n v="796"/>
    <s v="INR"/>
    <s v="Own Brand"/>
    <x v="2"/>
    <x v="1"/>
    <x v="5"/>
    <x v="0"/>
    <n v="796"/>
  </r>
  <r>
    <x v="10"/>
    <x v="13"/>
    <x v="4"/>
    <x v="197"/>
    <n v="1"/>
    <n v="1028"/>
    <s v="INR"/>
    <s v="Own Brand"/>
    <x v="4"/>
    <x v="2"/>
    <x v="13"/>
    <x v="0"/>
    <n v="1028"/>
  </r>
  <r>
    <x v="10"/>
    <x v="13"/>
    <x v="4"/>
    <x v="198"/>
    <n v="1"/>
    <n v="514"/>
    <s v="INR"/>
    <s v="Own Brand"/>
    <x v="4"/>
    <x v="2"/>
    <x v="13"/>
    <x v="0"/>
    <n v="514"/>
  </r>
  <r>
    <x v="11"/>
    <x v="15"/>
    <x v="4"/>
    <x v="199"/>
    <n v="33"/>
    <n v="29648"/>
    <s v="INR"/>
    <s v="Own Brand"/>
    <x v="4"/>
    <x v="2"/>
    <x v="15"/>
    <x v="0"/>
    <n v="29648"/>
  </r>
  <r>
    <x v="12"/>
    <x v="0"/>
    <x v="0"/>
    <x v="0"/>
    <n v="240"/>
    <n v="143560"/>
    <s v="INR"/>
    <s v="Own Brand"/>
    <x v="0"/>
    <x v="0"/>
    <x v="0"/>
    <x v="0"/>
    <n v="143560"/>
  </r>
  <r>
    <x v="12"/>
    <x v="3"/>
    <x v="2"/>
    <x v="200"/>
    <n v="7"/>
    <n v="6204"/>
    <s v="INR"/>
    <s v="Own Brand"/>
    <x v="2"/>
    <x v="1"/>
    <x v="3"/>
    <x v="0"/>
    <n v="6204"/>
  </r>
  <r>
    <x v="12"/>
    <x v="5"/>
    <x v="2"/>
    <x v="201"/>
    <n v="1"/>
    <n v="495"/>
    <s v="INR"/>
    <s v="Own Brand"/>
    <x v="2"/>
    <x v="1"/>
    <x v="5"/>
    <x v="0"/>
    <n v="495"/>
  </r>
  <r>
    <x v="12"/>
    <x v="4"/>
    <x v="2"/>
    <x v="202"/>
    <n v="20"/>
    <n v="25130"/>
    <s v="INR"/>
    <s v="Own Brand"/>
    <x v="2"/>
    <x v="1"/>
    <x v="4"/>
    <x v="0"/>
    <n v="25130"/>
  </r>
  <r>
    <x v="12"/>
    <x v="5"/>
    <x v="2"/>
    <x v="107"/>
    <n v="1"/>
    <n v="986"/>
    <s v="INR"/>
    <s v="Own Brand"/>
    <x v="2"/>
    <x v="1"/>
    <x v="5"/>
    <x v="0"/>
    <n v="986"/>
  </r>
  <r>
    <x v="12"/>
    <x v="16"/>
    <x v="2"/>
    <x v="203"/>
    <n v="13"/>
    <n v="23898"/>
    <s v="INR"/>
    <s v="Own Brand"/>
    <x v="2"/>
    <x v="1"/>
    <x v="16"/>
    <x v="1"/>
    <n v="23898"/>
  </r>
  <r>
    <x v="12"/>
    <x v="3"/>
    <x v="2"/>
    <x v="28"/>
    <n v="1"/>
    <n v="296"/>
    <s v="INR"/>
    <s v="Own Brand"/>
    <x v="2"/>
    <x v="1"/>
    <x v="3"/>
    <x v="0"/>
    <n v="296"/>
  </r>
  <r>
    <x v="12"/>
    <x v="4"/>
    <x v="2"/>
    <x v="204"/>
    <n v="1"/>
    <n v="356"/>
    <s v="INR"/>
    <s v="Own Brand"/>
    <x v="2"/>
    <x v="1"/>
    <x v="4"/>
    <x v="0"/>
    <n v="356"/>
  </r>
  <r>
    <x v="0"/>
    <x v="0"/>
    <x v="0"/>
    <x v="0"/>
    <n v="100"/>
    <n v="41241"/>
    <s v="INR_x000d_"/>
    <s v="Own Brand"/>
    <x v="0"/>
    <x v="0"/>
    <x v="0"/>
    <x v="0"/>
    <n v="41241"/>
  </r>
  <r>
    <x v="1"/>
    <x v="1"/>
    <x v="1"/>
    <x v="1"/>
    <n v="1"/>
    <n v="875"/>
    <s v="INR_x000d_"/>
    <s v="Own Brand"/>
    <x v="1"/>
    <x v="1"/>
    <x v="1"/>
    <x v="0"/>
    <n v="875"/>
  </r>
  <r>
    <x v="1"/>
    <x v="1"/>
    <x v="1"/>
    <x v="2"/>
    <n v="1"/>
    <n v="583"/>
    <s v="INR_x000d_"/>
    <s v="Own Brand"/>
    <x v="1"/>
    <x v="1"/>
    <x v="1"/>
    <x v="0"/>
    <n v="583"/>
  </r>
  <r>
    <x v="1"/>
    <x v="2"/>
    <x v="1"/>
    <x v="3"/>
    <n v="6"/>
    <n v="7176"/>
    <s v="INR_x000d_"/>
    <s v="Own Brand"/>
    <x v="1"/>
    <x v="1"/>
    <x v="2"/>
    <x v="0"/>
    <n v="7176"/>
  </r>
  <r>
    <x v="2"/>
    <x v="3"/>
    <x v="2"/>
    <x v="4"/>
    <n v="59"/>
    <n v="500"/>
    <s v="USD_x000d_"/>
    <s v="Own Brand"/>
    <x v="2"/>
    <x v="1"/>
    <x v="3"/>
    <x v="0"/>
    <n v="41500"/>
  </r>
  <r>
    <x v="2"/>
    <x v="3"/>
    <x v="2"/>
    <x v="5"/>
    <n v="36"/>
    <n v="250"/>
    <s v="USD_x000d_"/>
    <s v="Own Brand"/>
    <x v="2"/>
    <x v="1"/>
    <x v="3"/>
    <x v="0"/>
    <n v="20750"/>
  </r>
  <r>
    <x v="2"/>
    <x v="3"/>
    <x v="2"/>
    <x v="6"/>
    <n v="39"/>
    <n v="21412"/>
    <s v="INR_x000d_"/>
    <s v="Own Brand"/>
    <x v="2"/>
    <x v="1"/>
    <x v="3"/>
    <x v="0"/>
    <n v="21412"/>
  </r>
  <r>
    <x v="2"/>
    <x v="3"/>
    <x v="2"/>
    <x v="7"/>
    <n v="35"/>
    <n v="19213"/>
    <s v="INR_x000d_"/>
    <s v="Own Brand"/>
    <x v="2"/>
    <x v="1"/>
    <x v="3"/>
    <x v="0"/>
    <n v="19213"/>
  </r>
  <r>
    <x v="2"/>
    <x v="3"/>
    <x v="2"/>
    <x v="8"/>
    <n v="310"/>
    <n v="170185"/>
    <s v="INR_x000d_"/>
    <s v="Own Brand"/>
    <x v="2"/>
    <x v="1"/>
    <x v="3"/>
    <x v="0"/>
    <n v="170185"/>
  </r>
  <r>
    <x v="2"/>
    <x v="3"/>
    <x v="2"/>
    <x v="9"/>
    <n v="184"/>
    <n v="101194"/>
    <s v="INR_x000d_"/>
    <s v="Own Brand"/>
    <x v="2"/>
    <x v="1"/>
    <x v="3"/>
    <x v="0"/>
    <n v="101194"/>
  </r>
  <r>
    <x v="2"/>
    <x v="3"/>
    <x v="2"/>
    <x v="10"/>
    <n v="35"/>
    <n v="19213"/>
    <s v="INR_x000d_"/>
    <s v="Own Brand"/>
    <x v="2"/>
    <x v="1"/>
    <x v="3"/>
    <x v="0"/>
    <n v="19213"/>
  </r>
  <r>
    <x v="3"/>
    <x v="3"/>
    <x v="2"/>
    <x v="9"/>
    <n v="17"/>
    <n v="9426"/>
    <s v="INR_x000d_"/>
    <s v="Own Brand"/>
    <x v="2"/>
    <x v="1"/>
    <x v="3"/>
    <x v="0"/>
    <n v="9426"/>
  </r>
  <r>
    <x v="3"/>
    <x v="3"/>
    <x v="2"/>
    <x v="11"/>
    <n v="1"/>
    <n v="218"/>
    <s v="INR_x000d_"/>
    <s v="Own Brand"/>
    <x v="2"/>
    <x v="1"/>
    <x v="3"/>
    <x v="0"/>
    <n v="218"/>
  </r>
  <r>
    <x v="4"/>
    <x v="3"/>
    <x v="2"/>
    <x v="12"/>
    <n v="5"/>
    <n v="3093"/>
    <s v="INR_x000d_"/>
    <s v="Own Brand"/>
    <x v="2"/>
    <x v="1"/>
    <x v="3"/>
    <x v="0"/>
    <n v="3093"/>
  </r>
  <r>
    <x v="2"/>
    <x v="4"/>
    <x v="2"/>
    <x v="13"/>
    <n v="58"/>
    <n v="30306"/>
    <s v="INR_x000d_"/>
    <s v="Own Brand"/>
    <x v="2"/>
    <x v="1"/>
    <x v="4"/>
    <x v="0"/>
    <n v="30306"/>
  </r>
  <r>
    <x v="4"/>
    <x v="4"/>
    <x v="2"/>
    <x v="14"/>
    <n v="38"/>
    <n v="52319"/>
    <s v="INR_x000d_"/>
    <s v="Own Brand"/>
    <x v="2"/>
    <x v="1"/>
    <x v="4"/>
    <x v="0"/>
    <n v="52319"/>
  </r>
  <r>
    <x v="4"/>
    <x v="4"/>
    <x v="2"/>
    <x v="15"/>
    <n v="93"/>
    <n v="126296"/>
    <s v="INR_x000d_"/>
    <s v="Own Brand"/>
    <x v="2"/>
    <x v="1"/>
    <x v="4"/>
    <x v="0"/>
    <n v="126296"/>
  </r>
  <r>
    <x v="4"/>
    <x v="4"/>
    <x v="2"/>
    <x v="16"/>
    <n v="79"/>
    <n v="107500"/>
    <s v="INR_x000d_"/>
    <s v="Own Brand"/>
    <x v="2"/>
    <x v="1"/>
    <x v="4"/>
    <x v="0"/>
    <n v="107500"/>
  </r>
  <r>
    <x v="4"/>
    <x v="4"/>
    <x v="2"/>
    <x v="17"/>
    <n v="1"/>
    <n v="273"/>
    <s v="INR_x000d_"/>
    <s v="Own Brand"/>
    <x v="2"/>
    <x v="1"/>
    <x v="4"/>
    <x v="0"/>
    <n v="273"/>
  </r>
  <r>
    <x v="4"/>
    <x v="4"/>
    <x v="2"/>
    <x v="18"/>
    <n v="3"/>
    <n v="3574"/>
    <s v="INR_x000d_"/>
    <s v="Own Brand"/>
    <x v="2"/>
    <x v="1"/>
    <x v="4"/>
    <x v="0"/>
    <n v="3574"/>
  </r>
  <r>
    <x v="4"/>
    <x v="4"/>
    <x v="2"/>
    <x v="19"/>
    <n v="1"/>
    <n v="273"/>
    <s v="INR_x000d_"/>
    <s v="Own Brand"/>
    <x v="2"/>
    <x v="1"/>
    <x v="4"/>
    <x v="0"/>
    <n v="273"/>
  </r>
  <r>
    <x v="4"/>
    <x v="4"/>
    <x v="2"/>
    <x v="20"/>
    <n v="20"/>
    <n v="23403"/>
    <s v="INR_x000d_"/>
    <s v="Own Brand"/>
    <x v="2"/>
    <x v="1"/>
    <x v="4"/>
    <x v="0"/>
    <n v="23403"/>
  </r>
  <r>
    <x v="4"/>
    <x v="4"/>
    <x v="2"/>
    <x v="21"/>
    <n v="81"/>
    <n v="76329"/>
    <s v="INR_x000d_"/>
    <s v="Own Brand"/>
    <x v="2"/>
    <x v="1"/>
    <x v="4"/>
    <x v="0"/>
    <n v="76329"/>
  </r>
  <r>
    <x v="4"/>
    <x v="4"/>
    <x v="2"/>
    <x v="22"/>
    <n v="5"/>
    <n v="4542"/>
    <s v="INR_x000d_"/>
    <s v="Own Brand"/>
    <x v="2"/>
    <x v="1"/>
    <x v="4"/>
    <x v="0"/>
    <n v="4542"/>
  </r>
  <r>
    <x v="4"/>
    <x v="4"/>
    <x v="2"/>
    <x v="23"/>
    <n v="18"/>
    <n v="16579"/>
    <s v="INR_x000d_"/>
    <s v="Own Brand"/>
    <x v="2"/>
    <x v="1"/>
    <x v="4"/>
    <x v="0"/>
    <n v="16579"/>
  </r>
  <r>
    <x v="4"/>
    <x v="4"/>
    <x v="2"/>
    <x v="24"/>
    <n v="90"/>
    <n v="105301"/>
    <s v="INR_x000d_"/>
    <s v="Own Brand"/>
    <x v="2"/>
    <x v="1"/>
    <x v="4"/>
    <x v="0"/>
    <n v="105301"/>
  </r>
  <r>
    <x v="3"/>
    <x v="5"/>
    <x v="2"/>
    <x v="25"/>
    <n v="1"/>
    <n v="185"/>
    <s v="INR_x000d_"/>
    <s v="Own Brand"/>
    <x v="2"/>
    <x v="1"/>
    <x v="5"/>
    <x v="0"/>
    <n v="185"/>
  </r>
  <r>
    <x v="3"/>
    <x v="5"/>
    <x v="2"/>
    <x v="26"/>
    <n v="1"/>
    <n v="556"/>
    <s v="INR_x000d_"/>
    <s v="Own Brand"/>
    <x v="2"/>
    <x v="1"/>
    <x v="5"/>
    <x v="0"/>
    <n v="556"/>
  </r>
  <r>
    <x v="3"/>
    <x v="5"/>
    <x v="2"/>
    <x v="27"/>
    <n v="1"/>
    <n v="551"/>
    <s v="INR_x000d_"/>
    <s v="Own Brand"/>
    <x v="2"/>
    <x v="1"/>
    <x v="5"/>
    <x v="0"/>
    <n v="551"/>
  </r>
  <r>
    <x v="3"/>
    <x v="5"/>
    <x v="2"/>
    <x v="28"/>
    <n v="1"/>
    <n v="167"/>
    <s v="INR_x000d_"/>
    <s v="Own Brand"/>
    <x v="2"/>
    <x v="1"/>
    <x v="5"/>
    <x v="0"/>
    <n v="167"/>
  </r>
  <r>
    <x v="3"/>
    <x v="5"/>
    <x v="2"/>
    <x v="29"/>
    <n v="1"/>
    <n v="333"/>
    <s v="INR_x000d_"/>
    <s v="Own Brand"/>
    <x v="2"/>
    <x v="1"/>
    <x v="5"/>
    <x v="0"/>
    <n v="333"/>
  </r>
  <r>
    <x v="3"/>
    <x v="5"/>
    <x v="2"/>
    <x v="30"/>
    <n v="1"/>
    <n v="500"/>
    <s v="INR_x000d_"/>
    <s v="Own Brand"/>
    <x v="2"/>
    <x v="1"/>
    <x v="5"/>
    <x v="0"/>
    <n v="500"/>
  </r>
  <r>
    <x v="3"/>
    <x v="5"/>
    <x v="2"/>
    <x v="31"/>
    <n v="1"/>
    <n v="333"/>
    <s v="INR_x000d_"/>
    <s v="Own Brand"/>
    <x v="2"/>
    <x v="1"/>
    <x v="5"/>
    <x v="0"/>
    <n v="333"/>
  </r>
  <r>
    <x v="3"/>
    <x v="5"/>
    <x v="2"/>
    <x v="32"/>
    <n v="1"/>
    <n v="333"/>
    <s v="INR_x000d_"/>
    <s v="Own Brand"/>
    <x v="2"/>
    <x v="1"/>
    <x v="5"/>
    <x v="0"/>
    <n v="333"/>
  </r>
  <r>
    <x v="3"/>
    <x v="5"/>
    <x v="2"/>
    <x v="7"/>
    <n v="1"/>
    <n v="500"/>
    <s v="INR_x000d_"/>
    <s v="Own Brand"/>
    <x v="2"/>
    <x v="1"/>
    <x v="5"/>
    <x v="0"/>
    <n v="500"/>
  </r>
  <r>
    <x v="3"/>
    <x v="5"/>
    <x v="2"/>
    <x v="13"/>
    <n v="1"/>
    <n v="833"/>
    <s v="INR_x000d_"/>
    <s v="Own Brand"/>
    <x v="2"/>
    <x v="1"/>
    <x v="5"/>
    <x v="0"/>
    <n v="833"/>
  </r>
  <r>
    <x v="3"/>
    <x v="5"/>
    <x v="2"/>
    <x v="33"/>
    <n v="1"/>
    <n v="167"/>
    <s v="INR_x000d_"/>
    <s v="Own Brand"/>
    <x v="2"/>
    <x v="1"/>
    <x v="5"/>
    <x v="0"/>
    <n v="167"/>
  </r>
  <r>
    <x v="3"/>
    <x v="5"/>
    <x v="2"/>
    <x v="34"/>
    <n v="1"/>
    <n v="833"/>
    <s v="INR_x000d_"/>
    <s v="Own Brand"/>
    <x v="2"/>
    <x v="1"/>
    <x v="5"/>
    <x v="0"/>
    <n v="833"/>
  </r>
  <r>
    <x v="3"/>
    <x v="5"/>
    <x v="2"/>
    <x v="35"/>
    <n v="1"/>
    <n v="1000"/>
    <s v="INR_x000d_"/>
    <s v="Own Brand"/>
    <x v="2"/>
    <x v="1"/>
    <x v="5"/>
    <x v="0"/>
    <n v="1000"/>
  </r>
  <r>
    <x v="3"/>
    <x v="5"/>
    <x v="2"/>
    <x v="36"/>
    <n v="2"/>
    <n v="1833"/>
    <s v="INR_x000d_"/>
    <s v="Own Brand"/>
    <x v="2"/>
    <x v="1"/>
    <x v="5"/>
    <x v="0"/>
    <n v="1833"/>
  </r>
  <r>
    <x v="3"/>
    <x v="5"/>
    <x v="2"/>
    <x v="37"/>
    <n v="1"/>
    <n v="167"/>
    <s v="INR_x000d_"/>
    <s v="Own Brand"/>
    <x v="2"/>
    <x v="1"/>
    <x v="5"/>
    <x v="0"/>
    <n v="167"/>
  </r>
  <r>
    <x v="3"/>
    <x v="5"/>
    <x v="2"/>
    <x v="38"/>
    <n v="1"/>
    <n v="167"/>
    <s v="INR_x000d_"/>
    <s v="Own Brand"/>
    <x v="2"/>
    <x v="1"/>
    <x v="5"/>
    <x v="0"/>
    <n v="167"/>
  </r>
  <r>
    <x v="3"/>
    <x v="5"/>
    <x v="2"/>
    <x v="39"/>
    <n v="1"/>
    <n v="833"/>
    <s v="INR_x000d_"/>
    <s v="Own Brand"/>
    <x v="2"/>
    <x v="1"/>
    <x v="5"/>
    <x v="0"/>
    <n v="833"/>
  </r>
  <r>
    <x v="3"/>
    <x v="5"/>
    <x v="2"/>
    <x v="40"/>
    <n v="1"/>
    <n v="167"/>
    <s v="INR_x000d_"/>
    <s v="Own Brand"/>
    <x v="2"/>
    <x v="1"/>
    <x v="5"/>
    <x v="0"/>
    <n v="167"/>
  </r>
  <r>
    <x v="3"/>
    <x v="5"/>
    <x v="2"/>
    <x v="41"/>
    <n v="26"/>
    <n v="10657"/>
    <s v="INR_x000d_"/>
    <s v="Own Brand"/>
    <x v="2"/>
    <x v="1"/>
    <x v="5"/>
    <x v="0"/>
    <n v="10657"/>
  </r>
  <r>
    <x v="3"/>
    <x v="5"/>
    <x v="2"/>
    <x v="42"/>
    <n v="1"/>
    <n v="167"/>
    <s v="INR_x000d_"/>
    <s v="Own Brand"/>
    <x v="2"/>
    <x v="1"/>
    <x v="5"/>
    <x v="0"/>
    <n v="167"/>
  </r>
  <r>
    <x v="4"/>
    <x v="5"/>
    <x v="2"/>
    <x v="43"/>
    <n v="1"/>
    <n v="157"/>
    <s v="INR_x000d_"/>
    <s v="Own Brand"/>
    <x v="2"/>
    <x v="1"/>
    <x v="5"/>
    <x v="0"/>
    <n v="157"/>
  </r>
  <r>
    <x v="4"/>
    <x v="5"/>
    <x v="2"/>
    <x v="44"/>
    <n v="1"/>
    <n v="315"/>
    <s v="INR_x000d_"/>
    <s v="Own Brand"/>
    <x v="2"/>
    <x v="1"/>
    <x v="5"/>
    <x v="0"/>
    <n v="315"/>
  </r>
  <r>
    <x v="4"/>
    <x v="5"/>
    <x v="2"/>
    <x v="45"/>
    <n v="1"/>
    <n v="630"/>
    <s v="INR_x000d_"/>
    <s v="Own Brand"/>
    <x v="2"/>
    <x v="1"/>
    <x v="5"/>
    <x v="0"/>
    <n v="630"/>
  </r>
  <r>
    <x v="4"/>
    <x v="5"/>
    <x v="2"/>
    <x v="46"/>
    <n v="1"/>
    <n v="315"/>
    <s v="INR_x000d_"/>
    <s v="Own Brand"/>
    <x v="2"/>
    <x v="1"/>
    <x v="5"/>
    <x v="0"/>
    <n v="315"/>
  </r>
  <r>
    <x v="4"/>
    <x v="5"/>
    <x v="2"/>
    <x v="47"/>
    <n v="1"/>
    <n v="157"/>
    <s v="INR_x000d_"/>
    <s v="Own Brand"/>
    <x v="2"/>
    <x v="1"/>
    <x v="5"/>
    <x v="0"/>
    <n v="157"/>
  </r>
  <r>
    <x v="4"/>
    <x v="5"/>
    <x v="2"/>
    <x v="48"/>
    <n v="1"/>
    <n v="472"/>
    <s v="INR_x000d_"/>
    <s v="Own Brand"/>
    <x v="2"/>
    <x v="1"/>
    <x v="5"/>
    <x v="0"/>
    <n v="472"/>
  </r>
  <r>
    <x v="4"/>
    <x v="5"/>
    <x v="2"/>
    <x v="49"/>
    <n v="1"/>
    <n v="157"/>
    <s v="INR_x000d_"/>
    <s v="Own Brand"/>
    <x v="2"/>
    <x v="1"/>
    <x v="5"/>
    <x v="0"/>
    <n v="157"/>
  </r>
  <r>
    <x v="4"/>
    <x v="5"/>
    <x v="2"/>
    <x v="50"/>
    <n v="1"/>
    <n v="157"/>
    <s v="INR_x000d_"/>
    <s v="Own Brand"/>
    <x v="2"/>
    <x v="1"/>
    <x v="5"/>
    <x v="0"/>
    <n v="157"/>
  </r>
  <r>
    <x v="4"/>
    <x v="5"/>
    <x v="2"/>
    <x v="51"/>
    <n v="1"/>
    <n v="315"/>
    <s v="INR_x000d_"/>
    <s v="Own Brand"/>
    <x v="2"/>
    <x v="1"/>
    <x v="5"/>
    <x v="0"/>
    <n v="315"/>
  </r>
  <r>
    <x v="4"/>
    <x v="5"/>
    <x v="2"/>
    <x v="52"/>
    <n v="1"/>
    <n v="157"/>
    <s v="INR_x000d_"/>
    <s v="Own Brand"/>
    <x v="2"/>
    <x v="1"/>
    <x v="5"/>
    <x v="0"/>
    <n v="157"/>
  </r>
  <r>
    <x v="4"/>
    <x v="5"/>
    <x v="2"/>
    <x v="53"/>
    <n v="1"/>
    <n v="472"/>
    <s v="INR_x000d_"/>
    <s v="Own Brand"/>
    <x v="2"/>
    <x v="1"/>
    <x v="5"/>
    <x v="0"/>
    <n v="472"/>
  </r>
  <r>
    <x v="4"/>
    <x v="5"/>
    <x v="2"/>
    <x v="54"/>
    <n v="1"/>
    <n v="472"/>
    <s v="INR_x000d_"/>
    <s v="Own Brand"/>
    <x v="2"/>
    <x v="1"/>
    <x v="5"/>
    <x v="0"/>
    <n v="472"/>
  </r>
  <r>
    <x v="4"/>
    <x v="5"/>
    <x v="2"/>
    <x v="55"/>
    <n v="1"/>
    <n v="315"/>
    <s v="INR_x000d_"/>
    <s v="Own Brand"/>
    <x v="2"/>
    <x v="1"/>
    <x v="5"/>
    <x v="0"/>
    <n v="315"/>
  </r>
  <r>
    <x v="4"/>
    <x v="5"/>
    <x v="2"/>
    <x v="56"/>
    <n v="1"/>
    <n v="472"/>
    <s v="INR_x000d_"/>
    <s v="Own Brand"/>
    <x v="2"/>
    <x v="1"/>
    <x v="5"/>
    <x v="0"/>
    <n v="472"/>
  </r>
  <r>
    <x v="4"/>
    <x v="5"/>
    <x v="2"/>
    <x v="57"/>
    <n v="1"/>
    <n v="315"/>
    <s v="INR_x000d_"/>
    <s v="Own Brand"/>
    <x v="2"/>
    <x v="1"/>
    <x v="5"/>
    <x v="0"/>
    <n v="315"/>
  </r>
  <r>
    <x v="4"/>
    <x v="5"/>
    <x v="2"/>
    <x v="58"/>
    <n v="1"/>
    <n v="157"/>
    <s v="INR_x000d_"/>
    <s v="Own Brand"/>
    <x v="2"/>
    <x v="1"/>
    <x v="5"/>
    <x v="0"/>
    <n v="157"/>
  </r>
  <r>
    <x v="4"/>
    <x v="5"/>
    <x v="2"/>
    <x v="59"/>
    <n v="1"/>
    <n v="315"/>
    <s v="INR_x000d_"/>
    <s v="Own Brand"/>
    <x v="2"/>
    <x v="1"/>
    <x v="5"/>
    <x v="0"/>
    <n v="315"/>
  </r>
  <r>
    <x v="4"/>
    <x v="5"/>
    <x v="2"/>
    <x v="60"/>
    <n v="1"/>
    <n v="315"/>
    <s v="INR_x000d_"/>
    <s v="Own Brand"/>
    <x v="2"/>
    <x v="1"/>
    <x v="5"/>
    <x v="0"/>
    <n v="315"/>
  </r>
  <r>
    <x v="4"/>
    <x v="5"/>
    <x v="2"/>
    <x v="61"/>
    <n v="1"/>
    <n v="315"/>
    <s v="INR_x000d_"/>
    <s v="Own Brand"/>
    <x v="2"/>
    <x v="1"/>
    <x v="5"/>
    <x v="0"/>
    <n v="315"/>
  </r>
  <r>
    <x v="4"/>
    <x v="5"/>
    <x v="2"/>
    <x v="62"/>
    <n v="1"/>
    <n v="787"/>
    <s v="INR_x000d_"/>
    <s v="Own Brand"/>
    <x v="2"/>
    <x v="1"/>
    <x v="5"/>
    <x v="0"/>
    <n v="787"/>
  </r>
  <r>
    <x v="4"/>
    <x v="5"/>
    <x v="2"/>
    <x v="63"/>
    <n v="1"/>
    <n v="630"/>
    <s v="INR_x000d_"/>
    <s v="Own Brand"/>
    <x v="2"/>
    <x v="1"/>
    <x v="5"/>
    <x v="0"/>
    <n v="630"/>
  </r>
  <r>
    <x v="4"/>
    <x v="5"/>
    <x v="2"/>
    <x v="64"/>
    <n v="1"/>
    <n v="472"/>
    <s v="INR_x000d_"/>
    <s v="Own Brand"/>
    <x v="2"/>
    <x v="1"/>
    <x v="5"/>
    <x v="0"/>
    <n v="472"/>
  </r>
  <r>
    <x v="4"/>
    <x v="5"/>
    <x v="2"/>
    <x v="65"/>
    <n v="1"/>
    <n v="315"/>
    <s v="INR_x000d_"/>
    <s v="Own Brand"/>
    <x v="2"/>
    <x v="1"/>
    <x v="5"/>
    <x v="0"/>
    <n v="315"/>
  </r>
  <r>
    <x v="4"/>
    <x v="5"/>
    <x v="2"/>
    <x v="66"/>
    <n v="1"/>
    <n v="787"/>
    <s v="INR_x000d_"/>
    <s v="Own Brand"/>
    <x v="2"/>
    <x v="1"/>
    <x v="5"/>
    <x v="0"/>
    <n v="787"/>
  </r>
  <r>
    <x v="4"/>
    <x v="5"/>
    <x v="2"/>
    <x v="67"/>
    <n v="1"/>
    <n v="1102"/>
    <s v="INR_x000d_"/>
    <s v="Own Brand"/>
    <x v="2"/>
    <x v="1"/>
    <x v="5"/>
    <x v="0"/>
    <n v="1102"/>
  </r>
  <r>
    <x v="4"/>
    <x v="5"/>
    <x v="2"/>
    <x v="68"/>
    <n v="1"/>
    <n v="787"/>
    <s v="INR_x000d_"/>
    <s v="Own Brand"/>
    <x v="2"/>
    <x v="1"/>
    <x v="5"/>
    <x v="0"/>
    <n v="787"/>
  </r>
  <r>
    <x v="4"/>
    <x v="5"/>
    <x v="2"/>
    <x v="20"/>
    <n v="1"/>
    <n v="157"/>
    <s v="INR_x000d_"/>
    <s v="Own Brand"/>
    <x v="2"/>
    <x v="1"/>
    <x v="5"/>
    <x v="0"/>
    <n v="157"/>
  </r>
  <r>
    <x v="4"/>
    <x v="5"/>
    <x v="2"/>
    <x v="69"/>
    <n v="1"/>
    <n v="315"/>
    <s v="INR_x000d_"/>
    <s v="Own Brand"/>
    <x v="2"/>
    <x v="1"/>
    <x v="5"/>
    <x v="0"/>
    <n v="315"/>
  </r>
  <r>
    <x v="4"/>
    <x v="5"/>
    <x v="2"/>
    <x v="70"/>
    <n v="1"/>
    <n v="315"/>
    <s v="INR_x000d_"/>
    <s v="Own Brand"/>
    <x v="2"/>
    <x v="1"/>
    <x v="5"/>
    <x v="0"/>
    <n v="315"/>
  </r>
  <r>
    <x v="4"/>
    <x v="5"/>
    <x v="2"/>
    <x v="71"/>
    <n v="1"/>
    <n v="315"/>
    <s v="INR_x000d_"/>
    <s v="Own Brand"/>
    <x v="2"/>
    <x v="1"/>
    <x v="5"/>
    <x v="0"/>
    <n v="315"/>
  </r>
  <r>
    <x v="4"/>
    <x v="5"/>
    <x v="2"/>
    <x v="72"/>
    <n v="1"/>
    <n v="472"/>
    <s v="INR_x000d_"/>
    <s v="Own Brand"/>
    <x v="2"/>
    <x v="1"/>
    <x v="5"/>
    <x v="0"/>
    <n v="472"/>
  </r>
  <r>
    <x v="4"/>
    <x v="5"/>
    <x v="2"/>
    <x v="73"/>
    <n v="1"/>
    <n v="630"/>
    <s v="INR_x000d_"/>
    <s v="Own Brand"/>
    <x v="2"/>
    <x v="1"/>
    <x v="5"/>
    <x v="0"/>
    <n v="630"/>
  </r>
  <r>
    <x v="4"/>
    <x v="5"/>
    <x v="2"/>
    <x v="74"/>
    <n v="1"/>
    <n v="944"/>
    <s v="INR_x000d_"/>
    <s v="Own Brand"/>
    <x v="2"/>
    <x v="1"/>
    <x v="5"/>
    <x v="0"/>
    <n v="944"/>
  </r>
  <r>
    <x v="4"/>
    <x v="5"/>
    <x v="2"/>
    <x v="75"/>
    <n v="2"/>
    <n v="1417"/>
    <s v="INR_x000d_"/>
    <s v="Own Brand"/>
    <x v="2"/>
    <x v="1"/>
    <x v="5"/>
    <x v="0"/>
    <n v="1417"/>
  </r>
  <r>
    <x v="4"/>
    <x v="5"/>
    <x v="2"/>
    <x v="76"/>
    <n v="2"/>
    <n v="1417"/>
    <s v="INR_x000d_"/>
    <s v="Own Brand"/>
    <x v="2"/>
    <x v="1"/>
    <x v="5"/>
    <x v="0"/>
    <n v="1417"/>
  </r>
  <r>
    <x v="4"/>
    <x v="5"/>
    <x v="2"/>
    <x v="77"/>
    <n v="1"/>
    <n v="787"/>
    <s v="INR_x000d_"/>
    <s v="Own Brand"/>
    <x v="2"/>
    <x v="1"/>
    <x v="5"/>
    <x v="0"/>
    <n v="787"/>
  </r>
  <r>
    <x v="4"/>
    <x v="5"/>
    <x v="2"/>
    <x v="78"/>
    <n v="1"/>
    <n v="1259"/>
    <s v="INR_x000d_"/>
    <s v="Own Brand"/>
    <x v="2"/>
    <x v="1"/>
    <x v="5"/>
    <x v="0"/>
    <n v="1259"/>
  </r>
  <r>
    <x v="4"/>
    <x v="5"/>
    <x v="2"/>
    <x v="79"/>
    <n v="2"/>
    <n v="1574"/>
    <s v="INR_x000d_"/>
    <s v="Own Brand"/>
    <x v="2"/>
    <x v="1"/>
    <x v="5"/>
    <x v="0"/>
    <n v="1574"/>
  </r>
  <r>
    <x v="4"/>
    <x v="5"/>
    <x v="2"/>
    <x v="80"/>
    <n v="1"/>
    <n v="630"/>
    <s v="INR_x000d_"/>
    <s v="Own Brand"/>
    <x v="2"/>
    <x v="1"/>
    <x v="5"/>
    <x v="0"/>
    <n v="630"/>
  </r>
  <r>
    <x v="4"/>
    <x v="5"/>
    <x v="2"/>
    <x v="81"/>
    <n v="1"/>
    <n v="157"/>
    <s v="INR_x000d_"/>
    <s v="Own Brand"/>
    <x v="2"/>
    <x v="1"/>
    <x v="5"/>
    <x v="0"/>
    <n v="157"/>
  </r>
  <r>
    <x v="4"/>
    <x v="5"/>
    <x v="2"/>
    <x v="82"/>
    <n v="2"/>
    <n v="1417"/>
    <s v="INR_x000d_"/>
    <s v="Own Brand"/>
    <x v="2"/>
    <x v="1"/>
    <x v="5"/>
    <x v="0"/>
    <n v="1417"/>
  </r>
  <r>
    <x v="4"/>
    <x v="5"/>
    <x v="2"/>
    <x v="83"/>
    <n v="1"/>
    <n v="630"/>
    <s v="INR_x000d_"/>
    <s v="Own Brand"/>
    <x v="2"/>
    <x v="1"/>
    <x v="5"/>
    <x v="0"/>
    <n v="630"/>
  </r>
  <r>
    <x v="4"/>
    <x v="5"/>
    <x v="2"/>
    <x v="84"/>
    <n v="200"/>
    <n v="66111"/>
    <s v="INR_x000d_"/>
    <s v="Own Brand"/>
    <x v="2"/>
    <x v="1"/>
    <x v="5"/>
    <x v="0"/>
    <n v="66111"/>
  </r>
  <r>
    <x v="4"/>
    <x v="5"/>
    <x v="2"/>
    <x v="24"/>
    <n v="2"/>
    <n v="1884"/>
    <s v="INR_x000d_"/>
    <s v="Own Brand"/>
    <x v="2"/>
    <x v="1"/>
    <x v="5"/>
    <x v="0"/>
    <n v="1884"/>
  </r>
  <r>
    <x v="4"/>
    <x v="5"/>
    <x v="2"/>
    <x v="85"/>
    <n v="1"/>
    <n v="944"/>
    <s v="INR_x000d_"/>
    <s v="Own Brand"/>
    <x v="2"/>
    <x v="1"/>
    <x v="5"/>
    <x v="0"/>
    <n v="944"/>
  </r>
  <r>
    <x v="4"/>
    <x v="5"/>
    <x v="2"/>
    <x v="86"/>
    <n v="7"/>
    <n v="2574"/>
    <s v="INR_x000d_"/>
    <s v="Own Brand"/>
    <x v="2"/>
    <x v="1"/>
    <x v="5"/>
    <x v="0"/>
    <n v="2574"/>
  </r>
  <r>
    <x v="4"/>
    <x v="5"/>
    <x v="2"/>
    <x v="87"/>
    <n v="1"/>
    <n v="630"/>
    <s v="INR_x000d_"/>
    <s v="Own Brand"/>
    <x v="2"/>
    <x v="1"/>
    <x v="5"/>
    <x v="0"/>
    <n v="630"/>
  </r>
  <r>
    <x v="4"/>
    <x v="5"/>
    <x v="2"/>
    <x v="88"/>
    <n v="1"/>
    <n v="472"/>
    <s v="INR_x000d_"/>
    <s v="Own Brand"/>
    <x v="2"/>
    <x v="1"/>
    <x v="5"/>
    <x v="0"/>
    <n v="472"/>
  </r>
  <r>
    <x v="4"/>
    <x v="5"/>
    <x v="2"/>
    <x v="89"/>
    <n v="1"/>
    <n v="944"/>
    <s v="INR_x000d_"/>
    <s v="Own Brand"/>
    <x v="2"/>
    <x v="1"/>
    <x v="5"/>
    <x v="0"/>
    <n v="944"/>
  </r>
  <r>
    <x v="4"/>
    <x v="5"/>
    <x v="2"/>
    <x v="90"/>
    <n v="2"/>
    <n v="1417"/>
    <s v="INR_x000d_"/>
    <s v="Own Brand"/>
    <x v="2"/>
    <x v="1"/>
    <x v="5"/>
    <x v="0"/>
    <n v="1417"/>
  </r>
  <r>
    <x v="4"/>
    <x v="5"/>
    <x v="2"/>
    <x v="91"/>
    <n v="1"/>
    <n v="1259"/>
    <s v="INR_x000d_"/>
    <s v="Own Brand"/>
    <x v="2"/>
    <x v="1"/>
    <x v="5"/>
    <x v="0"/>
    <n v="1259"/>
  </r>
  <r>
    <x v="4"/>
    <x v="5"/>
    <x v="2"/>
    <x v="92"/>
    <n v="4"/>
    <n v="3773"/>
    <s v="INR_x000d_"/>
    <s v="Own Brand"/>
    <x v="2"/>
    <x v="1"/>
    <x v="5"/>
    <x v="0"/>
    <n v="3773"/>
  </r>
  <r>
    <x v="4"/>
    <x v="5"/>
    <x v="2"/>
    <x v="93"/>
    <n v="1"/>
    <n v="315"/>
    <s v="INR_x000d_"/>
    <s v="Own Brand"/>
    <x v="2"/>
    <x v="1"/>
    <x v="5"/>
    <x v="0"/>
    <n v="315"/>
  </r>
  <r>
    <x v="4"/>
    <x v="5"/>
    <x v="2"/>
    <x v="94"/>
    <n v="1"/>
    <n v="630"/>
    <s v="INR_x000d_"/>
    <s v="Own Brand"/>
    <x v="2"/>
    <x v="1"/>
    <x v="5"/>
    <x v="0"/>
    <n v="630"/>
  </r>
  <r>
    <x v="4"/>
    <x v="5"/>
    <x v="2"/>
    <x v="95"/>
    <n v="1"/>
    <n v="472"/>
    <s v="INR_x000d_"/>
    <s v="Own Brand"/>
    <x v="2"/>
    <x v="1"/>
    <x v="5"/>
    <x v="0"/>
    <n v="472"/>
  </r>
  <r>
    <x v="4"/>
    <x v="5"/>
    <x v="2"/>
    <x v="96"/>
    <n v="2"/>
    <n v="2042"/>
    <s v="INR_x000d_"/>
    <s v="Own Brand"/>
    <x v="2"/>
    <x v="1"/>
    <x v="5"/>
    <x v="0"/>
    <n v="2042"/>
  </r>
  <r>
    <x v="4"/>
    <x v="5"/>
    <x v="2"/>
    <x v="97"/>
    <n v="1"/>
    <n v="417"/>
    <s v="INR_x000d_"/>
    <s v="Own Brand"/>
    <x v="2"/>
    <x v="1"/>
    <x v="5"/>
    <x v="0"/>
    <n v="417"/>
  </r>
  <r>
    <x v="4"/>
    <x v="5"/>
    <x v="2"/>
    <x v="98"/>
    <n v="1"/>
    <n v="310"/>
    <s v="INR_x000d_"/>
    <s v="Own Brand"/>
    <x v="2"/>
    <x v="1"/>
    <x v="5"/>
    <x v="0"/>
    <n v="310"/>
  </r>
  <r>
    <x v="4"/>
    <x v="5"/>
    <x v="2"/>
    <x v="99"/>
    <n v="1"/>
    <n v="208"/>
    <s v="INR_x000d_"/>
    <s v="Own Brand"/>
    <x v="2"/>
    <x v="1"/>
    <x v="5"/>
    <x v="0"/>
    <n v="208"/>
  </r>
  <r>
    <x v="4"/>
    <x v="5"/>
    <x v="2"/>
    <x v="100"/>
    <n v="1"/>
    <n v="620"/>
    <s v="INR_x000d_"/>
    <s v="Own Brand"/>
    <x v="2"/>
    <x v="1"/>
    <x v="5"/>
    <x v="0"/>
    <n v="620"/>
  </r>
  <r>
    <x v="4"/>
    <x v="5"/>
    <x v="2"/>
    <x v="101"/>
    <n v="1"/>
    <n v="620"/>
    <s v="INR_x000d_"/>
    <s v="Own Brand"/>
    <x v="2"/>
    <x v="1"/>
    <x v="5"/>
    <x v="0"/>
    <n v="620"/>
  </r>
  <r>
    <x v="4"/>
    <x v="5"/>
    <x v="2"/>
    <x v="102"/>
    <n v="1"/>
    <n v="829"/>
    <s v="INR_x000d_"/>
    <s v="Own Brand"/>
    <x v="2"/>
    <x v="1"/>
    <x v="5"/>
    <x v="0"/>
    <n v="829"/>
  </r>
  <r>
    <x v="4"/>
    <x v="5"/>
    <x v="2"/>
    <x v="103"/>
    <n v="4"/>
    <n v="2694"/>
    <s v="INR_x000d_"/>
    <s v="Own Brand"/>
    <x v="2"/>
    <x v="1"/>
    <x v="5"/>
    <x v="0"/>
    <n v="2694"/>
  </r>
  <r>
    <x v="4"/>
    <x v="5"/>
    <x v="2"/>
    <x v="104"/>
    <n v="1"/>
    <n v="102"/>
    <s v="INR_x000d_"/>
    <s v="Own Brand"/>
    <x v="2"/>
    <x v="1"/>
    <x v="5"/>
    <x v="0"/>
    <n v="102"/>
  </r>
  <r>
    <x v="4"/>
    <x v="5"/>
    <x v="2"/>
    <x v="105"/>
    <n v="2"/>
    <n v="528"/>
    <s v="INR_x000d_"/>
    <s v="Own Brand"/>
    <x v="2"/>
    <x v="1"/>
    <x v="5"/>
    <x v="0"/>
    <n v="528"/>
  </r>
  <r>
    <x v="5"/>
    <x v="3"/>
    <x v="2"/>
    <x v="106"/>
    <n v="1"/>
    <n v="380"/>
    <s v="INR_x000d_"/>
    <s v="Own Brand"/>
    <x v="2"/>
    <x v="1"/>
    <x v="3"/>
    <x v="0"/>
    <n v="380"/>
  </r>
  <r>
    <x v="5"/>
    <x v="5"/>
    <x v="2"/>
    <x v="107"/>
    <n v="1"/>
    <n v="560"/>
    <s v="INR_x000d_"/>
    <s v="Own Brand"/>
    <x v="2"/>
    <x v="1"/>
    <x v="5"/>
    <x v="0"/>
    <n v="560"/>
  </r>
  <r>
    <x v="5"/>
    <x v="5"/>
    <x v="2"/>
    <x v="108"/>
    <n v="1"/>
    <n v="560"/>
    <s v="INR_x000d_"/>
    <s v="Own Brand"/>
    <x v="2"/>
    <x v="1"/>
    <x v="5"/>
    <x v="0"/>
    <n v="560"/>
  </r>
  <r>
    <x v="5"/>
    <x v="5"/>
    <x v="2"/>
    <x v="7"/>
    <n v="1"/>
    <n v="1116"/>
    <s v="INR_x000d_"/>
    <s v="Own Brand"/>
    <x v="2"/>
    <x v="1"/>
    <x v="5"/>
    <x v="0"/>
    <n v="1116"/>
  </r>
  <r>
    <x v="5"/>
    <x v="6"/>
    <x v="3"/>
    <x v="34"/>
    <n v="1"/>
    <n v="657"/>
    <s v="INR_x000d_"/>
    <s v="Own Brand"/>
    <x v="3"/>
    <x v="1"/>
    <x v="6"/>
    <x v="0"/>
    <n v="657"/>
  </r>
  <r>
    <x v="5"/>
    <x v="5"/>
    <x v="2"/>
    <x v="109"/>
    <n v="1"/>
    <n v="560"/>
    <s v="INR_x000d_"/>
    <s v="Own Brand"/>
    <x v="2"/>
    <x v="1"/>
    <x v="5"/>
    <x v="0"/>
    <n v="560"/>
  </r>
  <r>
    <x v="5"/>
    <x v="6"/>
    <x v="3"/>
    <x v="11"/>
    <n v="1"/>
    <n v="657"/>
    <s v="INR_x000d_"/>
    <s v="Own Brand"/>
    <x v="3"/>
    <x v="1"/>
    <x v="6"/>
    <x v="0"/>
    <n v="657"/>
  </r>
  <r>
    <x v="5"/>
    <x v="5"/>
    <x v="2"/>
    <x v="110"/>
    <n v="1"/>
    <n v="560"/>
    <s v="INR_x000d_"/>
    <s v="Own Brand"/>
    <x v="2"/>
    <x v="1"/>
    <x v="5"/>
    <x v="0"/>
    <n v="560"/>
  </r>
  <r>
    <x v="6"/>
    <x v="5"/>
    <x v="2"/>
    <x v="111"/>
    <n v="11"/>
    <n v="6218"/>
    <s v="INR_x000d_"/>
    <s v="Own Brand"/>
    <x v="2"/>
    <x v="1"/>
    <x v="5"/>
    <x v="0"/>
    <n v="6218"/>
  </r>
  <r>
    <x v="7"/>
    <x v="5"/>
    <x v="2"/>
    <x v="4"/>
    <n v="7"/>
    <n v="2426"/>
    <s v="INR_x000d_"/>
    <s v="Own Brand"/>
    <x v="2"/>
    <x v="1"/>
    <x v="5"/>
    <x v="0"/>
    <n v="2426"/>
  </r>
  <r>
    <x v="7"/>
    <x v="5"/>
    <x v="2"/>
    <x v="112"/>
    <n v="33"/>
    <n v="15278"/>
    <s v="INR_x000d_"/>
    <s v="Own Brand"/>
    <x v="2"/>
    <x v="1"/>
    <x v="5"/>
    <x v="0"/>
    <n v="15278"/>
  </r>
  <r>
    <x v="8"/>
    <x v="7"/>
    <x v="4"/>
    <x v="113"/>
    <n v="3"/>
    <n v="3032"/>
    <s v="INR_x000d_"/>
    <s v="Own Brand"/>
    <x v="4"/>
    <x v="2"/>
    <x v="7"/>
    <x v="0"/>
    <n v="3032"/>
  </r>
  <r>
    <x v="8"/>
    <x v="8"/>
    <x v="1"/>
    <x v="114"/>
    <n v="2"/>
    <n v="3194"/>
    <s v="INR_x000d_"/>
    <s v="Own Brand"/>
    <x v="1"/>
    <x v="1"/>
    <x v="8"/>
    <x v="0"/>
    <n v="3194"/>
  </r>
  <r>
    <x v="8"/>
    <x v="8"/>
    <x v="1"/>
    <x v="115"/>
    <n v="1"/>
    <n v="912"/>
    <s v="INR_x000d_"/>
    <s v="Own Brand"/>
    <x v="1"/>
    <x v="1"/>
    <x v="8"/>
    <x v="0"/>
    <n v="912"/>
  </r>
  <r>
    <x v="8"/>
    <x v="8"/>
    <x v="1"/>
    <x v="116"/>
    <n v="1"/>
    <n v="1824"/>
    <s v="INR_x000d_"/>
    <s v="Own Brand"/>
    <x v="1"/>
    <x v="1"/>
    <x v="8"/>
    <x v="0"/>
    <n v="1824"/>
  </r>
  <r>
    <x v="8"/>
    <x v="8"/>
    <x v="1"/>
    <x v="117"/>
    <n v="1"/>
    <n v="458"/>
    <s v="INR_x000d_"/>
    <s v="Own Brand"/>
    <x v="1"/>
    <x v="1"/>
    <x v="8"/>
    <x v="0"/>
    <n v="458"/>
  </r>
  <r>
    <x v="8"/>
    <x v="1"/>
    <x v="1"/>
    <x v="118"/>
    <n v="3"/>
    <n v="4444"/>
    <s v="INR_x000d_"/>
    <s v="Own Brand"/>
    <x v="1"/>
    <x v="1"/>
    <x v="1"/>
    <x v="0"/>
    <n v="4444"/>
  </r>
  <r>
    <x v="8"/>
    <x v="8"/>
    <x v="1"/>
    <x v="68"/>
    <n v="1"/>
    <n v="458"/>
    <s v="INR_x000d_"/>
    <s v="Own Brand"/>
    <x v="1"/>
    <x v="1"/>
    <x v="8"/>
    <x v="0"/>
    <n v="458"/>
  </r>
  <r>
    <x v="8"/>
    <x v="8"/>
    <x v="1"/>
    <x v="119"/>
    <n v="1"/>
    <n v="458"/>
    <s v="INR_x000d_"/>
    <s v="Own Brand"/>
    <x v="1"/>
    <x v="1"/>
    <x v="8"/>
    <x v="0"/>
    <n v="458"/>
  </r>
  <r>
    <x v="8"/>
    <x v="8"/>
    <x v="1"/>
    <x v="120"/>
    <n v="1"/>
    <n v="1824"/>
    <s v="INR_x000d_"/>
    <s v="Own Brand"/>
    <x v="1"/>
    <x v="1"/>
    <x v="8"/>
    <x v="0"/>
    <n v="1824"/>
  </r>
  <r>
    <x v="8"/>
    <x v="1"/>
    <x v="1"/>
    <x v="120"/>
    <n v="2"/>
    <n v="2667"/>
    <s v="INR_x000d_"/>
    <s v="Own Brand"/>
    <x v="1"/>
    <x v="1"/>
    <x v="1"/>
    <x v="0"/>
    <n v="2667"/>
  </r>
  <r>
    <x v="8"/>
    <x v="8"/>
    <x v="1"/>
    <x v="121"/>
    <n v="14"/>
    <n v="19171"/>
    <s v="INR_x000d_"/>
    <s v="Own Brand"/>
    <x v="1"/>
    <x v="1"/>
    <x v="8"/>
    <x v="0"/>
    <n v="19171"/>
  </r>
  <r>
    <x v="8"/>
    <x v="8"/>
    <x v="1"/>
    <x v="20"/>
    <n v="1"/>
    <n v="458"/>
    <s v="INR_x000d_"/>
    <s v="Own Brand"/>
    <x v="1"/>
    <x v="1"/>
    <x v="8"/>
    <x v="0"/>
    <n v="458"/>
  </r>
  <r>
    <x v="8"/>
    <x v="8"/>
    <x v="1"/>
    <x v="122"/>
    <n v="1"/>
    <n v="458"/>
    <s v="INR_x000d_"/>
    <s v="Own Brand"/>
    <x v="1"/>
    <x v="1"/>
    <x v="8"/>
    <x v="0"/>
    <n v="458"/>
  </r>
  <r>
    <x v="8"/>
    <x v="8"/>
    <x v="1"/>
    <x v="123"/>
    <n v="1"/>
    <n v="458"/>
    <s v="INR_x000d_"/>
    <s v="Own Brand"/>
    <x v="1"/>
    <x v="1"/>
    <x v="8"/>
    <x v="0"/>
    <n v="458"/>
  </r>
  <r>
    <x v="8"/>
    <x v="8"/>
    <x v="1"/>
    <x v="124"/>
    <n v="1"/>
    <n v="1370"/>
    <s v="INR_x000d_"/>
    <s v="Own Brand"/>
    <x v="1"/>
    <x v="1"/>
    <x v="8"/>
    <x v="0"/>
    <n v="1370"/>
  </r>
  <r>
    <x v="8"/>
    <x v="1"/>
    <x v="1"/>
    <x v="124"/>
    <n v="2"/>
    <n v="2667"/>
    <s v="INR_x000d_"/>
    <s v="Own Brand"/>
    <x v="1"/>
    <x v="1"/>
    <x v="1"/>
    <x v="0"/>
    <n v="2667"/>
  </r>
  <r>
    <x v="8"/>
    <x v="1"/>
    <x v="1"/>
    <x v="69"/>
    <n v="1"/>
    <n v="1333"/>
    <s v="INR_x000d_"/>
    <s v="Own Brand"/>
    <x v="1"/>
    <x v="1"/>
    <x v="1"/>
    <x v="0"/>
    <n v="1333"/>
  </r>
  <r>
    <x v="8"/>
    <x v="9"/>
    <x v="1"/>
    <x v="125"/>
    <n v="1"/>
    <n v="597"/>
    <s v="INR_x000d_"/>
    <s v="Own Brand"/>
    <x v="1"/>
    <x v="1"/>
    <x v="9"/>
    <x v="0"/>
    <n v="597"/>
  </r>
  <r>
    <x v="8"/>
    <x v="1"/>
    <x v="1"/>
    <x v="125"/>
    <n v="7"/>
    <n v="8889"/>
    <s v="INR_x000d_"/>
    <s v="Own Brand"/>
    <x v="1"/>
    <x v="1"/>
    <x v="1"/>
    <x v="0"/>
    <n v="8889"/>
  </r>
  <r>
    <x v="8"/>
    <x v="1"/>
    <x v="1"/>
    <x v="126"/>
    <n v="1"/>
    <n v="1778"/>
    <s v="INR_x000d_"/>
    <s v="Own Brand"/>
    <x v="1"/>
    <x v="1"/>
    <x v="1"/>
    <x v="0"/>
    <n v="1778"/>
  </r>
  <r>
    <x v="8"/>
    <x v="8"/>
    <x v="1"/>
    <x v="71"/>
    <n v="7"/>
    <n v="9130"/>
    <s v="INR_x000d_"/>
    <s v="Own Brand"/>
    <x v="1"/>
    <x v="1"/>
    <x v="8"/>
    <x v="0"/>
    <n v="9130"/>
  </r>
  <r>
    <x v="9"/>
    <x v="9"/>
    <x v="1"/>
    <x v="127"/>
    <n v="1"/>
    <n v="602"/>
    <s v="INR_x000d_"/>
    <s v="Own Brand"/>
    <x v="1"/>
    <x v="1"/>
    <x v="9"/>
    <x v="0"/>
    <n v="602"/>
  </r>
  <r>
    <x v="9"/>
    <x v="10"/>
    <x v="1"/>
    <x v="128"/>
    <n v="2"/>
    <n v="3227"/>
    <s v="INR_x000d_"/>
    <s v="Own Brand"/>
    <x v="1"/>
    <x v="1"/>
    <x v="10"/>
    <x v="0"/>
    <n v="3227"/>
  </r>
  <r>
    <x v="9"/>
    <x v="1"/>
    <x v="1"/>
    <x v="129"/>
    <n v="1"/>
    <n v="449"/>
    <s v="INR_x000d_"/>
    <s v="Own Brand"/>
    <x v="1"/>
    <x v="1"/>
    <x v="1"/>
    <x v="0"/>
    <n v="449"/>
  </r>
  <r>
    <x v="9"/>
    <x v="1"/>
    <x v="1"/>
    <x v="130"/>
    <n v="1"/>
    <n v="449"/>
    <s v="INR_x000d_"/>
    <s v="Own Brand"/>
    <x v="1"/>
    <x v="1"/>
    <x v="1"/>
    <x v="0"/>
    <n v="449"/>
  </r>
  <r>
    <x v="9"/>
    <x v="1"/>
    <x v="1"/>
    <x v="131"/>
    <n v="1"/>
    <n v="449"/>
    <s v="INR_x000d_"/>
    <s v="Own Brand"/>
    <x v="1"/>
    <x v="1"/>
    <x v="1"/>
    <x v="0"/>
    <n v="449"/>
  </r>
  <r>
    <x v="9"/>
    <x v="1"/>
    <x v="1"/>
    <x v="132"/>
    <n v="1"/>
    <n v="449"/>
    <s v="INR_x000d_"/>
    <s v="Own Brand"/>
    <x v="1"/>
    <x v="1"/>
    <x v="1"/>
    <x v="0"/>
    <n v="449"/>
  </r>
  <r>
    <x v="9"/>
    <x v="11"/>
    <x v="1"/>
    <x v="132"/>
    <n v="7"/>
    <n v="9880"/>
    <s v="INR_x000d_"/>
    <s v="Own Brand"/>
    <x v="1"/>
    <x v="1"/>
    <x v="11"/>
    <x v="0"/>
    <n v="9880"/>
  </r>
  <r>
    <x v="9"/>
    <x v="9"/>
    <x v="1"/>
    <x v="133"/>
    <n v="1"/>
    <n v="301"/>
    <s v="INR_x000d_"/>
    <s v="Own Brand"/>
    <x v="1"/>
    <x v="1"/>
    <x v="9"/>
    <x v="0"/>
    <n v="301"/>
  </r>
  <r>
    <x v="9"/>
    <x v="12"/>
    <x v="1"/>
    <x v="133"/>
    <n v="6"/>
    <n v="7954"/>
    <s v="INR_x000d_"/>
    <s v="Own Brand"/>
    <x v="1"/>
    <x v="1"/>
    <x v="12"/>
    <x v="0"/>
    <n v="7954"/>
  </r>
  <r>
    <x v="9"/>
    <x v="10"/>
    <x v="1"/>
    <x v="134"/>
    <n v="1"/>
    <n v="2153"/>
    <s v="INR_x000d_"/>
    <s v="Own Brand"/>
    <x v="1"/>
    <x v="1"/>
    <x v="10"/>
    <x v="0"/>
    <n v="2153"/>
  </r>
  <r>
    <x v="9"/>
    <x v="12"/>
    <x v="1"/>
    <x v="134"/>
    <n v="4"/>
    <n v="5306"/>
    <s v="INR_x000d_"/>
    <s v="Own Brand"/>
    <x v="1"/>
    <x v="1"/>
    <x v="12"/>
    <x v="0"/>
    <n v="5306"/>
  </r>
  <r>
    <x v="9"/>
    <x v="1"/>
    <x v="1"/>
    <x v="135"/>
    <n v="1"/>
    <n v="1801"/>
    <s v="INR_x000d_"/>
    <s v="Own Brand"/>
    <x v="1"/>
    <x v="1"/>
    <x v="1"/>
    <x v="0"/>
    <n v="1801"/>
  </r>
  <r>
    <x v="9"/>
    <x v="1"/>
    <x v="1"/>
    <x v="136"/>
    <n v="2"/>
    <n v="2699"/>
    <s v="INR_x000d_"/>
    <s v="Own Brand"/>
    <x v="1"/>
    <x v="1"/>
    <x v="1"/>
    <x v="0"/>
    <n v="2699"/>
  </r>
  <r>
    <x v="9"/>
    <x v="10"/>
    <x v="1"/>
    <x v="137"/>
    <n v="1"/>
    <n v="1616"/>
    <s v="INR_x000d_"/>
    <s v="Own Brand"/>
    <x v="1"/>
    <x v="1"/>
    <x v="10"/>
    <x v="0"/>
    <n v="1616"/>
  </r>
  <r>
    <x v="9"/>
    <x v="1"/>
    <x v="1"/>
    <x v="138"/>
    <n v="2"/>
    <n v="2245"/>
    <s v="INR_x000d_"/>
    <s v="Own Brand"/>
    <x v="1"/>
    <x v="1"/>
    <x v="1"/>
    <x v="0"/>
    <n v="2245"/>
  </r>
  <r>
    <x v="9"/>
    <x v="1"/>
    <x v="1"/>
    <x v="139"/>
    <n v="1"/>
    <n v="903"/>
    <s v="INR_x000d_"/>
    <s v="Own Brand"/>
    <x v="1"/>
    <x v="1"/>
    <x v="1"/>
    <x v="0"/>
    <n v="903"/>
  </r>
  <r>
    <x v="9"/>
    <x v="12"/>
    <x v="1"/>
    <x v="140"/>
    <n v="4"/>
    <n v="5306"/>
    <s v="INR_x000d_"/>
    <s v="Own Brand"/>
    <x v="1"/>
    <x v="1"/>
    <x v="12"/>
    <x v="0"/>
    <n v="5306"/>
  </r>
  <r>
    <x v="9"/>
    <x v="8"/>
    <x v="1"/>
    <x v="141"/>
    <n v="3"/>
    <n v="3778"/>
    <s v="INR_x000d_"/>
    <s v="Own Brand"/>
    <x v="1"/>
    <x v="1"/>
    <x v="8"/>
    <x v="0"/>
    <n v="3778"/>
  </r>
  <r>
    <x v="9"/>
    <x v="10"/>
    <x v="1"/>
    <x v="142"/>
    <n v="1"/>
    <n v="537"/>
    <s v="INR_x000d_"/>
    <s v="Own Brand"/>
    <x v="1"/>
    <x v="1"/>
    <x v="10"/>
    <x v="0"/>
    <n v="537"/>
  </r>
  <r>
    <x v="9"/>
    <x v="8"/>
    <x v="1"/>
    <x v="142"/>
    <n v="1"/>
    <n v="1417"/>
    <s v="INR_x000d_"/>
    <s v="Own Brand"/>
    <x v="1"/>
    <x v="1"/>
    <x v="8"/>
    <x v="0"/>
    <n v="1417"/>
  </r>
  <r>
    <x v="9"/>
    <x v="12"/>
    <x v="1"/>
    <x v="142"/>
    <n v="4"/>
    <n v="5306"/>
    <s v="INR_x000d_"/>
    <s v="Own Brand"/>
    <x v="1"/>
    <x v="1"/>
    <x v="12"/>
    <x v="0"/>
    <n v="5306"/>
  </r>
  <r>
    <x v="9"/>
    <x v="8"/>
    <x v="1"/>
    <x v="143"/>
    <n v="1"/>
    <n v="472"/>
    <s v="INR_x000d_"/>
    <s v="Own Brand"/>
    <x v="1"/>
    <x v="1"/>
    <x v="8"/>
    <x v="0"/>
    <n v="472"/>
  </r>
  <r>
    <x v="9"/>
    <x v="1"/>
    <x v="1"/>
    <x v="143"/>
    <n v="3"/>
    <n v="4051"/>
    <s v="INR_x000d_"/>
    <s v="Own Brand"/>
    <x v="1"/>
    <x v="1"/>
    <x v="1"/>
    <x v="0"/>
    <n v="4051"/>
  </r>
  <r>
    <x v="9"/>
    <x v="11"/>
    <x v="1"/>
    <x v="143"/>
    <n v="10"/>
    <n v="14815"/>
    <s v="INR_x000d_"/>
    <s v="Own Brand"/>
    <x v="1"/>
    <x v="1"/>
    <x v="11"/>
    <x v="0"/>
    <n v="14815"/>
  </r>
  <r>
    <x v="9"/>
    <x v="1"/>
    <x v="1"/>
    <x v="144"/>
    <n v="3"/>
    <n v="4495"/>
    <s v="INR_x000d_"/>
    <s v="Own Brand"/>
    <x v="1"/>
    <x v="1"/>
    <x v="1"/>
    <x v="0"/>
    <n v="4495"/>
  </r>
  <r>
    <x v="9"/>
    <x v="10"/>
    <x v="1"/>
    <x v="145"/>
    <n v="2"/>
    <n v="2690"/>
    <s v="INR_x000d_"/>
    <s v="Own Brand"/>
    <x v="1"/>
    <x v="1"/>
    <x v="10"/>
    <x v="0"/>
    <n v="2690"/>
  </r>
  <r>
    <x v="9"/>
    <x v="8"/>
    <x v="1"/>
    <x v="145"/>
    <n v="1"/>
    <n v="1417"/>
    <s v="INR_x000d_"/>
    <s v="Own Brand"/>
    <x v="1"/>
    <x v="1"/>
    <x v="8"/>
    <x v="0"/>
    <n v="1417"/>
  </r>
  <r>
    <x v="9"/>
    <x v="1"/>
    <x v="1"/>
    <x v="146"/>
    <n v="1"/>
    <n v="449"/>
    <s v="INR_x000d_"/>
    <s v="Own Brand"/>
    <x v="1"/>
    <x v="1"/>
    <x v="1"/>
    <x v="0"/>
    <n v="449"/>
  </r>
  <r>
    <x v="9"/>
    <x v="12"/>
    <x v="1"/>
    <x v="146"/>
    <n v="18"/>
    <n v="23866"/>
    <s v="INR_x000d_"/>
    <s v="Own Brand"/>
    <x v="1"/>
    <x v="1"/>
    <x v="12"/>
    <x v="0"/>
    <n v="23866"/>
  </r>
  <r>
    <x v="9"/>
    <x v="1"/>
    <x v="1"/>
    <x v="147"/>
    <n v="1"/>
    <n v="898"/>
    <s v="INR_x000d_"/>
    <s v="Own Brand"/>
    <x v="1"/>
    <x v="1"/>
    <x v="1"/>
    <x v="0"/>
    <n v="898"/>
  </r>
  <r>
    <x v="9"/>
    <x v="11"/>
    <x v="1"/>
    <x v="147"/>
    <n v="3"/>
    <n v="4940"/>
    <s v="INR_x000d_"/>
    <s v="Own Brand"/>
    <x v="1"/>
    <x v="1"/>
    <x v="11"/>
    <x v="0"/>
    <n v="4940"/>
  </r>
  <r>
    <x v="9"/>
    <x v="1"/>
    <x v="1"/>
    <x v="148"/>
    <n v="1"/>
    <n v="449"/>
    <s v="INR_x000d_"/>
    <s v="Own Brand"/>
    <x v="1"/>
    <x v="1"/>
    <x v="1"/>
    <x v="0"/>
    <n v="449"/>
  </r>
  <r>
    <x v="9"/>
    <x v="10"/>
    <x v="1"/>
    <x v="149"/>
    <n v="1"/>
    <n v="2153"/>
    <s v="INR_x000d_"/>
    <s v="Own Brand"/>
    <x v="1"/>
    <x v="1"/>
    <x v="10"/>
    <x v="0"/>
    <n v="2153"/>
  </r>
  <r>
    <x v="9"/>
    <x v="8"/>
    <x v="1"/>
    <x v="149"/>
    <n v="1"/>
    <n v="472"/>
    <s v="INR_x000d_"/>
    <s v="Own Brand"/>
    <x v="1"/>
    <x v="1"/>
    <x v="8"/>
    <x v="0"/>
    <n v="472"/>
  </r>
  <r>
    <x v="9"/>
    <x v="1"/>
    <x v="1"/>
    <x v="149"/>
    <n v="1"/>
    <n v="449"/>
    <s v="INR_x000d_"/>
    <s v="Own Brand"/>
    <x v="1"/>
    <x v="1"/>
    <x v="1"/>
    <x v="0"/>
    <n v="449"/>
  </r>
  <r>
    <x v="9"/>
    <x v="12"/>
    <x v="1"/>
    <x v="149"/>
    <n v="4"/>
    <n v="5306"/>
    <s v="INR_x000d_"/>
    <s v="Own Brand"/>
    <x v="1"/>
    <x v="1"/>
    <x v="12"/>
    <x v="0"/>
    <n v="5306"/>
  </r>
  <r>
    <x v="9"/>
    <x v="1"/>
    <x v="1"/>
    <x v="150"/>
    <n v="3"/>
    <n v="3602"/>
    <s v="INR_x000d_"/>
    <s v="Own Brand"/>
    <x v="1"/>
    <x v="1"/>
    <x v="1"/>
    <x v="0"/>
    <n v="3602"/>
  </r>
  <r>
    <x v="9"/>
    <x v="9"/>
    <x v="1"/>
    <x v="3"/>
    <n v="4"/>
    <n v="3583"/>
    <s v="INR_x000d_"/>
    <s v="Own Brand"/>
    <x v="1"/>
    <x v="1"/>
    <x v="9"/>
    <x v="0"/>
    <n v="3583"/>
  </r>
  <r>
    <x v="9"/>
    <x v="1"/>
    <x v="1"/>
    <x v="3"/>
    <n v="4"/>
    <n v="4954"/>
    <s v="INR_x000d_"/>
    <s v="Own Brand"/>
    <x v="1"/>
    <x v="1"/>
    <x v="1"/>
    <x v="0"/>
    <n v="4954"/>
  </r>
  <r>
    <x v="9"/>
    <x v="8"/>
    <x v="1"/>
    <x v="151"/>
    <n v="1"/>
    <n v="1889"/>
    <s v="INR_x000d_"/>
    <s v="Own Brand"/>
    <x v="1"/>
    <x v="1"/>
    <x v="8"/>
    <x v="0"/>
    <n v="1889"/>
  </r>
  <r>
    <x v="9"/>
    <x v="8"/>
    <x v="1"/>
    <x v="152"/>
    <n v="1"/>
    <n v="472"/>
    <s v="INR_x000d_"/>
    <s v="Own Brand"/>
    <x v="1"/>
    <x v="1"/>
    <x v="8"/>
    <x v="0"/>
    <n v="472"/>
  </r>
  <r>
    <x v="9"/>
    <x v="1"/>
    <x v="1"/>
    <x v="152"/>
    <n v="1"/>
    <n v="1352"/>
    <s v="INR_x000d_"/>
    <s v="Own Brand"/>
    <x v="1"/>
    <x v="1"/>
    <x v="1"/>
    <x v="0"/>
    <n v="1352"/>
  </r>
  <r>
    <x v="9"/>
    <x v="10"/>
    <x v="1"/>
    <x v="153"/>
    <n v="1"/>
    <n v="1616"/>
    <s v="INR_x000d_"/>
    <s v="Own Brand"/>
    <x v="1"/>
    <x v="1"/>
    <x v="10"/>
    <x v="0"/>
    <n v="1616"/>
  </r>
  <r>
    <x v="9"/>
    <x v="1"/>
    <x v="1"/>
    <x v="153"/>
    <n v="1"/>
    <n v="449"/>
    <s v="INR_x000d_"/>
    <s v="Own Brand"/>
    <x v="1"/>
    <x v="1"/>
    <x v="1"/>
    <x v="0"/>
    <n v="449"/>
  </r>
  <r>
    <x v="9"/>
    <x v="1"/>
    <x v="1"/>
    <x v="154"/>
    <n v="1"/>
    <n v="1801"/>
    <s v="INR_x000d_"/>
    <s v="Own Brand"/>
    <x v="1"/>
    <x v="1"/>
    <x v="1"/>
    <x v="0"/>
    <n v="1801"/>
  </r>
  <r>
    <x v="9"/>
    <x v="1"/>
    <x v="1"/>
    <x v="155"/>
    <n v="1"/>
    <n v="1801"/>
    <s v="INR_x000d_"/>
    <s v="Own Brand"/>
    <x v="1"/>
    <x v="1"/>
    <x v="1"/>
    <x v="0"/>
    <n v="1801"/>
  </r>
  <r>
    <x v="9"/>
    <x v="1"/>
    <x v="1"/>
    <x v="51"/>
    <n v="1"/>
    <n v="449"/>
    <s v="INR_x000d_"/>
    <s v="Own Brand"/>
    <x v="1"/>
    <x v="1"/>
    <x v="1"/>
    <x v="0"/>
    <n v="449"/>
  </r>
  <r>
    <x v="9"/>
    <x v="1"/>
    <x v="1"/>
    <x v="156"/>
    <n v="1"/>
    <n v="449"/>
    <s v="INR_x000d_"/>
    <s v="Own Brand"/>
    <x v="1"/>
    <x v="1"/>
    <x v="1"/>
    <x v="0"/>
    <n v="449"/>
  </r>
  <r>
    <x v="9"/>
    <x v="1"/>
    <x v="1"/>
    <x v="157"/>
    <n v="1"/>
    <n v="449"/>
    <s v="INR_x000d_"/>
    <s v="Own Brand"/>
    <x v="1"/>
    <x v="1"/>
    <x v="1"/>
    <x v="0"/>
    <n v="449"/>
  </r>
  <r>
    <x v="9"/>
    <x v="1"/>
    <x v="1"/>
    <x v="158"/>
    <n v="1"/>
    <n v="444"/>
    <s v="INR_x000d_"/>
    <s v="Own Brand"/>
    <x v="1"/>
    <x v="1"/>
    <x v="1"/>
    <x v="0"/>
    <n v="444"/>
  </r>
  <r>
    <x v="9"/>
    <x v="1"/>
    <x v="1"/>
    <x v="159"/>
    <n v="1"/>
    <n v="444"/>
    <s v="INR_x000d_"/>
    <s v="Own Brand"/>
    <x v="1"/>
    <x v="1"/>
    <x v="1"/>
    <x v="0"/>
    <n v="444"/>
  </r>
  <r>
    <x v="10"/>
    <x v="13"/>
    <x v="4"/>
    <x v="160"/>
    <n v="1"/>
    <n v="505"/>
    <s v="INR_x000d_"/>
    <s v="Own Brand"/>
    <x v="4"/>
    <x v="2"/>
    <x v="13"/>
    <x v="0"/>
    <n v="505"/>
  </r>
  <r>
    <x v="10"/>
    <x v="13"/>
    <x v="4"/>
    <x v="26"/>
    <n v="1"/>
    <n v="1514"/>
    <s v="INR_x000d_"/>
    <s v="Own Brand"/>
    <x v="4"/>
    <x v="2"/>
    <x v="13"/>
    <x v="0"/>
    <n v="1514"/>
  </r>
  <r>
    <x v="10"/>
    <x v="13"/>
    <x v="4"/>
    <x v="161"/>
    <n v="1"/>
    <n v="2023"/>
    <s v="INR_x000d_"/>
    <s v="Own Brand"/>
    <x v="4"/>
    <x v="2"/>
    <x v="13"/>
    <x v="0"/>
    <n v="2023"/>
  </r>
  <r>
    <x v="10"/>
    <x v="13"/>
    <x v="4"/>
    <x v="27"/>
    <n v="25"/>
    <n v="37889"/>
    <s v="INR_x000d_"/>
    <s v="Own Brand"/>
    <x v="4"/>
    <x v="2"/>
    <x v="13"/>
    <x v="0"/>
    <n v="37889"/>
  </r>
  <r>
    <x v="10"/>
    <x v="13"/>
    <x v="4"/>
    <x v="162"/>
    <n v="1"/>
    <n v="593"/>
    <s v="INR_x000d_"/>
    <s v="Own Brand"/>
    <x v="4"/>
    <x v="2"/>
    <x v="13"/>
    <x v="0"/>
    <n v="593"/>
  </r>
  <r>
    <x v="10"/>
    <x v="5"/>
    <x v="2"/>
    <x v="163"/>
    <n v="1"/>
    <n v="597"/>
    <s v="INR_x000d_"/>
    <s v="Own Brand"/>
    <x v="2"/>
    <x v="1"/>
    <x v="5"/>
    <x v="0"/>
    <n v="597"/>
  </r>
  <r>
    <x v="10"/>
    <x v="5"/>
    <x v="2"/>
    <x v="164"/>
    <n v="1"/>
    <n v="2389"/>
    <s v="INR_x000d_"/>
    <s v="Own Brand"/>
    <x v="2"/>
    <x v="1"/>
    <x v="5"/>
    <x v="0"/>
    <n v="2389"/>
  </r>
  <r>
    <x v="10"/>
    <x v="13"/>
    <x v="4"/>
    <x v="165"/>
    <n v="1"/>
    <n v="593"/>
    <s v="INR_x000d_"/>
    <s v="Own Brand"/>
    <x v="4"/>
    <x v="2"/>
    <x v="13"/>
    <x v="0"/>
    <n v="593"/>
  </r>
  <r>
    <x v="10"/>
    <x v="5"/>
    <x v="2"/>
    <x v="166"/>
    <n v="1"/>
    <n v="1194"/>
    <s v="INR_x000d_"/>
    <s v="Own Brand"/>
    <x v="2"/>
    <x v="1"/>
    <x v="5"/>
    <x v="0"/>
    <n v="1194"/>
  </r>
  <r>
    <x v="10"/>
    <x v="5"/>
    <x v="2"/>
    <x v="167"/>
    <n v="8"/>
    <n v="13736"/>
    <s v="INR_x000d_"/>
    <s v="Own Brand"/>
    <x v="2"/>
    <x v="1"/>
    <x v="5"/>
    <x v="0"/>
    <n v="13736"/>
  </r>
  <r>
    <x v="10"/>
    <x v="5"/>
    <x v="2"/>
    <x v="168"/>
    <n v="1"/>
    <n v="1194"/>
    <s v="INR_x000d_"/>
    <s v="Own Brand"/>
    <x v="2"/>
    <x v="1"/>
    <x v="5"/>
    <x v="0"/>
    <n v="1194"/>
  </r>
  <r>
    <x v="10"/>
    <x v="5"/>
    <x v="2"/>
    <x v="169"/>
    <n v="1"/>
    <n v="597"/>
    <s v="INR_x000d_"/>
    <s v="Own Brand"/>
    <x v="2"/>
    <x v="1"/>
    <x v="5"/>
    <x v="0"/>
    <n v="597"/>
  </r>
  <r>
    <x v="10"/>
    <x v="5"/>
    <x v="2"/>
    <x v="170"/>
    <n v="1"/>
    <n v="597"/>
    <s v="INR_x000d_"/>
    <s v="Own Brand"/>
    <x v="2"/>
    <x v="1"/>
    <x v="5"/>
    <x v="0"/>
    <n v="597"/>
  </r>
  <r>
    <x v="10"/>
    <x v="5"/>
    <x v="2"/>
    <x v="171"/>
    <n v="1"/>
    <n v="597"/>
    <s v="INR_x000d_"/>
    <s v="Own Brand"/>
    <x v="2"/>
    <x v="1"/>
    <x v="5"/>
    <x v="0"/>
    <n v="597"/>
  </r>
  <r>
    <x v="10"/>
    <x v="14"/>
    <x v="5"/>
    <x v="172"/>
    <n v="17"/>
    <n v="17472"/>
    <s v="INR_x000d_"/>
    <s v="Own Brand"/>
    <x v="5"/>
    <x v="2"/>
    <x v="14"/>
    <x v="0"/>
    <n v="17472"/>
  </r>
  <r>
    <x v="10"/>
    <x v="5"/>
    <x v="2"/>
    <x v="173"/>
    <n v="2"/>
    <n v="2986"/>
    <s v="INR_x000d_"/>
    <s v="Own Brand"/>
    <x v="2"/>
    <x v="1"/>
    <x v="5"/>
    <x v="0"/>
    <n v="2986"/>
  </r>
  <r>
    <x v="10"/>
    <x v="5"/>
    <x v="2"/>
    <x v="174"/>
    <n v="2"/>
    <n v="2986"/>
    <s v="INR_x000d_"/>
    <s v="Own Brand"/>
    <x v="2"/>
    <x v="1"/>
    <x v="5"/>
    <x v="0"/>
    <n v="2986"/>
  </r>
  <r>
    <x v="10"/>
    <x v="5"/>
    <x v="2"/>
    <x v="130"/>
    <n v="1"/>
    <n v="597"/>
    <s v="INR_x000d_"/>
    <s v="Own Brand"/>
    <x v="2"/>
    <x v="1"/>
    <x v="5"/>
    <x v="0"/>
    <n v="597"/>
  </r>
  <r>
    <x v="10"/>
    <x v="5"/>
    <x v="2"/>
    <x v="175"/>
    <n v="1"/>
    <n v="1194"/>
    <s v="INR_x000d_"/>
    <s v="Own Brand"/>
    <x v="2"/>
    <x v="1"/>
    <x v="5"/>
    <x v="0"/>
    <n v="1194"/>
  </r>
  <r>
    <x v="10"/>
    <x v="5"/>
    <x v="2"/>
    <x v="135"/>
    <n v="1"/>
    <n v="796"/>
    <s v="INR_x000d_"/>
    <s v="Own Brand"/>
    <x v="2"/>
    <x v="1"/>
    <x v="5"/>
    <x v="0"/>
    <n v="796"/>
  </r>
  <r>
    <x v="10"/>
    <x v="14"/>
    <x v="5"/>
    <x v="142"/>
    <n v="26"/>
    <n v="26722"/>
    <s v="INR_x000d_"/>
    <s v="Own Brand"/>
    <x v="5"/>
    <x v="2"/>
    <x v="14"/>
    <x v="0"/>
    <n v="26722"/>
  </r>
  <r>
    <x v="10"/>
    <x v="5"/>
    <x v="2"/>
    <x v="147"/>
    <n v="1"/>
    <n v="796"/>
    <s v="INR_x000d_"/>
    <s v="Own Brand"/>
    <x v="2"/>
    <x v="1"/>
    <x v="5"/>
    <x v="0"/>
    <n v="796"/>
  </r>
  <r>
    <x v="10"/>
    <x v="5"/>
    <x v="2"/>
    <x v="148"/>
    <n v="1"/>
    <n v="796"/>
    <s v="INR_x000d_"/>
    <s v="Own Brand"/>
    <x v="2"/>
    <x v="1"/>
    <x v="5"/>
    <x v="0"/>
    <n v="796"/>
  </r>
  <r>
    <x v="10"/>
    <x v="5"/>
    <x v="2"/>
    <x v="149"/>
    <n v="1"/>
    <n v="3185"/>
    <s v="INR_x000d_"/>
    <s v="Own Brand"/>
    <x v="2"/>
    <x v="1"/>
    <x v="5"/>
    <x v="0"/>
    <n v="3185"/>
  </r>
  <r>
    <x v="10"/>
    <x v="5"/>
    <x v="2"/>
    <x v="3"/>
    <n v="1"/>
    <n v="796"/>
    <s v="INR_x000d_"/>
    <s v="Own Brand"/>
    <x v="2"/>
    <x v="1"/>
    <x v="5"/>
    <x v="0"/>
    <n v="796"/>
  </r>
  <r>
    <x v="10"/>
    <x v="5"/>
    <x v="2"/>
    <x v="176"/>
    <n v="1"/>
    <n v="2389"/>
    <s v="INR_x000d_"/>
    <s v="Own Brand"/>
    <x v="2"/>
    <x v="1"/>
    <x v="5"/>
    <x v="0"/>
    <n v="2389"/>
  </r>
  <r>
    <x v="10"/>
    <x v="5"/>
    <x v="2"/>
    <x v="14"/>
    <n v="1"/>
    <n v="3185"/>
    <s v="INR_x000d_"/>
    <s v="Own Brand"/>
    <x v="2"/>
    <x v="1"/>
    <x v="5"/>
    <x v="0"/>
    <n v="3185"/>
  </r>
  <r>
    <x v="10"/>
    <x v="5"/>
    <x v="2"/>
    <x v="177"/>
    <n v="2"/>
    <n v="5574"/>
    <s v="INR_x000d_"/>
    <s v="Own Brand"/>
    <x v="2"/>
    <x v="1"/>
    <x v="5"/>
    <x v="0"/>
    <n v="5574"/>
  </r>
  <r>
    <x v="10"/>
    <x v="5"/>
    <x v="2"/>
    <x v="19"/>
    <n v="1"/>
    <n v="796"/>
    <s v="INR_x000d_"/>
    <s v="Own Brand"/>
    <x v="2"/>
    <x v="1"/>
    <x v="5"/>
    <x v="0"/>
    <n v="796"/>
  </r>
  <r>
    <x v="10"/>
    <x v="5"/>
    <x v="2"/>
    <x v="178"/>
    <n v="1"/>
    <n v="796"/>
    <s v="INR_x000d_"/>
    <s v="Own Brand"/>
    <x v="2"/>
    <x v="1"/>
    <x v="5"/>
    <x v="0"/>
    <n v="796"/>
  </r>
  <r>
    <x v="10"/>
    <x v="5"/>
    <x v="2"/>
    <x v="179"/>
    <n v="1"/>
    <n v="796"/>
    <s v="INR_x000d_"/>
    <s v="Own Brand"/>
    <x v="2"/>
    <x v="1"/>
    <x v="5"/>
    <x v="0"/>
    <n v="796"/>
  </r>
  <r>
    <x v="10"/>
    <x v="5"/>
    <x v="2"/>
    <x v="43"/>
    <n v="1"/>
    <n v="1593"/>
    <s v="INR_x000d_"/>
    <s v="Own Brand"/>
    <x v="2"/>
    <x v="1"/>
    <x v="5"/>
    <x v="0"/>
    <n v="1593"/>
  </r>
  <r>
    <x v="10"/>
    <x v="13"/>
    <x v="4"/>
    <x v="180"/>
    <n v="1"/>
    <n v="514"/>
    <s v="INR_x000d_"/>
    <s v="Own Brand"/>
    <x v="4"/>
    <x v="2"/>
    <x v="13"/>
    <x v="0"/>
    <n v="514"/>
  </r>
  <r>
    <x v="10"/>
    <x v="5"/>
    <x v="2"/>
    <x v="181"/>
    <n v="1"/>
    <n v="4759"/>
    <s v="INR_x000d_"/>
    <s v="Own Brand"/>
    <x v="2"/>
    <x v="1"/>
    <x v="5"/>
    <x v="0"/>
    <n v="4759"/>
  </r>
  <r>
    <x v="10"/>
    <x v="5"/>
    <x v="2"/>
    <x v="182"/>
    <n v="1"/>
    <n v="1190"/>
    <s v="INR_x000d_"/>
    <s v="Own Brand"/>
    <x v="2"/>
    <x v="1"/>
    <x v="5"/>
    <x v="0"/>
    <n v="1190"/>
  </r>
  <r>
    <x v="10"/>
    <x v="5"/>
    <x v="2"/>
    <x v="183"/>
    <n v="1"/>
    <n v="1190"/>
    <s v="INR_x000d_"/>
    <s v="Own Brand"/>
    <x v="2"/>
    <x v="1"/>
    <x v="5"/>
    <x v="0"/>
    <n v="1190"/>
  </r>
  <r>
    <x v="10"/>
    <x v="13"/>
    <x v="4"/>
    <x v="184"/>
    <n v="3"/>
    <n v="4106"/>
    <s v="INR_x000d_"/>
    <s v="Own Brand"/>
    <x v="4"/>
    <x v="2"/>
    <x v="13"/>
    <x v="0"/>
    <n v="4106"/>
  </r>
  <r>
    <x v="10"/>
    <x v="5"/>
    <x v="2"/>
    <x v="185"/>
    <n v="2"/>
    <n v="5949"/>
    <s v="INR_x000d_"/>
    <s v="Own Brand"/>
    <x v="2"/>
    <x v="1"/>
    <x v="5"/>
    <x v="0"/>
    <n v="5949"/>
  </r>
  <r>
    <x v="10"/>
    <x v="5"/>
    <x v="2"/>
    <x v="186"/>
    <n v="2"/>
    <n v="5949"/>
    <s v="INR_x000d_"/>
    <s v="Own Brand"/>
    <x v="2"/>
    <x v="1"/>
    <x v="5"/>
    <x v="0"/>
    <n v="5949"/>
  </r>
  <r>
    <x v="10"/>
    <x v="13"/>
    <x v="4"/>
    <x v="49"/>
    <n v="1"/>
    <n v="514"/>
    <s v="INR_x000d_"/>
    <s v="Own Brand"/>
    <x v="4"/>
    <x v="2"/>
    <x v="13"/>
    <x v="0"/>
    <n v="514"/>
  </r>
  <r>
    <x v="10"/>
    <x v="13"/>
    <x v="4"/>
    <x v="50"/>
    <n v="1"/>
    <n v="514"/>
    <s v="INR_x000d_"/>
    <s v="Own Brand"/>
    <x v="4"/>
    <x v="2"/>
    <x v="13"/>
    <x v="0"/>
    <n v="514"/>
  </r>
  <r>
    <x v="10"/>
    <x v="13"/>
    <x v="4"/>
    <x v="187"/>
    <n v="1"/>
    <n v="514"/>
    <s v="INR_x000d_"/>
    <s v="Own Brand"/>
    <x v="4"/>
    <x v="2"/>
    <x v="13"/>
    <x v="0"/>
    <n v="514"/>
  </r>
  <r>
    <x v="10"/>
    <x v="13"/>
    <x v="4"/>
    <x v="188"/>
    <n v="1"/>
    <n v="514"/>
    <s v="INR_x000d_"/>
    <s v="Own Brand"/>
    <x v="4"/>
    <x v="2"/>
    <x v="13"/>
    <x v="0"/>
    <n v="514"/>
  </r>
  <r>
    <x v="10"/>
    <x v="13"/>
    <x v="4"/>
    <x v="52"/>
    <n v="1"/>
    <n v="514"/>
    <s v="INR_x000d_"/>
    <s v="Own Brand"/>
    <x v="4"/>
    <x v="2"/>
    <x v="13"/>
    <x v="0"/>
    <n v="514"/>
  </r>
  <r>
    <x v="10"/>
    <x v="13"/>
    <x v="4"/>
    <x v="53"/>
    <n v="1"/>
    <n v="1028"/>
    <s v="INR_x000d_"/>
    <s v="Own Brand"/>
    <x v="4"/>
    <x v="2"/>
    <x v="13"/>
    <x v="0"/>
    <n v="1028"/>
  </r>
  <r>
    <x v="10"/>
    <x v="13"/>
    <x v="4"/>
    <x v="54"/>
    <n v="1"/>
    <n v="2056"/>
    <s v="INR_x000d_"/>
    <s v="Own Brand"/>
    <x v="4"/>
    <x v="2"/>
    <x v="13"/>
    <x v="0"/>
    <n v="2056"/>
  </r>
  <r>
    <x v="10"/>
    <x v="5"/>
    <x v="2"/>
    <x v="55"/>
    <n v="1"/>
    <n v="796"/>
    <s v="INR_x000d_"/>
    <s v="Own Brand"/>
    <x v="2"/>
    <x v="1"/>
    <x v="5"/>
    <x v="0"/>
    <n v="796"/>
  </r>
  <r>
    <x v="10"/>
    <x v="13"/>
    <x v="4"/>
    <x v="55"/>
    <n v="1"/>
    <n v="1542"/>
    <s v="INR_x000d_"/>
    <s v="Own Brand"/>
    <x v="4"/>
    <x v="2"/>
    <x v="13"/>
    <x v="0"/>
    <n v="1542"/>
  </r>
  <r>
    <x v="10"/>
    <x v="13"/>
    <x v="4"/>
    <x v="56"/>
    <n v="1"/>
    <n v="514"/>
    <s v="INR_x000d_"/>
    <s v="Own Brand"/>
    <x v="4"/>
    <x v="2"/>
    <x v="13"/>
    <x v="0"/>
    <n v="514"/>
  </r>
  <r>
    <x v="10"/>
    <x v="13"/>
    <x v="4"/>
    <x v="57"/>
    <n v="1"/>
    <n v="1028"/>
    <s v="INR_x000d_"/>
    <s v="Own Brand"/>
    <x v="4"/>
    <x v="2"/>
    <x v="13"/>
    <x v="0"/>
    <n v="1028"/>
  </r>
  <r>
    <x v="10"/>
    <x v="5"/>
    <x v="2"/>
    <x v="62"/>
    <n v="1"/>
    <n v="796"/>
    <s v="INR_x000d_"/>
    <s v="Own Brand"/>
    <x v="2"/>
    <x v="1"/>
    <x v="5"/>
    <x v="0"/>
    <n v="796"/>
  </r>
  <r>
    <x v="10"/>
    <x v="5"/>
    <x v="2"/>
    <x v="68"/>
    <n v="1"/>
    <n v="796"/>
    <s v="INR_x000d_"/>
    <s v="Own Brand"/>
    <x v="2"/>
    <x v="1"/>
    <x v="5"/>
    <x v="0"/>
    <n v="796"/>
  </r>
  <r>
    <x v="10"/>
    <x v="5"/>
    <x v="2"/>
    <x v="69"/>
    <n v="1"/>
    <n v="1593"/>
    <s v="INR_x000d_"/>
    <s v="Own Brand"/>
    <x v="2"/>
    <x v="1"/>
    <x v="5"/>
    <x v="0"/>
    <n v="1593"/>
  </r>
  <r>
    <x v="10"/>
    <x v="5"/>
    <x v="2"/>
    <x v="70"/>
    <n v="1"/>
    <n v="796"/>
    <s v="INR_x000d_"/>
    <s v="Own Brand"/>
    <x v="2"/>
    <x v="1"/>
    <x v="5"/>
    <x v="0"/>
    <n v="796"/>
  </r>
  <r>
    <x v="10"/>
    <x v="9"/>
    <x v="1"/>
    <x v="189"/>
    <n v="1"/>
    <n v="611"/>
    <s v="INR_x000d_"/>
    <s v="Own Brand"/>
    <x v="1"/>
    <x v="1"/>
    <x v="9"/>
    <x v="0"/>
    <n v="611"/>
  </r>
  <r>
    <x v="10"/>
    <x v="13"/>
    <x v="4"/>
    <x v="78"/>
    <n v="1"/>
    <n v="1028"/>
    <s v="INR_x000d_"/>
    <s v="Own Brand"/>
    <x v="4"/>
    <x v="2"/>
    <x v="13"/>
    <x v="0"/>
    <n v="1028"/>
  </r>
  <r>
    <x v="10"/>
    <x v="13"/>
    <x v="4"/>
    <x v="24"/>
    <n v="1"/>
    <n v="514"/>
    <s v="INR_x000d_"/>
    <s v="Own Brand"/>
    <x v="4"/>
    <x v="2"/>
    <x v="13"/>
    <x v="0"/>
    <n v="514"/>
  </r>
  <r>
    <x v="10"/>
    <x v="13"/>
    <x v="4"/>
    <x v="190"/>
    <n v="1"/>
    <n v="514"/>
    <s v="INR_x000d_"/>
    <s v="Own Brand"/>
    <x v="4"/>
    <x v="2"/>
    <x v="13"/>
    <x v="0"/>
    <n v="514"/>
  </r>
  <r>
    <x v="10"/>
    <x v="13"/>
    <x v="4"/>
    <x v="191"/>
    <n v="1"/>
    <n v="514"/>
    <s v="INR_x000d_"/>
    <s v="Own Brand"/>
    <x v="4"/>
    <x v="2"/>
    <x v="13"/>
    <x v="0"/>
    <n v="514"/>
  </r>
  <r>
    <x v="10"/>
    <x v="5"/>
    <x v="2"/>
    <x v="192"/>
    <n v="1"/>
    <n v="796"/>
    <s v="INR_x000d_"/>
    <s v="Own Brand"/>
    <x v="2"/>
    <x v="1"/>
    <x v="5"/>
    <x v="0"/>
    <n v="796"/>
  </r>
  <r>
    <x v="10"/>
    <x v="5"/>
    <x v="2"/>
    <x v="193"/>
    <n v="1"/>
    <n v="796"/>
    <s v="INR_x000d_"/>
    <s v="Own Brand"/>
    <x v="2"/>
    <x v="1"/>
    <x v="5"/>
    <x v="0"/>
    <n v="796"/>
  </r>
  <r>
    <x v="10"/>
    <x v="13"/>
    <x v="4"/>
    <x v="194"/>
    <n v="1"/>
    <n v="514"/>
    <s v="INR_x000d_"/>
    <s v="Own Brand"/>
    <x v="4"/>
    <x v="2"/>
    <x v="13"/>
    <x v="0"/>
    <n v="514"/>
  </r>
  <r>
    <x v="10"/>
    <x v="5"/>
    <x v="2"/>
    <x v="195"/>
    <n v="1"/>
    <n v="796"/>
    <s v="INR_x000d_"/>
    <s v="Own Brand"/>
    <x v="2"/>
    <x v="1"/>
    <x v="5"/>
    <x v="0"/>
    <n v="796"/>
  </r>
  <r>
    <x v="10"/>
    <x v="5"/>
    <x v="2"/>
    <x v="87"/>
    <n v="1"/>
    <n v="1593"/>
    <s v="INR_x000d_"/>
    <s v="Own Brand"/>
    <x v="2"/>
    <x v="1"/>
    <x v="5"/>
    <x v="0"/>
    <n v="1593"/>
  </r>
  <r>
    <x v="10"/>
    <x v="13"/>
    <x v="4"/>
    <x v="87"/>
    <n v="1"/>
    <n v="514"/>
    <s v="INR_x000d_"/>
    <s v="Own Brand"/>
    <x v="4"/>
    <x v="2"/>
    <x v="13"/>
    <x v="0"/>
    <n v="514"/>
  </r>
  <r>
    <x v="10"/>
    <x v="5"/>
    <x v="2"/>
    <x v="88"/>
    <n v="1"/>
    <n v="3185"/>
    <s v="INR_x000d_"/>
    <s v="Own Brand"/>
    <x v="2"/>
    <x v="1"/>
    <x v="5"/>
    <x v="0"/>
    <n v="3185"/>
  </r>
  <r>
    <x v="10"/>
    <x v="13"/>
    <x v="4"/>
    <x v="88"/>
    <n v="1"/>
    <n v="514"/>
    <s v="INR_x000d_"/>
    <s v="Own Brand"/>
    <x v="4"/>
    <x v="2"/>
    <x v="13"/>
    <x v="0"/>
    <n v="514"/>
  </r>
  <r>
    <x v="10"/>
    <x v="13"/>
    <x v="4"/>
    <x v="196"/>
    <n v="1"/>
    <n v="514"/>
    <s v="INR_x000d_"/>
    <s v="Own Brand"/>
    <x v="4"/>
    <x v="2"/>
    <x v="13"/>
    <x v="0"/>
    <n v="514"/>
  </r>
  <r>
    <x v="10"/>
    <x v="5"/>
    <x v="2"/>
    <x v="91"/>
    <n v="2"/>
    <n v="4778"/>
    <s v="INR_x000d_"/>
    <s v="Own Brand"/>
    <x v="2"/>
    <x v="1"/>
    <x v="5"/>
    <x v="0"/>
    <n v="4778"/>
  </r>
  <r>
    <x v="10"/>
    <x v="13"/>
    <x v="4"/>
    <x v="91"/>
    <n v="1"/>
    <n v="514"/>
    <s v="INR_x000d_"/>
    <s v="Own Brand"/>
    <x v="4"/>
    <x v="2"/>
    <x v="13"/>
    <x v="0"/>
    <n v="514"/>
  </r>
  <r>
    <x v="10"/>
    <x v="5"/>
    <x v="2"/>
    <x v="92"/>
    <n v="4"/>
    <n v="10352"/>
    <s v="INR_x000d_"/>
    <s v="Own Brand"/>
    <x v="2"/>
    <x v="1"/>
    <x v="5"/>
    <x v="0"/>
    <n v="10352"/>
  </r>
  <r>
    <x v="10"/>
    <x v="5"/>
    <x v="2"/>
    <x v="93"/>
    <n v="1"/>
    <n v="796"/>
    <s v="INR_x000d_"/>
    <s v="Own Brand"/>
    <x v="2"/>
    <x v="1"/>
    <x v="5"/>
    <x v="0"/>
    <n v="796"/>
  </r>
  <r>
    <x v="10"/>
    <x v="13"/>
    <x v="4"/>
    <x v="197"/>
    <n v="1"/>
    <n v="1028"/>
    <s v="INR_x000d_"/>
    <s v="Own Brand"/>
    <x v="4"/>
    <x v="2"/>
    <x v="13"/>
    <x v="0"/>
    <n v="1028"/>
  </r>
  <r>
    <x v="10"/>
    <x v="13"/>
    <x v="4"/>
    <x v="198"/>
    <n v="1"/>
    <n v="514"/>
    <s v="INR_x000d_"/>
    <s v="Own Brand"/>
    <x v="4"/>
    <x v="2"/>
    <x v="13"/>
    <x v="0"/>
    <n v="514"/>
  </r>
  <r>
    <x v="11"/>
    <x v="15"/>
    <x v="4"/>
    <x v="199"/>
    <n v="33"/>
    <n v="29648"/>
    <s v="INR_x000d_"/>
    <s v="Own Brand"/>
    <x v="4"/>
    <x v="2"/>
    <x v="15"/>
    <x v="0"/>
    <n v="29648"/>
  </r>
  <r>
    <x v="12"/>
    <x v="0"/>
    <x v="0"/>
    <x v="0"/>
    <n v="240"/>
    <n v="143560"/>
    <s v="INR_x000d_"/>
    <s v="Own Brand"/>
    <x v="0"/>
    <x v="0"/>
    <x v="0"/>
    <x v="0"/>
    <n v="143560"/>
  </r>
  <r>
    <x v="12"/>
    <x v="3"/>
    <x v="2"/>
    <x v="200"/>
    <n v="7"/>
    <n v="6204"/>
    <s v="INR_x000d_"/>
    <s v="Own Brand"/>
    <x v="2"/>
    <x v="1"/>
    <x v="3"/>
    <x v="0"/>
    <n v="6204"/>
  </r>
  <r>
    <x v="12"/>
    <x v="5"/>
    <x v="2"/>
    <x v="201"/>
    <n v="1"/>
    <n v="495"/>
    <s v="INR_x000d_"/>
    <s v="Own Brand"/>
    <x v="2"/>
    <x v="1"/>
    <x v="5"/>
    <x v="0"/>
    <n v="495"/>
  </r>
  <r>
    <x v="12"/>
    <x v="4"/>
    <x v="2"/>
    <x v="202"/>
    <n v="20"/>
    <n v="25130"/>
    <s v="INR_x000d_"/>
    <s v="Own Brand"/>
    <x v="2"/>
    <x v="1"/>
    <x v="4"/>
    <x v="0"/>
    <n v="25130"/>
  </r>
  <r>
    <x v="12"/>
    <x v="5"/>
    <x v="2"/>
    <x v="107"/>
    <n v="1"/>
    <n v="986"/>
    <s v="INR_x000d_"/>
    <s v="Own Brand"/>
    <x v="2"/>
    <x v="1"/>
    <x v="5"/>
    <x v="0"/>
    <n v="986"/>
  </r>
  <r>
    <x v="12"/>
    <x v="16"/>
    <x v="2"/>
    <x v="203"/>
    <n v="13"/>
    <n v="23898"/>
    <s v="INR_x000d_"/>
    <s v="Own Brand"/>
    <x v="2"/>
    <x v="1"/>
    <x v="16"/>
    <x v="1"/>
    <n v="23898"/>
  </r>
  <r>
    <x v="12"/>
    <x v="3"/>
    <x v="2"/>
    <x v="28"/>
    <n v="1"/>
    <n v="296"/>
    <s v="INR_x000d_"/>
    <s v="Own Brand"/>
    <x v="2"/>
    <x v="1"/>
    <x v="3"/>
    <x v="0"/>
    <n v="296"/>
  </r>
  <r>
    <x v="12"/>
    <x v="4"/>
    <x v="2"/>
    <x v="204"/>
    <n v="1"/>
    <n v="356"/>
    <s v="INR_x000d_"/>
    <s v="Own Brand"/>
    <x v="2"/>
    <x v="1"/>
    <x v="4"/>
    <x v="0"/>
    <n v="356"/>
  </r>
  <r>
    <x v="12"/>
    <x v="5"/>
    <x v="2"/>
    <x v="205"/>
    <n v="1"/>
    <n v="1977"/>
    <s v="INR_x000d_"/>
    <s v="Own Brand"/>
    <x v="2"/>
    <x v="1"/>
    <x v="5"/>
    <x v="0"/>
    <n v="1977"/>
  </r>
  <r>
    <x v="12"/>
    <x v="3"/>
    <x v="2"/>
    <x v="5"/>
    <n v="1"/>
    <n v="296"/>
    <s v="INR_x000d_"/>
    <s v="Own Brand"/>
    <x v="2"/>
    <x v="1"/>
    <x v="3"/>
    <x v="0"/>
    <n v="296"/>
  </r>
  <r>
    <x v="12"/>
    <x v="4"/>
    <x v="2"/>
    <x v="5"/>
    <n v="7"/>
    <n v="8375"/>
    <s v="INR_x000d_"/>
    <s v="Own Brand"/>
    <x v="2"/>
    <x v="1"/>
    <x v="4"/>
    <x v="0"/>
    <n v="8375"/>
  </r>
  <r>
    <x v="12"/>
    <x v="16"/>
    <x v="2"/>
    <x v="206"/>
    <n v="4"/>
    <n v="7171"/>
    <s v="INR_x000d_"/>
    <s v="Own Brand"/>
    <x v="2"/>
    <x v="1"/>
    <x v="16"/>
    <x v="1"/>
    <n v="7171"/>
  </r>
  <r>
    <x v="12"/>
    <x v="4"/>
    <x v="2"/>
    <x v="207"/>
    <n v="1"/>
    <n v="356"/>
    <s v="INR_x000d_"/>
    <s v="Own Brand"/>
    <x v="2"/>
    <x v="1"/>
    <x v="4"/>
    <x v="0"/>
    <n v="356"/>
  </r>
  <r>
    <x v="12"/>
    <x v="4"/>
    <x v="2"/>
    <x v="208"/>
    <n v="1"/>
    <n v="356"/>
    <s v="INR_x000d_"/>
    <s v="Own Brand"/>
    <x v="2"/>
    <x v="1"/>
    <x v="4"/>
    <x v="0"/>
    <n v="356"/>
  </r>
  <r>
    <x v="12"/>
    <x v="4"/>
    <x v="2"/>
    <x v="40"/>
    <n v="7"/>
    <n v="8375"/>
    <s v="INR_x000d_"/>
    <s v="Own Brand"/>
    <x v="2"/>
    <x v="1"/>
    <x v="4"/>
    <x v="0"/>
    <n v="8375"/>
  </r>
  <r>
    <x v="12"/>
    <x v="5"/>
    <x v="2"/>
    <x v="209"/>
    <n v="208"/>
    <n v="77931"/>
    <s v="INR_x000d_"/>
    <s v="Own Brand"/>
    <x v="2"/>
    <x v="1"/>
    <x v="5"/>
    <x v="0"/>
    <n v="77931"/>
  </r>
  <r>
    <x v="12"/>
    <x v="5"/>
    <x v="2"/>
    <x v="162"/>
    <n v="105"/>
    <n v="40704"/>
    <s v="INR_x000d_"/>
    <s v="Own Brand"/>
    <x v="2"/>
    <x v="1"/>
    <x v="5"/>
    <x v="0"/>
    <n v="40704"/>
  </r>
  <r>
    <x v="12"/>
    <x v="5"/>
    <x v="2"/>
    <x v="210"/>
    <n v="125"/>
    <n v="47074"/>
    <s v="INR_x000d_"/>
    <s v="Own Brand"/>
    <x v="2"/>
    <x v="1"/>
    <x v="5"/>
    <x v="0"/>
    <n v="47074"/>
  </r>
  <r>
    <x v="12"/>
    <x v="5"/>
    <x v="2"/>
    <x v="211"/>
    <n v="10"/>
    <n v="4028"/>
    <s v="INR_x000d_"/>
    <s v="Own Brand"/>
    <x v="2"/>
    <x v="1"/>
    <x v="5"/>
    <x v="0"/>
    <n v="4028"/>
  </r>
  <r>
    <x v="12"/>
    <x v="17"/>
    <x v="4"/>
    <x v="172"/>
    <n v="33"/>
    <n v="30167"/>
    <s v="INR_x000d_"/>
    <s v="Own Brand"/>
    <x v="4"/>
    <x v="2"/>
    <x v="17"/>
    <x v="0"/>
    <n v="30167"/>
  </r>
  <r>
    <x v="12"/>
    <x v="5"/>
    <x v="2"/>
    <x v="137"/>
    <n v="6"/>
    <n v="1968"/>
    <s v="INR_x000d_"/>
    <s v="Own Brand"/>
    <x v="2"/>
    <x v="1"/>
    <x v="5"/>
    <x v="0"/>
    <n v="1968"/>
  </r>
  <r>
    <x v="13"/>
    <x v="5"/>
    <x v="2"/>
    <x v="4"/>
    <n v="3"/>
    <n v="1366"/>
    <s v="INR_x000d_"/>
    <s v="Own Brand"/>
    <x v="2"/>
    <x v="1"/>
    <x v="5"/>
    <x v="0"/>
    <n v="1366"/>
  </r>
  <r>
    <x v="13"/>
    <x v="5"/>
    <x v="2"/>
    <x v="212"/>
    <n v="1"/>
    <n v="495"/>
    <s v="INR_x000d_"/>
    <s v="Own Brand"/>
    <x v="2"/>
    <x v="1"/>
    <x v="5"/>
    <x v="0"/>
    <n v="495"/>
  </r>
  <r>
    <x v="13"/>
    <x v="5"/>
    <x v="2"/>
    <x v="213"/>
    <n v="17"/>
    <n v="6713"/>
    <s v="INR_x000d_"/>
    <s v="Own Brand"/>
    <x v="2"/>
    <x v="1"/>
    <x v="5"/>
    <x v="0"/>
    <n v="6713"/>
  </r>
  <r>
    <x v="14"/>
    <x v="5"/>
    <x v="2"/>
    <x v="135"/>
    <n v="57"/>
    <n v="27708"/>
    <s v="INR_x000d_"/>
    <s v="Own Brand"/>
    <x v="2"/>
    <x v="1"/>
    <x v="5"/>
    <x v="0"/>
    <n v="27708"/>
  </r>
  <r>
    <x v="15"/>
    <x v="5"/>
    <x v="2"/>
    <x v="26"/>
    <n v="1"/>
    <n v="537"/>
    <s v="INR_x000d_"/>
    <s v="Own Brand"/>
    <x v="2"/>
    <x v="1"/>
    <x v="5"/>
    <x v="0"/>
    <n v="537"/>
  </r>
  <r>
    <x v="15"/>
    <x v="3"/>
    <x v="2"/>
    <x v="214"/>
    <n v="7"/>
    <n v="7644"/>
    <s v="INR_x000d_"/>
    <s v="Own Brand"/>
    <x v="2"/>
    <x v="1"/>
    <x v="3"/>
    <x v="0"/>
    <n v="7644"/>
  </r>
  <r>
    <x v="15"/>
    <x v="3"/>
    <x v="2"/>
    <x v="215"/>
    <n v="1"/>
    <n v="157"/>
    <s v="INR_x000d_"/>
    <s v="Own Brand"/>
    <x v="2"/>
    <x v="1"/>
    <x v="3"/>
    <x v="0"/>
    <n v="157"/>
  </r>
  <r>
    <x v="15"/>
    <x v="5"/>
    <x v="2"/>
    <x v="112"/>
    <n v="8"/>
    <n v="10972"/>
    <s v="INR_x000d_"/>
    <s v="Own Brand"/>
    <x v="2"/>
    <x v="1"/>
    <x v="5"/>
    <x v="0"/>
    <n v="10972"/>
  </r>
  <r>
    <x v="15"/>
    <x v="5"/>
    <x v="2"/>
    <x v="212"/>
    <n v="1"/>
    <n v="1218"/>
    <s v="INR_x000d_"/>
    <s v="Own Brand"/>
    <x v="2"/>
    <x v="1"/>
    <x v="5"/>
    <x v="0"/>
    <n v="1218"/>
  </r>
  <r>
    <x v="15"/>
    <x v="5"/>
    <x v="2"/>
    <x v="13"/>
    <n v="9"/>
    <n v="13407"/>
    <s v="INR_x000d_"/>
    <s v="Own Brand"/>
    <x v="2"/>
    <x v="1"/>
    <x v="5"/>
    <x v="0"/>
    <n v="13407"/>
  </r>
  <r>
    <x v="15"/>
    <x v="5"/>
    <x v="2"/>
    <x v="216"/>
    <n v="1"/>
    <n v="245"/>
    <s v="INR_x000d_"/>
    <s v="Own Brand"/>
    <x v="2"/>
    <x v="1"/>
    <x v="5"/>
    <x v="0"/>
    <n v="245"/>
  </r>
  <r>
    <x v="15"/>
    <x v="5"/>
    <x v="2"/>
    <x v="217"/>
    <n v="1"/>
    <n v="245"/>
    <s v="INR_x000d_"/>
    <s v="Own Brand"/>
    <x v="2"/>
    <x v="1"/>
    <x v="5"/>
    <x v="0"/>
    <n v="245"/>
  </r>
  <r>
    <x v="15"/>
    <x v="0"/>
    <x v="0"/>
    <x v="218"/>
    <n v="187"/>
    <n v="115481"/>
    <s v="INR_x000d_"/>
    <s v="Own Brand"/>
    <x v="0"/>
    <x v="0"/>
    <x v="0"/>
    <x v="0"/>
    <n v="115481"/>
  </r>
  <r>
    <x v="15"/>
    <x v="4"/>
    <x v="2"/>
    <x v="14"/>
    <n v="38"/>
    <n v="78986"/>
    <s v="INR_x000d_"/>
    <s v="Own Brand"/>
    <x v="2"/>
    <x v="1"/>
    <x v="4"/>
    <x v="0"/>
    <n v="78986"/>
  </r>
  <r>
    <x v="15"/>
    <x v="4"/>
    <x v="2"/>
    <x v="15"/>
    <n v="119"/>
    <n v="245546"/>
    <s v="INR_x000d_"/>
    <s v="Own Brand"/>
    <x v="2"/>
    <x v="1"/>
    <x v="4"/>
    <x v="0"/>
    <n v="245546"/>
  </r>
  <r>
    <x v="15"/>
    <x v="4"/>
    <x v="2"/>
    <x v="16"/>
    <n v="79"/>
    <n v="162292"/>
    <s v="INR_x000d_"/>
    <s v="Own Brand"/>
    <x v="2"/>
    <x v="1"/>
    <x v="4"/>
    <x v="0"/>
    <n v="162292"/>
  </r>
  <r>
    <x v="15"/>
    <x v="4"/>
    <x v="2"/>
    <x v="17"/>
    <n v="1"/>
    <n v="412"/>
    <s v="INR_x000d_"/>
    <s v="Own Brand"/>
    <x v="2"/>
    <x v="1"/>
    <x v="4"/>
    <x v="0"/>
    <n v="412"/>
  </r>
  <r>
    <x v="15"/>
    <x v="4"/>
    <x v="2"/>
    <x v="18"/>
    <n v="5"/>
    <n v="7981"/>
    <s v="INR_x000d_"/>
    <s v="Own Brand"/>
    <x v="2"/>
    <x v="1"/>
    <x v="4"/>
    <x v="0"/>
    <n v="7981"/>
  </r>
  <r>
    <x v="15"/>
    <x v="4"/>
    <x v="2"/>
    <x v="219"/>
    <n v="19"/>
    <n v="27505"/>
    <s v="INR_x000d_"/>
    <s v="Own Brand"/>
    <x v="2"/>
    <x v="1"/>
    <x v="4"/>
    <x v="0"/>
    <n v="27505"/>
  </r>
  <r>
    <x v="15"/>
    <x v="18"/>
    <x v="3"/>
    <x v="19"/>
    <n v="173"/>
    <n v="145921"/>
    <s v="INR_x000d_"/>
    <s v="Own Brand"/>
    <x v="3"/>
    <x v="1"/>
    <x v="18"/>
    <x v="1"/>
    <n v="145921"/>
  </r>
  <r>
    <x v="15"/>
    <x v="4"/>
    <x v="2"/>
    <x v="19"/>
    <n v="1"/>
    <n v="546"/>
    <s v="INR_x000d_"/>
    <s v="Own Brand"/>
    <x v="2"/>
    <x v="1"/>
    <x v="4"/>
    <x v="0"/>
    <n v="546"/>
  </r>
  <r>
    <x v="15"/>
    <x v="4"/>
    <x v="2"/>
    <x v="153"/>
    <n v="20"/>
    <n v="28167"/>
    <s v="INR_x000d_"/>
    <s v="Own Brand"/>
    <x v="2"/>
    <x v="1"/>
    <x v="4"/>
    <x v="0"/>
    <n v="28167"/>
  </r>
  <r>
    <x v="15"/>
    <x v="4"/>
    <x v="2"/>
    <x v="220"/>
    <n v="23"/>
    <n v="32764"/>
    <s v="INR_x000d_"/>
    <s v="Own Brand"/>
    <x v="2"/>
    <x v="1"/>
    <x v="4"/>
    <x v="0"/>
    <n v="32764"/>
  </r>
  <r>
    <x v="15"/>
    <x v="4"/>
    <x v="2"/>
    <x v="221"/>
    <n v="5"/>
    <n v="6648"/>
    <s v="INR_x000d_"/>
    <s v="Own Brand"/>
    <x v="2"/>
    <x v="1"/>
    <x v="4"/>
    <x v="0"/>
    <n v="6648"/>
  </r>
  <r>
    <x v="15"/>
    <x v="4"/>
    <x v="2"/>
    <x v="222"/>
    <n v="28"/>
    <n v="40366"/>
    <s v="INR_x000d_"/>
    <s v="Own Brand"/>
    <x v="2"/>
    <x v="1"/>
    <x v="4"/>
    <x v="0"/>
    <n v="40366"/>
  </r>
  <r>
    <x v="15"/>
    <x v="4"/>
    <x v="2"/>
    <x v="179"/>
    <n v="3"/>
    <n v="4273"/>
    <s v="INR_x000d_"/>
    <s v="Own Brand"/>
    <x v="2"/>
    <x v="1"/>
    <x v="4"/>
    <x v="0"/>
    <n v="4273"/>
  </r>
  <r>
    <x v="15"/>
    <x v="4"/>
    <x v="2"/>
    <x v="223"/>
    <n v="1"/>
    <n v="949"/>
    <s v="INR_x000d_"/>
    <s v="Own Brand"/>
    <x v="2"/>
    <x v="1"/>
    <x v="4"/>
    <x v="0"/>
    <n v="949"/>
  </r>
  <r>
    <x v="15"/>
    <x v="4"/>
    <x v="2"/>
    <x v="224"/>
    <n v="1"/>
    <n v="477"/>
    <s v="INR_x000d_"/>
    <s v="Own Brand"/>
    <x v="2"/>
    <x v="1"/>
    <x v="4"/>
    <x v="0"/>
    <n v="477"/>
  </r>
  <r>
    <x v="15"/>
    <x v="4"/>
    <x v="2"/>
    <x v="225"/>
    <n v="1"/>
    <n v="949"/>
    <s v="INR_x000d_"/>
    <s v="Own Brand"/>
    <x v="2"/>
    <x v="1"/>
    <x v="4"/>
    <x v="0"/>
    <n v="949"/>
  </r>
  <r>
    <x v="15"/>
    <x v="4"/>
    <x v="2"/>
    <x v="43"/>
    <n v="41"/>
    <n v="70356"/>
    <s v="INR_x000d_"/>
    <s v="Own Brand"/>
    <x v="2"/>
    <x v="1"/>
    <x v="4"/>
    <x v="0"/>
    <n v="70356"/>
  </r>
  <r>
    <x v="15"/>
    <x v="3"/>
    <x v="2"/>
    <x v="12"/>
    <n v="7"/>
    <n v="6528"/>
    <s v="INR_x000d_"/>
    <s v="Own Brand"/>
    <x v="2"/>
    <x v="1"/>
    <x v="3"/>
    <x v="0"/>
    <n v="6528"/>
  </r>
  <r>
    <x v="15"/>
    <x v="4"/>
    <x v="2"/>
    <x v="12"/>
    <n v="1"/>
    <n v="477"/>
    <s v="INR_x000d_"/>
    <s v="Own Brand"/>
    <x v="2"/>
    <x v="1"/>
    <x v="4"/>
    <x v="0"/>
    <n v="477"/>
  </r>
  <r>
    <x v="15"/>
    <x v="4"/>
    <x v="2"/>
    <x v="226"/>
    <n v="12"/>
    <n v="19727"/>
    <s v="INR_x000d_"/>
    <s v="Own Brand"/>
    <x v="2"/>
    <x v="1"/>
    <x v="4"/>
    <x v="0"/>
    <n v="19727"/>
  </r>
  <r>
    <x v="15"/>
    <x v="4"/>
    <x v="2"/>
    <x v="227"/>
    <n v="2"/>
    <n v="3324"/>
    <s v="INR_x000d_"/>
    <s v="Own Brand"/>
    <x v="2"/>
    <x v="1"/>
    <x v="4"/>
    <x v="0"/>
    <n v="3324"/>
  </r>
  <r>
    <x v="15"/>
    <x v="5"/>
    <x v="2"/>
    <x v="228"/>
    <n v="227"/>
    <n v="103889"/>
    <s v="INR_x000d_"/>
    <s v="Own Brand"/>
    <x v="2"/>
    <x v="1"/>
    <x v="5"/>
    <x v="0"/>
    <n v="103889"/>
  </r>
  <r>
    <x v="15"/>
    <x v="5"/>
    <x v="2"/>
    <x v="229"/>
    <n v="36"/>
    <n v="18167"/>
    <s v="INR_x000d_"/>
    <s v="Own Brand"/>
    <x v="2"/>
    <x v="1"/>
    <x v="5"/>
    <x v="0"/>
    <n v="18167"/>
  </r>
  <r>
    <x v="15"/>
    <x v="4"/>
    <x v="2"/>
    <x v="230"/>
    <n v="112"/>
    <n v="106560"/>
    <s v="INR_x000d_"/>
    <s v="Own Brand"/>
    <x v="2"/>
    <x v="1"/>
    <x v="4"/>
    <x v="0"/>
    <n v="106560"/>
  </r>
  <r>
    <x v="15"/>
    <x v="4"/>
    <x v="2"/>
    <x v="58"/>
    <n v="50"/>
    <n v="90130"/>
    <s v="INR_x000d_"/>
    <s v="Own Brand"/>
    <x v="2"/>
    <x v="1"/>
    <x v="4"/>
    <x v="0"/>
    <n v="90130"/>
  </r>
  <r>
    <x v="15"/>
    <x v="4"/>
    <x v="2"/>
    <x v="59"/>
    <n v="30"/>
    <n v="54079"/>
    <s v="INR_x000d_"/>
    <s v="Own Brand"/>
    <x v="2"/>
    <x v="1"/>
    <x v="4"/>
    <x v="0"/>
    <n v="54079"/>
  </r>
  <r>
    <x v="15"/>
    <x v="18"/>
    <x v="3"/>
    <x v="231"/>
    <n v="182"/>
    <n v="153815"/>
    <s v="INR_x000d_"/>
    <s v="Own Brand"/>
    <x v="3"/>
    <x v="1"/>
    <x v="18"/>
    <x v="1"/>
    <n v="153815"/>
  </r>
  <r>
    <x v="15"/>
    <x v="3"/>
    <x v="2"/>
    <x v="67"/>
    <n v="1"/>
    <n v="306"/>
    <s v="INR_x000d_"/>
    <s v="Own Brand"/>
    <x v="2"/>
    <x v="1"/>
    <x v="3"/>
    <x v="0"/>
    <n v="306"/>
  </r>
  <r>
    <x v="15"/>
    <x v="18"/>
    <x v="3"/>
    <x v="73"/>
    <n v="157"/>
    <n v="132519"/>
    <s v="INR_x000d_"/>
    <s v="Own Brand"/>
    <x v="3"/>
    <x v="1"/>
    <x v="18"/>
    <x v="1"/>
    <n v="132519"/>
  </r>
  <r>
    <x v="15"/>
    <x v="4"/>
    <x v="2"/>
    <x v="21"/>
    <n v="111"/>
    <n v="152833"/>
    <s v="INR_x000d_"/>
    <s v="Own Brand"/>
    <x v="2"/>
    <x v="1"/>
    <x v="4"/>
    <x v="0"/>
    <n v="152833"/>
  </r>
  <r>
    <x v="15"/>
    <x v="4"/>
    <x v="2"/>
    <x v="22"/>
    <n v="7"/>
    <n v="10144"/>
    <s v="INR_x000d_"/>
    <s v="Own Brand"/>
    <x v="2"/>
    <x v="1"/>
    <x v="4"/>
    <x v="0"/>
    <n v="10144"/>
  </r>
  <r>
    <x v="15"/>
    <x v="4"/>
    <x v="2"/>
    <x v="232"/>
    <n v="7"/>
    <n v="8991"/>
    <s v="INR_x000d_"/>
    <s v="Own Brand"/>
    <x v="2"/>
    <x v="1"/>
    <x v="4"/>
    <x v="0"/>
    <n v="8991"/>
  </r>
  <r>
    <x v="15"/>
    <x v="5"/>
    <x v="2"/>
    <x v="81"/>
    <n v="1"/>
    <n v="1218"/>
    <s v="INR_x000d_"/>
    <s v="Own Brand"/>
    <x v="2"/>
    <x v="1"/>
    <x v="5"/>
    <x v="0"/>
    <n v="1218"/>
  </r>
  <r>
    <x v="15"/>
    <x v="5"/>
    <x v="2"/>
    <x v="82"/>
    <n v="1"/>
    <n v="1708"/>
    <s v="INR_x000d_"/>
    <s v="Own Brand"/>
    <x v="2"/>
    <x v="1"/>
    <x v="5"/>
    <x v="0"/>
    <n v="1708"/>
  </r>
  <r>
    <x v="15"/>
    <x v="5"/>
    <x v="2"/>
    <x v="23"/>
    <n v="177"/>
    <n v="79676"/>
    <s v="INR_x000d_"/>
    <s v="Own Brand"/>
    <x v="2"/>
    <x v="1"/>
    <x v="5"/>
    <x v="0"/>
    <n v="79676"/>
  </r>
  <r>
    <x v="15"/>
    <x v="5"/>
    <x v="2"/>
    <x v="83"/>
    <n v="1"/>
    <n v="486"/>
    <s v="INR_x000d_"/>
    <s v="Own Brand"/>
    <x v="2"/>
    <x v="1"/>
    <x v="5"/>
    <x v="0"/>
    <n v="486"/>
  </r>
  <r>
    <x v="15"/>
    <x v="4"/>
    <x v="2"/>
    <x v="233"/>
    <n v="18"/>
    <n v="25356"/>
    <s v="INR_x000d_"/>
    <s v="Own Brand"/>
    <x v="2"/>
    <x v="1"/>
    <x v="4"/>
    <x v="0"/>
    <n v="25356"/>
  </r>
  <r>
    <x v="15"/>
    <x v="4"/>
    <x v="2"/>
    <x v="234"/>
    <n v="13"/>
    <n v="17519"/>
    <s v="INR_x000d_"/>
    <s v="Own Brand"/>
    <x v="2"/>
    <x v="1"/>
    <x v="4"/>
    <x v="0"/>
    <n v="17519"/>
  </r>
  <r>
    <x v="15"/>
    <x v="5"/>
    <x v="2"/>
    <x v="90"/>
    <n v="4"/>
    <n v="6338"/>
    <s v="INR_x000d_"/>
    <s v="Own Brand"/>
    <x v="2"/>
    <x v="1"/>
    <x v="5"/>
    <x v="0"/>
    <n v="6338"/>
  </r>
  <r>
    <x v="16"/>
    <x v="19"/>
    <x v="4"/>
    <x v="235"/>
    <n v="4"/>
    <n v="9190"/>
    <s v="INR_x000d_"/>
    <s v="Own Brand"/>
    <x v="4"/>
    <x v="2"/>
    <x v="19"/>
    <x v="1"/>
    <n v="9190"/>
  </r>
  <r>
    <x v="16"/>
    <x v="13"/>
    <x v="4"/>
    <x v="160"/>
    <n v="4"/>
    <n v="8384"/>
    <s v="INR_x000d_"/>
    <s v="Own Brand"/>
    <x v="4"/>
    <x v="2"/>
    <x v="13"/>
    <x v="0"/>
    <n v="8384"/>
  </r>
  <r>
    <x v="16"/>
    <x v="13"/>
    <x v="4"/>
    <x v="236"/>
    <n v="2"/>
    <n v="4889"/>
    <s v="INR_x000d_"/>
    <s v="Own Brand"/>
    <x v="4"/>
    <x v="2"/>
    <x v="13"/>
    <x v="0"/>
    <n v="4889"/>
  </r>
  <r>
    <x v="16"/>
    <x v="13"/>
    <x v="4"/>
    <x v="26"/>
    <n v="2"/>
    <n v="3495"/>
    <s v="INR_x000d_"/>
    <s v="Own Brand"/>
    <x v="4"/>
    <x v="2"/>
    <x v="13"/>
    <x v="0"/>
    <n v="3495"/>
  </r>
  <r>
    <x v="16"/>
    <x v="20"/>
    <x v="4"/>
    <x v="26"/>
    <n v="1"/>
    <n v="2065"/>
    <s v="INR_x000d_"/>
    <s v="Own Brand"/>
    <x v="4"/>
    <x v="2"/>
    <x v="20"/>
    <x v="1"/>
    <n v="2065"/>
  </r>
  <r>
    <x v="16"/>
    <x v="20"/>
    <x v="4"/>
    <x v="107"/>
    <n v="1"/>
    <n v="1380"/>
    <s v="INR_x000d_"/>
    <s v="Own Brand"/>
    <x v="4"/>
    <x v="2"/>
    <x v="20"/>
    <x v="1"/>
    <n v="1380"/>
  </r>
  <r>
    <x v="16"/>
    <x v="13"/>
    <x v="4"/>
    <x v="27"/>
    <n v="6"/>
    <n v="11870"/>
    <s v="INR_x000d_"/>
    <s v="Own Brand"/>
    <x v="4"/>
    <x v="2"/>
    <x v="13"/>
    <x v="0"/>
    <n v="11870"/>
  </r>
  <r>
    <x v="16"/>
    <x v="13"/>
    <x v="4"/>
    <x v="28"/>
    <n v="6"/>
    <n v="12574"/>
    <s v="INR_x000d_"/>
    <s v="Own Brand"/>
    <x v="4"/>
    <x v="2"/>
    <x v="13"/>
    <x v="0"/>
    <n v="12574"/>
  </r>
  <r>
    <x v="16"/>
    <x v="13"/>
    <x v="4"/>
    <x v="29"/>
    <n v="1"/>
    <n v="2796"/>
    <s v="INR_x000d_"/>
    <s v="Own Brand"/>
    <x v="4"/>
    <x v="2"/>
    <x v="13"/>
    <x v="0"/>
    <n v="2796"/>
  </r>
  <r>
    <x v="16"/>
    <x v="13"/>
    <x v="4"/>
    <x v="30"/>
    <n v="2"/>
    <n v="4889"/>
    <s v="INR_x000d_"/>
    <s v="Own Brand"/>
    <x v="4"/>
    <x v="2"/>
    <x v="13"/>
    <x v="0"/>
    <n v="4889"/>
  </r>
  <r>
    <x v="16"/>
    <x v="13"/>
    <x v="4"/>
    <x v="32"/>
    <n v="1"/>
    <n v="2792"/>
    <s v="INR_x000d_"/>
    <s v="Own Brand"/>
    <x v="4"/>
    <x v="2"/>
    <x v="13"/>
    <x v="0"/>
    <n v="2792"/>
  </r>
  <r>
    <x v="16"/>
    <x v="20"/>
    <x v="4"/>
    <x v="4"/>
    <n v="33"/>
    <n v="68898"/>
    <s v="INR_x000d_"/>
    <s v="Own Brand"/>
    <x v="4"/>
    <x v="2"/>
    <x v="20"/>
    <x v="1"/>
    <n v="68898"/>
  </r>
  <r>
    <x v="16"/>
    <x v="13"/>
    <x v="4"/>
    <x v="6"/>
    <n v="1"/>
    <n v="2792"/>
    <s v="INR_x000d_"/>
    <s v="Own Brand"/>
    <x v="4"/>
    <x v="2"/>
    <x v="13"/>
    <x v="0"/>
    <n v="2792"/>
  </r>
  <r>
    <x v="16"/>
    <x v="13"/>
    <x v="4"/>
    <x v="112"/>
    <n v="3"/>
    <n v="6991"/>
    <s v="INR_x000d_"/>
    <s v="Own Brand"/>
    <x v="4"/>
    <x v="2"/>
    <x v="13"/>
    <x v="0"/>
    <n v="6991"/>
  </r>
  <r>
    <x v="16"/>
    <x v="21"/>
    <x v="4"/>
    <x v="7"/>
    <n v="1"/>
    <n v="681"/>
    <s v="INR_x000d_"/>
    <s v="Own Brand"/>
    <x v="4"/>
    <x v="2"/>
    <x v="21"/>
    <x v="1"/>
    <n v="681"/>
  </r>
  <r>
    <x v="16"/>
    <x v="20"/>
    <x v="4"/>
    <x v="10"/>
    <n v="22"/>
    <n v="44782"/>
    <s v="INR_x000d_"/>
    <s v="Own Brand"/>
    <x v="4"/>
    <x v="2"/>
    <x v="20"/>
    <x v="1"/>
    <n v="44782"/>
  </r>
  <r>
    <x v="16"/>
    <x v="13"/>
    <x v="4"/>
    <x v="212"/>
    <n v="13"/>
    <n v="26537"/>
    <s v="INR_x000d_"/>
    <s v="Own Brand"/>
    <x v="4"/>
    <x v="2"/>
    <x v="13"/>
    <x v="0"/>
    <n v="26537"/>
  </r>
  <r>
    <x v="16"/>
    <x v="20"/>
    <x v="4"/>
    <x v="237"/>
    <n v="2"/>
    <n v="3444"/>
    <s v="INR_x000d_"/>
    <s v="Own Brand"/>
    <x v="4"/>
    <x v="2"/>
    <x v="20"/>
    <x v="1"/>
    <n v="3444"/>
  </r>
  <r>
    <x v="16"/>
    <x v="13"/>
    <x v="4"/>
    <x v="238"/>
    <n v="2"/>
    <n v="4190"/>
    <s v="INR_x000d_"/>
    <s v="Own Brand"/>
    <x v="4"/>
    <x v="2"/>
    <x v="13"/>
    <x v="0"/>
    <n v="4190"/>
  </r>
  <r>
    <x v="16"/>
    <x v="20"/>
    <x v="4"/>
    <x v="238"/>
    <n v="1"/>
    <n v="2755"/>
    <s v="INR_x000d_"/>
    <s v="Own Brand"/>
    <x v="4"/>
    <x v="2"/>
    <x v="20"/>
    <x v="1"/>
    <n v="2755"/>
  </r>
  <r>
    <x v="16"/>
    <x v="13"/>
    <x v="4"/>
    <x v="33"/>
    <n v="9"/>
    <n v="18852"/>
    <s v="INR_x000d_"/>
    <s v="Own Brand"/>
    <x v="4"/>
    <x v="2"/>
    <x v="13"/>
    <x v="0"/>
    <n v="18852"/>
  </r>
  <r>
    <x v="16"/>
    <x v="20"/>
    <x v="4"/>
    <x v="109"/>
    <n v="1"/>
    <n v="1380"/>
    <s v="INR_x000d_"/>
    <s v="Own Brand"/>
    <x v="4"/>
    <x v="2"/>
    <x v="20"/>
    <x v="1"/>
    <n v="1380"/>
  </r>
  <r>
    <x v="16"/>
    <x v="13"/>
    <x v="4"/>
    <x v="239"/>
    <n v="3"/>
    <n v="6287"/>
    <s v="INR_x000d_"/>
    <s v="Own Brand"/>
    <x v="4"/>
    <x v="2"/>
    <x v="13"/>
    <x v="0"/>
    <n v="6287"/>
  </r>
  <r>
    <x v="16"/>
    <x v="13"/>
    <x v="4"/>
    <x v="207"/>
    <n v="20"/>
    <n v="41199"/>
    <s v="INR_x000d_"/>
    <s v="Own Brand"/>
    <x v="4"/>
    <x v="2"/>
    <x v="13"/>
    <x v="0"/>
    <n v="41199"/>
  </r>
  <r>
    <x v="16"/>
    <x v="21"/>
    <x v="4"/>
    <x v="35"/>
    <n v="1"/>
    <n v="1356"/>
    <s v="INR_x000d_"/>
    <s v="Own Brand"/>
    <x v="4"/>
    <x v="2"/>
    <x v="21"/>
    <x v="1"/>
    <n v="1356"/>
  </r>
  <r>
    <x v="16"/>
    <x v="21"/>
    <x v="4"/>
    <x v="11"/>
    <n v="1"/>
    <n v="681"/>
    <s v="INR_x000d_"/>
    <s v="Own Brand"/>
    <x v="4"/>
    <x v="2"/>
    <x v="21"/>
    <x v="1"/>
    <n v="681"/>
  </r>
  <r>
    <x v="16"/>
    <x v="13"/>
    <x v="4"/>
    <x v="240"/>
    <n v="3"/>
    <n v="5588"/>
    <s v="INR_x000d_"/>
    <s v="Own Brand"/>
    <x v="4"/>
    <x v="2"/>
    <x v="13"/>
    <x v="0"/>
    <n v="5588"/>
  </r>
  <r>
    <x v="16"/>
    <x v="13"/>
    <x v="4"/>
    <x v="241"/>
    <n v="15"/>
    <n v="32125"/>
    <s v="INR_x000d_"/>
    <s v="Own Brand"/>
    <x v="4"/>
    <x v="2"/>
    <x v="13"/>
    <x v="0"/>
    <n v="32125"/>
  </r>
  <r>
    <x v="16"/>
    <x v="20"/>
    <x v="4"/>
    <x v="241"/>
    <n v="7"/>
    <n v="13778"/>
    <s v="INR_x000d_"/>
    <s v="Own Brand"/>
    <x v="4"/>
    <x v="2"/>
    <x v="20"/>
    <x v="1"/>
    <n v="13778"/>
  </r>
  <r>
    <x v="16"/>
    <x v="13"/>
    <x v="4"/>
    <x v="242"/>
    <n v="2"/>
    <n v="4194"/>
    <s v="INR_x000d_"/>
    <s v="Own Brand"/>
    <x v="4"/>
    <x v="2"/>
    <x v="13"/>
    <x v="0"/>
    <n v="4194"/>
  </r>
  <r>
    <x v="16"/>
    <x v="21"/>
    <x v="4"/>
    <x v="242"/>
    <n v="1"/>
    <n v="2713"/>
    <s v="INR_x000d_"/>
    <s v="Own Brand"/>
    <x v="4"/>
    <x v="2"/>
    <x v="21"/>
    <x v="1"/>
    <n v="2713"/>
  </r>
  <r>
    <x v="16"/>
    <x v="13"/>
    <x v="4"/>
    <x v="38"/>
    <n v="31"/>
    <n v="65648"/>
    <s v="INR_x000d_"/>
    <s v="Own Brand"/>
    <x v="4"/>
    <x v="2"/>
    <x v="13"/>
    <x v="0"/>
    <n v="65648"/>
  </r>
  <r>
    <x v="16"/>
    <x v="20"/>
    <x v="4"/>
    <x v="39"/>
    <n v="23"/>
    <n v="48231"/>
    <s v="INR_x000d_"/>
    <s v="Own Brand"/>
    <x v="4"/>
    <x v="2"/>
    <x v="20"/>
    <x v="1"/>
    <n v="48231"/>
  </r>
  <r>
    <x v="16"/>
    <x v="13"/>
    <x v="4"/>
    <x v="216"/>
    <n v="8"/>
    <n v="16065"/>
    <s v="INR_x000d_"/>
    <s v="Own Brand"/>
    <x v="4"/>
    <x v="2"/>
    <x v="13"/>
    <x v="0"/>
    <n v="16065"/>
  </r>
  <r>
    <x v="16"/>
    <x v="21"/>
    <x v="4"/>
    <x v="208"/>
    <n v="1"/>
    <n v="1356"/>
    <s v="INR_x000d_"/>
    <s v="Own Brand"/>
    <x v="4"/>
    <x v="2"/>
    <x v="21"/>
    <x v="1"/>
    <n v="1356"/>
  </r>
  <r>
    <x v="16"/>
    <x v="21"/>
    <x v="4"/>
    <x v="243"/>
    <n v="1"/>
    <n v="1356"/>
    <s v="INR_x000d_"/>
    <s v="Own Brand"/>
    <x v="4"/>
    <x v="2"/>
    <x v="21"/>
    <x v="1"/>
    <n v="1356"/>
  </r>
  <r>
    <x v="16"/>
    <x v="21"/>
    <x v="4"/>
    <x v="244"/>
    <n v="1"/>
    <n v="681"/>
    <s v="INR_x000d_"/>
    <s v="Own Brand"/>
    <x v="4"/>
    <x v="2"/>
    <x v="21"/>
    <x v="1"/>
    <n v="681"/>
  </r>
  <r>
    <x v="16"/>
    <x v="13"/>
    <x v="4"/>
    <x v="245"/>
    <n v="1"/>
    <n v="1398"/>
    <s v="INR_x000d_"/>
    <s v="Own Brand"/>
    <x v="4"/>
    <x v="2"/>
    <x v="13"/>
    <x v="0"/>
    <n v="1398"/>
  </r>
  <r>
    <x v="16"/>
    <x v="13"/>
    <x v="4"/>
    <x v="246"/>
    <n v="10"/>
    <n v="20255"/>
    <s v="INR_x000d_"/>
    <s v="Own Brand"/>
    <x v="4"/>
    <x v="2"/>
    <x v="13"/>
    <x v="0"/>
    <n v="20255"/>
  </r>
  <r>
    <x v="16"/>
    <x v="21"/>
    <x v="4"/>
    <x v="209"/>
    <n v="1"/>
    <n v="681"/>
    <s v="INR_x000d_"/>
    <s v="Own Brand"/>
    <x v="4"/>
    <x v="2"/>
    <x v="21"/>
    <x v="1"/>
    <n v="681"/>
  </r>
  <r>
    <x v="16"/>
    <x v="13"/>
    <x v="4"/>
    <x v="210"/>
    <n v="1"/>
    <n v="699"/>
    <s v="INR_x000d_"/>
    <s v="Own Brand"/>
    <x v="4"/>
    <x v="2"/>
    <x v="13"/>
    <x v="0"/>
    <n v="699"/>
  </r>
  <r>
    <x v="16"/>
    <x v="19"/>
    <x v="4"/>
    <x v="217"/>
    <n v="6"/>
    <n v="12014"/>
    <s v="INR_x000d_"/>
    <s v="Own Brand"/>
    <x v="4"/>
    <x v="2"/>
    <x v="19"/>
    <x v="1"/>
    <n v="12014"/>
  </r>
  <r>
    <x v="16"/>
    <x v="21"/>
    <x v="4"/>
    <x v="247"/>
    <n v="1"/>
    <n v="681"/>
    <s v="INR_x000d_"/>
    <s v="Own Brand"/>
    <x v="4"/>
    <x v="2"/>
    <x v="21"/>
    <x v="1"/>
    <n v="681"/>
  </r>
  <r>
    <x v="16"/>
    <x v="22"/>
    <x v="4"/>
    <x v="248"/>
    <n v="19"/>
    <n v="43537"/>
    <s v="INR_x000d_"/>
    <s v="Own Brand"/>
    <x v="4"/>
    <x v="2"/>
    <x v="22"/>
    <x v="1"/>
    <n v="43537"/>
  </r>
  <r>
    <x v="16"/>
    <x v="21"/>
    <x v="4"/>
    <x v="127"/>
    <n v="1"/>
    <n v="681"/>
    <s v="INR_x000d_"/>
    <s v="Own Brand"/>
    <x v="4"/>
    <x v="2"/>
    <x v="21"/>
    <x v="1"/>
    <n v="681"/>
  </r>
  <r>
    <x v="16"/>
    <x v="22"/>
    <x v="4"/>
    <x v="249"/>
    <n v="28"/>
    <n v="65310"/>
    <s v="INR_x000d_"/>
    <s v="Own Brand"/>
    <x v="4"/>
    <x v="2"/>
    <x v="22"/>
    <x v="1"/>
    <n v="65310"/>
  </r>
  <r>
    <x v="16"/>
    <x v="21"/>
    <x v="4"/>
    <x v="250"/>
    <n v="1"/>
    <n v="681"/>
    <s v="INR_x000d_"/>
    <s v="Own Brand"/>
    <x v="4"/>
    <x v="2"/>
    <x v="21"/>
    <x v="1"/>
    <n v="681"/>
  </r>
  <r>
    <x v="16"/>
    <x v="22"/>
    <x v="4"/>
    <x v="251"/>
    <n v="9"/>
    <n v="21769"/>
    <s v="INR_x000d_"/>
    <s v="Own Brand"/>
    <x v="4"/>
    <x v="2"/>
    <x v="22"/>
    <x v="1"/>
    <n v="21769"/>
  </r>
  <r>
    <x v="16"/>
    <x v="22"/>
    <x v="4"/>
    <x v="146"/>
    <n v="1"/>
    <n v="2176"/>
    <s v="INR_x000d_"/>
    <s v="Own Brand"/>
    <x v="4"/>
    <x v="2"/>
    <x v="22"/>
    <x v="1"/>
    <n v="2176"/>
  </r>
  <r>
    <x v="17"/>
    <x v="20"/>
    <x v="4"/>
    <x v="243"/>
    <n v="8"/>
    <n v="17222"/>
    <s v="INR_x000d_"/>
    <s v="Own Brand"/>
    <x v="4"/>
    <x v="2"/>
    <x v="20"/>
    <x v="1"/>
    <n v="17222"/>
  </r>
  <r>
    <x v="17"/>
    <x v="20"/>
    <x v="4"/>
    <x v="252"/>
    <n v="24"/>
    <n v="48917"/>
    <s v="INR_x000d_"/>
    <s v="Own Brand"/>
    <x v="4"/>
    <x v="2"/>
    <x v="20"/>
    <x v="1"/>
    <n v="48917"/>
  </r>
  <r>
    <x v="17"/>
    <x v="20"/>
    <x v="4"/>
    <x v="210"/>
    <n v="1"/>
    <n v="1380"/>
    <s v="INR_x000d_"/>
    <s v="Own Brand"/>
    <x v="4"/>
    <x v="2"/>
    <x v="20"/>
    <x v="1"/>
    <n v="1380"/>
  </r>
  <r>
    <x v="17"/>
    <x v="23"/>
    <x v="6"/>
    <x v="110"/>
    <n v="13"/>
    <n v="26333"/>
    <s v="INR_x000d_"/>
    <s v="Own Brand"/>
    <x v="6"/>
    <x v="1"/>
    <x v="23"/>
    <x v="1"/>
    <n v="26333"/>
  </r>
  <r>
    <x v="17"/>
    <x v="23"/>
    <x v="6"/>
    <x v="163"/>
    <n v="13"/>
    <n v="26333"/>
    <s v="INR_x000d_"/>
    <s v="Own Brand"/>
    <x v="6"/>
    <x v="1"/>
    <x v="23"/>
    <x v="1"/>
    <n v="26333"/>
  </r>
  <r>
    <x v="17"/>
    <x v="13"/>
    <x v="4"/>
    <x v="217"/>
    <n v="1"/>
    <n v="347"/>
    <s v="INR_x000d_"/>
    <s v="Own Brand"/>
    <x v="4"/>
    <x v="2"/>
    <x v="13"/>
    <x v="0"/>
    <n v="347"/>
  </r>
  <r>
    <x v="17"/>
    <x v="19"/>
    <x v="4"/>
    <x v="217"/>
    <n v="3"/>
    <n v="6125"/>
    <s v="INR_x000d_"/>
    <s v="Own Brand"/>
    <x v="4"/>
    <x v="2"/>
    <x v="19"/>
    <x v="1"/>
    <n v="6125"/>
  </r>
  <r>
    <x v="17"/>
    <x v="13"/>
    <x v="4"/>
    <x v="42"/>
    <n v="5"/>
    <n v="10824"/>
    <s v="INR_x000d_"/>
    <s v="Own Brand"/>
    <x v="4"/>
    <x v="2"/>
    <x v="13"/>
    <x v="0"/>
    <n v="10824"/>
  </r>
  <r>
    <x v="17"/>
    <x v="19"/>
    <x v="4"/>
    <x v="164"/>
    <n v="1"/>
    <n v="3065"/>
    <s v="INR_x000d_"/>
    <s v="Own Brand"/>
    <x v="4"/>
    <x v="2"/>
    <x v="19"/>
    <x v="1"/>
    <n v="3065"/>
  </r>
  <r>
    <x v="17"/>
    <x v="20"/>
    <x v="4"/>
    <x v="165"/>
    <n v="1"/>
    <n v="1380"/>
    <s v="INR_x000d_"/>
    <s v="Own Brand"/>
    <x v="4"/>
    <x v="2"/>
    <x v="20"/>
    <x v="1"/>
    <n v="1380"/>
  </r>
  <r>
    <x v="17"/>
    <x v="13"/>
    <x v="4"/>
    <x v="166"/>
    <n v="2"/>
    <n v="3843"/>
    <s v="INR_x000d_"/>
    <s v="Own Brand"/>
    <x v="4"/>
    <x v="2"/>
    <x v="13"/>
    <x v="0"/>
    <n v="3843"/>
  </r>
  <r>
    <x v="17"/>
    <x v="19"/>
    <x v="4"/>
    <x v="167"/>
    <n v="1"/>
    <n v="3065"/>
    <s v="INR_x000d_"/>
    <s v="Own Brand"/>
    <x v="4"/>
    <x v="2"/>
    <x v="19"/>
    <x v="1"/>
    <n v="3065"/>
  </r>
  <r>
    <x v="17"/>
    <x v="19"/>
    <x v="4"/>
    <x v="253"/>
    <n v="1"/>
    <n v="3065"/>
    <s v="INR_x000d_"/>
    <s v="Own Brand"/>
    <x v="4"/>
    <x v="2"/>
    <x v="19"/>
    <x v="1"/>
    <n v="3065"/>
  </r>
  <r>
    <x v="17"/>
    <x v="19"/>
    <x v="4"/>
    <x v="254"/>
    <n v="1"/>
    <n v="3065"/>
    <s v="INR_x000d_"/>
    <s v="Own Brand"/>
    <x v="4"/>
    <x v="2"/>
    <x v="19"/>
    <x v="1"/>
    <n v="3065"/>
  </r>
  <r>
    <x v="17"/>
    <x v="19"/>
    <x v="4"/>
    <x v="255"/>
    <n v="1"/>
    <n v="3065"/>
    <s v="INR_x000d_"/>
    <s v="Own Brand"/>
    <x v="4"/>
    <x v="2"/>
    <x v="19"/>
    <x v="1"/>
    <n v="3065"/>
  </r>
  <r>
    <x v="17"/>
    <x v="19"/>
    <x v="4"/>
    <x v="256"/>
    <n v="3"/>
    <n v="6130"/>
    <s v="INR_x000d_"/>
    <s v="Own Brand"/>
    <x v="4"/>
    <x v="2"/>
    <x v="19"/>
    <x v="1"/>
    <n v="6130"/>
  </r>
  <r>
    <x v="17"/>
    <x v="19"/>
    <x v="4"/>
    <x v="257"/>
    <n v="1"/>
    <n v="3065"/>
    <s v="INR_x000d_"/>
    <s v="Own Brand"/>
    <x v="4"/>
    <x v="2"/>
    <x v="19"/>
    <x v="1"/>
    <n v="3065"/>
  </r>
  <r>
    <x v="17"/>
    <x v="22"/>
    <x v="4"/>
    <x v="257"/>
    <n v="5"/>
    <n v="10884"/>
    <s v="INR_x000d_"/>
    <s v="Own Brand"/>
    <x v="4"/>
    <x v="2"/>
    <x v="22"/>
    <x v="1"/>
    <n v="10884"/>
  </r>
  <r>
    <x v="17"/>
    <x v="19"/>
    <x v="4"/>
    <x v="258"/>
    <n v="1"/>
    <n v="3065"/>
    <s v="INR_x000d_"/>
    <s v="Own Brand"/>
    <x v="4"/>
    <x v="2"/>
    <x v="19"/>
    <x v="1"/>
    <n v="3065"/>
  </r>
  <r>
    <x v="17"/>
    <x v="19"/>
    <x v="4"/>
    <x v="259"/>
    <n v="1"/>
    <n v="3065"/>
    <s v="INR_x000d_"/>
    <s v="Own Brand"/>
    <x v="4"/>
    <x v="2"/>
    <x v="19"/>
    <x v="1"/>
    <n v="3065"/>
  </r>
  <r>
    <x v="17"/>
    <x v="20"/>
    <x v="4"/>
    <x v="259"/>
    <n v="1"/>
    <n v="343"/>
    <s v="INR_x000d_"/>
    <s v="Own Brand"/>
    <x v="4"/>
    <x v="2"/>
    <x v="20"/>
    <x v="1"/>
    <n v="343"/>
  </r>
  <r>
    <x v="17"/>
    <x v="19"/>
    <x v="4"/>
    <x v="260"/>
    <n v="1"/>
    <n v="3065"/>
    <s v="INR_x000d_"/>
    <s v="Own Brand"/>
    <x v="4"/>
    <x v="2"/>
    <x v="19"/>
    <x v="1"/>
    <n v="3065"/>
  </r>
  <r>
    <x v="17"/>
    <x v="20"/>
    <x v="4"/>
    <x v="260"/>
    <n v="1"/>
    <n v="690"/>
    <s v="INR_x000d_"/>
    <s v="Own Brand"/>
    <x v="4"/>
    <x v="2"/>
    <x v="20"/>
    <x v="1"/>
    <n v="690"/>
  </r>
  <r>
    <x v="17"/>
    <x v="19"/>
    <x v="4"/>
    <x v="261"/>
    <n v="1"/>
    <n v="3065"/>
    <s v="INR_x000d_"/>
    <s v="Own Brand"/>
    <x v="4"/>
    <x v="2"/>
    <x v="19"/>
    <x v="1"/>
    <n v="3065"/>
  </r>
  <r>
    <x v="17"/>
    <x v="19"/>
    <x v="4"/>
    <x v="262"/>
    <n v="1"/>
    <n v="3065"/>
    <s v="INR_x000d_"/>
    <s v="Own Brand"/>
    <x v="4"/>
    <x v="2"/>
    <x v="19"/>
    <x v="1"/>
    <n v="3065"/>
  </r>
  <r>
    <x v="17"/>
    <x v="19"/>
    <x v="4"/>
    <x v="263"/>
    <n v="1"/>
    <n v="3065"/>
    <s v="INR_x000d_"/>
    <s v="Own Brand"/>
    <x v="4"/>
    <x v="2"/>
    <x v="19"/>
    <x v="1"/>
    <n v="3065"/>
  </r>
  <r>
    <x v="17"/>
    <x v="20"/>
    <x v="4"/>
    <x v="263"/>
    <n v="1"/>
    <n v="1380"/>
    <s v="INR_x000d_"/>
    <s v="Own Brand"/>
    <x v="4"/>
    <x v="2"/>
    <x v="20"/>
    <x v="1"/>
    <n v="1380"/>
  </r>
  <r>
    <x v="17"/>
    <x v="19"/>
    <x v="4"/>
    <x v="264"/>
    <n v="1"/>
    <n v="3065"/>
    <s v="INR_x000d_"/>
    <s v="Own Brand"/>
    <x v="4"/>
    <x v="2"/>
    <x v="19"/>
    <x v="1"/>
    <n v="3065"/>
  </r>
  <r>
    <x v="17"/>
    <x v="19"/>
    <x v="4"/>
    <x v="1"/>
    <n v="5"/>
    <n v="12250"/>
    <s v="INR_x000d_"/>
    <s v="Own Brand"/>
    <x v="4"/>
    <x v="2"/>
    <x v="19"/>
    <x v="1"/>
    <n v="12250"/>
  </r>
  <r>
    <x v="17"/>
    <x v="20"/>
    <x v="4"/>
    <x v="2"/>
    <n v="2"/>
    <n v="4130"/>
    <s v="INR_x000d_"/>
    <s v="Own Brand"/>
    <x v="4"/>
    <x v="2"/>
    <x v="20"/>
    <x v="1"/>
    <n v="4130"/>
  </r>
  <r>
    <x v="17"/>
    <x v="19"/>
    <x v="4"/>
    <x v="265"/>
    <n v="3"/>
    <n v="6125"/>
    <s v="INR_x000d_"/>
    <s v="Own Brand"/>
    <x v="4"/>
    <x v="2"/>
    <x v="19"/>
    <x v="1"/>
    <n v="6125"/>
  </r>
  <r>
    <x v="17"/>
    <x v="22"/>
    <x v="4"/>
    <x v="265"/>
    <n v="14"/>
    <n v="32653"/>
    <s v="INR_x000d_"/>
    <s v="Own Brand"/>
    <x v="4"/>
    <x v="2"/>
    <x v="22"/>
    <x v="1"/>
    <n v="32653"/>
  </r>
  <r>
    <x v="17"/>
    <x v="9"/>
    <x v="1"/>
    <x v="171"/>
    <n v="11"/>
    <n v="37690"/>
    <s v="INR_x000d_"/>
    <s v="Own Brand"/>
    <x v="1"/>
    <x v="1"/>
    <x v="9"/>
    <x v="0"/>
    <n v="37690"/>
  </r>
  <r>
    <x v="17"/>
    <x v="19"/>
    <x v="4"/>
    <x v="266"/>
    <n v="1"/>
    <n v="3065"/>
    <s v="INR_x000d_"/>
    <s v="Own Brand"/>
    <x v="4"/>
    <x v="2"/>
    <x v="19"/>
    <x v="1"/>
    <n v="3065"/>
  </r>
  <r>
    <x v="17"/>
    <x v="20"/>
    <x v="4"/>
    <x v="267"/>
    <n v="2"/>
    <n v="3444"/>
    <s v="INR_x000d_"/>
    <s v="Own Brand"/>
    <x v="4"/>
    <x v="2"/>
    <x v="20"/>
    <x v="1"/>
    <n v="3444"/>
  </r>
  <r>
    <x v="17"/>
    <x v="19"/>
    <x v="4"/>
    <x v="248"/>
    <n v="4"/>
    <n v="9190"/>
    <s v="INR_x000d_"/>
    <s v="Own Brand"/>
    <x v="4"/>
    <x v="2"/>
    <x v="19"/>
    <x v="1"/>
    <n v="9190"/>
  </r>
  <r>
    <x v="17"/>
    <x v="19"/>
    <x v="4"/>
    <x v="268"/>
    <n v="1"/>
    <n v="3065"/>
    <s v="INR_x000d_"/>
    <s v="Own Brand"/>
    <x v="4"/>
    <x v="2"/>
    <x v="19"/>
    <x v="1"/>
    <n v="3065"/>
  </r>
  <r>
    <x v="17"/>
    <x v="19"/>
    <x v="4"/>
    <x v="127"/>
    <n v="1"/>
    <n v="3065"/>
    <s v="INR_x000d_"/>
    <s v="Own Brand"/>
    <x v="4"/>
    <x v="2"/>
    <x v="19"/>
    <x v="1"/>
    <n v="3065"/>
  </r>
  <r>
    <x v="17"/>
    <x v="21"/>
    <x v="4"/>
    <x v="172"/>
    <n v="2"/>
    <n v="3056"/>
    <s v="INR_x000d_"/>
    <s v="Own Brand"/>
    <x v="4"/>
    <x v="2"/>
    <x v="21"/>
    <x v="1"/>
    <n v="3056"/>
  </r>
  <r>
    <x v="17"/>
    <x v="9"/>
    <x v="1"/>
    <x v="174"/>
    <n v="10"/>
    <n v="34157"/>
    <s v="INR_x000d_"/>
    <s v="Own Brand"/>
    <x v="1"/>
    <x v="1"/>
    <x v="9"/>
    <x v="0"/>
    <n v="34157"/>
  </r>
  <r>
    <x v="17"/>
    <x v="19"/>
    <x v="4"/>
    <x v="174"/>
    <n v="1"/>
    <n v="3065"/>
    <s v="INR_x000d_"/>
    <s v="Own Brand"/>
    <x v="4"/>
    <x v="2"/>
    <x v="19"/>
    <x v="1"/>
    <n v="3065"/>
  </r>
  <r>
    <x v="17"/>
    <x v="19"/>
    <x v="4"/>
    <x v="269"/>
    <n v="1"/>
    <n v="3065"/>
    <s v="INR_x000d_"/>
    <s v="Own Brand"/>
    <x v="4"/>
    <x v="2"/>
    <x v="19"/>
    <x v="1"/>
    <n v="3065"/>
  </r>
  <r>
    <x v="17"/>
    <x v="21"/>
    <x v="4"/>
    <x v="269"/>
    <n v="2"/>
    <n v="3056"/>
    <s v="INR_x000d_"/>
    <s v="Own Brand"/>
    <x v="4"/>
    <x v="2"/>
    <x v="21"/>
    <x v="1"/>
    <n v="3056"/>
  </r>
  <r>
    <x v="17"/>
    <x v="20"/>
    <x v="4"/>
    <x v="269"/>
    <n v="1"/>
    <n v="2065"/>
    <s v="INR_x000d_"/>
    <s v="Own Brand"/>
    <x v="4"/>
    <x v="2"/>
    <x v="20"/>
    <x v="1"/>
    <n v="2065"/>
  </r>
  <r>
    <x v="17"/>
    <x v="19"/>
    <x v="4"/>
    <x v="128"/>
    <n v="3"/>
    <n v="6125"/>
    <s v="INR_x000d_"/>
    <s v="Own Brand"/>
    <x v="4"/>
    <x v="2"/>
    <x v="19"/>
    <x v="1"/>
    <n v="6125"/>
  </r>
  <r>
    <x v="17"/>
    <x v="20"/>
    <x v="4"/>
    <x v="128"/>
    <n v="1"/>
    <n v="1380"/>
    <s v="INR_x000d_"/>
    <s v="Own Brand"/>
    <x v="4"/>
    <x v="2"/>
    <x v="20"/>
    <x v="1"/>
    <n v="1380"/>
  </r>
  <r>
    <x v="17"/>
    <x v="19"/>
    <x v="4"/>
    <x v="129"/>
    <n v="4"/>
    <n v="9190"/>
    <s v="INR_x000d_"/>
    <s v="Own Brand"/>
    <x v="4"/>
    <x v="2"/>
    <x v="19"/>
    <x v="1"/>
    <n v="9190"/>
  </r>
  <r>
    <x v="17"/>
    <x v="9"/>
    <x v="1"/>
    <x v="130"/>
    <n v="6"/>
    <n v="20023"/>
    <s v="INR_x000d_"/>
    <s v="Own Brand"/>
    <x v="1"/>
    <x v="1"/>
    <x v="9"/>
    <x v="0"/>
    <n v="20023"/>
  </r>
  <r>
    <x v="17"/>
    <x v="19"/>
    <x v="4"/>
    <x v="131"/>
    <n v="1"/>
    <n v="3065"/>
    <s v="INR_x000d_"/>
    <s v="Own Brand"/>
    <x v="4"/>
    <x v="2"/>
    <x v="19"/>
    <x v="1"/>
    <n v="3065"/>
  </r>
  <r>
    <x v="17"/>
    <x v="19"/>
    <x v="4"/>
    <x v="131"/>
    <n v="13"/>
    <n v="28269"/>
    <s v="INR_x000d_"/>
    <s v="Own Brand"/>
    <x v="4"/>
    <x v="2"/>
    <x v="19"/>
    <x v="1"/>
    <n v="28269"/>
  </r>
  <r>
    <x v="17"/>
    <x v="19"/>
    <x v="4"/>
    <x v="175"/>
    <n v="1"/>
    <n v="3065"/>
    <s v="INR_x000d_"/>
    <s v="Own Brand"/>
    <x v="4"/>
    <x v="2"/>
    <x v="19"/>
    <x v="1"/>
    <n v="3065"/>
  </r>
  <r>
    <x v="17"/>
    <x v="21"/>
    <x v="4"/>
    <x v="175"/>
    <n v="2"/>
    <n v="3056"/>
    <s v="INR_x000d_"/>
    <s v="Own Brand"/>
    <x v="4"/>
    <x v="2"/>
    <x v="21"/>
    <x v="1"/>
    <n v="3056"/>
  </r>
  <r>
    <x v="17"/>
    <x v="21"/>
    <x v="4"/>
    <x v="250"/>
    <n v="2"/>
    <n v="3056"/>
    <s v="INR_x000d_"/>
    <s v="Own Brand"/>
    <x v="4"/>
    <x v="2"/>
    <x v="21"/>
    <x v="1"/>
    <n v="3056"/>
  </r>
  <r>
    <x v="17"/>
    <x v="19"/>
    <x v="4"/>
    <x v="133"/>
    <n v="1"/>
    <n v="3065"/>
    <s v="INR_x000d_"/>
    <s v="Own Brand"/>
    <x v="4"/>
    <x v="2"/>
    <x v="19"/>
    <x v="1"/>
    <n v="3065"/>
  </r>
  <r>
    <x v="17"/>
    <x v="19"/>
    <x v="4"/>
    <x v="133"/>
    <n v="13"/>
    <n v="28269"/>
    <s v="INR_x000d_"/>
    <s v="Own Brand"/>
    <x v="4"/>
    <x v="2"/>
    <x v="19"/>
    <x v="1"/>
    <n v="28269"/>
  </r>
  <r>
    <x v="17"/>
    <x v="9"/>
    <x v="1"/>
    <x v="134"/>
    <n v="1"/>
    <n v="1176"/>
    <s v="INR_x000d_"/>
    <s v="Own Brand"/>
    <x v="1"/>
    <x v="1"/>
    <x v="9"/>
    <x v="0"/>
    <n v="1176"/>
  </r>
  <r>
    <x v="17"/>
    <x v="19"/>
    <x v="4"/>
    <x v="134"/>
    <n v="3"/>
    <n v="6125"/>
    <s v="INR_x000d_"/>
    <s v="Own Brand"/>
    <x v="4"/>
    <x v="2"/>
    <x v="19"/>
    <x v="1"/>
    <n v="6125"/>
  </r>
  <r>
    <x v="17"/>
    <x v="19"/>
    <x v="4"/>
    <x v="134"/>
    <n v="27"/>
    <n v="56537"/>
    <s v="INR_x000d_"/>
    <s v="Own Brand"/>
    <x v="4"/>
    <x v="2"/>
    <x v="19"/>
    <x v="1"/>
    <n v="56537"/>
  </r>
  <r>
    <x v="17"/>
    <x v="9"/>
    <x v="1"/>
    <x v="135"/>
    <n v="5"/>
    <n v="16491"/>
    <s v="INR_x000d_"/>
    <s v="Own Brand"/>
    <x v="1"/>
    <x v="1"/>
    <x v="9"/>
    <x v="0"/>
    <n v="16491"/>
  </r>
  <r>
    <x v="17"/>
    <x v="19"/>
    <x v="4"/>
    <x v="135"/>
    <n v="1"/>
    <n v="3065"/>
    <s v="INR_x000d_"/>
    <s v="Own Brand"/>
    <x v="4"/>
    <x v="2"/>
    <x v="19"/>
    <x v="1"/>
    <n v="3065"/>
  </r>
  <r>
    <x v="17"/>
    <x v="19"/>
    <x v="4"/>
    <x v="135"/>
    <n v="13"/>
    <n v="28269"/>
    <s v="INR_x000d_"/>
    <s v="Own Brand"/>
    <x v="4"/>
    <x v="2"/>
    <x v="19"/>
    <x v="1"/>
    <n v="28269"/>
  </r>
  <r>
    <x v="17"/>
    <x v="21"/>
    <x v="4"/>
    <x v="270"/>
    <n v="2"/>
    <n v="3056"/>
    <s v="INR_x000d_"/>
    <s v="Own Brand"/>
    <x v="4"/>
    <x v="2"/>
    <x v="21"/>
    <x v="1"/>
    <n v="3056"/>
  </r>
  <r>
    <x v="17"/>
    <x v="21"/>
    <x v="4"/>
    <x v="271"/>
    <n v="2"/>
    <n v="3056"/>
    <s v="INR_x000d_"/>
    <s v="Own Brand"/>
    <x v="4"/>
    <x v="2"/>
    <x v="21"/>
    <x v="1"/>
    <n v="3056"/>
  </r>
  <r>
    <x v="17"/>
    <x v="19"/>
    <x v="4"/>
    <x v="136"/>
    <n v="1"/>
    <n v="3065"/>
    <s v="INR_x000d_"/>
    <s v="Own Brand"/>
    <x v="4"/>
    <x v="2"/>
    <x v="19"/>
    <x v="1"/>
    <n v="3065"/>
  </r>
  <r>
    <x v="17"/>
    <x v="19"/>
    <x v="4"/>
    <x v="137"/>
    <n v="1"/>
    <n v="3065"/>
    <s v="INR_x000d_"/>
    <s v="Own Brand"/>
    <x v="4"/>
    <x v="2"/>
    <x v="19"/>
    <x v="1"/>
    <n v="3065"/>
  </r>
  <r>
    <x v="17"/>
    <x v="19"/>
    <x v="4"/>
    <x v="138"/>
    <n v="1"/>
    <n v="3065"/>
    <s v="INR_x000d_"/>
    <s v="Own Brand"/>
    <x v="4"/>
    <x v="2"/>
    <x v="19"/>
    <x v="1"/>
    <n v="3065"/>
  </r>
  <r>
    <x v="17"/>
    <x v="9"/>
    <x v="1"/>
    <x v="139"/>
    <n v="4"/>
    <n v="14134"/>
    <s v="INR_x000d_"/>
    <s v="Own Brand"/>
    <x v="1"/>
    <x v="1"/>
    <x v="9"/>
    <x v="0"/>
    <n v="14134"/>
  </r>
  <r>
    <x v="17"/>
    <x v="19"/>
    <x v="4"/>
    <x v="141"/>
    <n v="3"/>
    <n v="6125"/>
    <s v="INR_x000d_"/>
    <s v="Own Brand"/>
    <x v="4"/>
    <x v="2"/>
    <x v="19"/>
    <x v="1"/>
    <n v="6125"/>
  </r>
  <r>
    <x v="17"/>
    <x v="9"/>
    <x v="1"/>
    <x v="143"/>
    <n v="5"/>
    <n v="16491"/>
    <s v="INR_x000d_"/>
    <s v="Own Brand"/>
    <x v="1"/>
    <x v="1"/>
    <x v="9"/>
    <x v="0"/>
    <n v="16491"/>
  </r>
  <r>
    <x v="17"/>
    <x v="19"/>
    <x v="4"/>
    <x v="143"/>
    <n v="1"/>
    <n v="3065"/>
    <s v="INR_x000d_"/>
    <s v="Own Brand"/>
    <x v="4"/>
    <x v="2"/>
    <x v="19"/>
    <x v="1"/>
    <n v="3065"/>
  </r>
  <r>
    <x v="17"/>
    <x v="19"/>
    <x v="4"/>
    <x v="251"/>
    <n v="1"/>
    <n v="3065"/>
    <s v="INR_x000d_"/>
    <s v="Own Brand"/>
    <x v="4"/>
    <x v="2"/>
    <x v="19"/>
    <x v="1"/>
    <n v="3065"/>
  </r>
  <r>
    <x v="17"/>
    <x v="19"/>
    <x v="4"/>
    <x v="199"/>
    <n v="1"/>
    <n v="3065"/>
    <s v="INR_x000d_"/>
    <s v="Own Brand"/>
    <x v="4"/>
    <x v="2"/>
    <x v="19"/>
    <x v="1"/>
    <n v="3065"/>
  </r>
  <r>
    <x v="17"/>
    <x v="19"/>
    <x v="4"/>
    <x v="145"/>
    <n v="3"/>
    <n v="6125"/>
    <s v="INR_x000d_"/>
    <s v="Own Brand"/>
    <x v="4"/>
    <x v="2"/>
    <x v="19"/>
    <x v="1"/>
    <n v="6125"/>
  </r>
  <r>
    <x v="17"/>
    <x v="9"/>
    <x v="1"/>
    <x v="147"/>
    <n v="11"/>
    <n v="40046"/>
    <s v="INR_x000d_"/>
    <s v="Own Brand"/>
    <x v="1"/>
    <x v="1"/>
    <x v="9"/>
    <x v="0"/>
    <n v="40046"/>
  </r>
  <r>
    <x v="17"/>
    <x v="19"/>
    <x v="4"/>
    <x v="147"/>
    <n v="1"/>
    <n v="3065"/>
    <s v="INR_x000d_"/>
    <s v="Own Brand"/>
    <x v="4"/>
    <x v="2"/>
    <x v="19"/>
    <x v="1"/>
    <n v="3065"/>
  </r>
  <r>
    <x v="17"/>
    <x v="19"/>
    <x v="4"/>
    <x v="272"/>
    <n v="1"/>
    <n v="3065"/>
    <s v="INR_x000d_"/>
    <s v="Own Brand"/>
    <x v="4"/>
    <x v="2"/>
    <x v="19"/>
    <x v="1"/>
    <n v="3065"/>
  </r>
  <r>
    <x v="17"/>
    <x v="21"/>
    <x v="4"/>
    <x v="272"/>
    <n v="1"/>
    <n v="338"/>
    <s v="INR_x000d_"/>
    <s v="Own Brand"/>
    <x v="4"/>
    <x v="2"/>
    <x v="21"/>
    <x v="1"/>
    <n v="338"/>
  </r>
  <r>
    <x v="17"/>
    <x v="19"/>
    <x v="4"/>
    <x v="148"/>
    <n v="1"/>
    <n v="3065"/>
    <s v="INR_x000d_"/>
    <s v="Own Brand"/>
    <x v="4"/>
    <x v="2"/>
    <x v="19"/>
    <x v="1"/>
    <n v="3065"/>
  </r>
  <r>
    <x v="17"/>
    <x v="19"/>
    <x v="4"/>
    <x v="149"/>
    <n v="5"/>
    <n v="12250"/>
    <s v="INR_x000d_"/>
    <s v="Own Brand"/>
    <x v="4"/>
    <x v="2"/>
    <x v="19"/>
    <x v="1"/>
    <n v="12250"/>
  </r>
  <r>
    <x v="17"/>
    <x v="20"/>
    <x v="4"/>
    <x v="149"/>
    <n v="7"/>
    <n v="14407"/>
    <s v="INR_x000d_"/>
    <s v="Own Brand"/>
    <x v="4"/>
    <x v="2"/>
    <x v="20"/>
    <x v="1"/>
    <n v="14407"/>
  </r>
  <r>
    <x v="17"/>
    <x v="19"/>
    <x v="4"/>
    <x v="150"/>
    <n v="3"/>
    <n v="6125"/>
    <s v="INR_x000d_"/>
    <s v="Own Brand"/>
    <x v="4"/>
    <x v="2"/>
    <x v="19"/>
    <x v="1"/>
    <n v="6125"/>
  </r>
  <r>
    <x v="17"/>
    <x v="9"/>
    <x v="1"/>
    <x v="273"/>
    <n v="7"/>
    <n v="25912"/>
    <s v="INR_x000d_"/>
    <s v="Own Brand"/>
    <x v="1"/>
    <x v="1"/>
    <x v="9"/>
    <x v="0"/>
    <n v="25912"/>
  </r>
  <r>
    <x v="17"/>
    <x v="23"/>
    <x v="6"/>
    <x v="273"/>
    <n v="27"/>
    <n v="52667"/>
    <s v="INR_x000d_"/>
    <s v="Own Brand"/>
    <x v="6"/>
    <x v="1"/>
    <x v="23"/>
    <x v="1"/>
    <n v="52667"/>
  </r>
  <r>
    <x v="17"/>
    <x v="19"/>
    <x v="4"/>
    <x v="273"/>
    <n v="1"/>
    <n v="3065"/>
    <s v="INR_x000d_"/>
    <s v="Own Brand"/>
    <x v="4"/>
    <x v="2"/>
    <x v="19"/>
    <x v="1"/>
    <n v="3065"/>
  </r>
  <r>
    <x v="17"/>
    <x v="21"/>
    <x v="4"/>
    <x v="273"/>
    <n v="1"/>
    <n v="338"/>
    <s v="INR_x000d_"/>
    <s v="Own Brand"/>
    <x v="4"/>
    <x v="2"/>
    <x v="21"/>
    <x v="1"/>
    <n v="338"/>
  </r>
  <r>
    <x v="17"/>
    <x v="20"/>
    <x v="4"/>
    <x v="273"/>
    <n v="2"/>
    <n v="4319"/>
    <s v="INR_x000d_"/>
    <s v="Own Brand"/>
    <x v="4"/>
    <x v="2"/>
    <x v="20"/>
    <x v="1"/>
    <n v="4319"/>
  </r>
  <r>
    <x v="17"/>
    <x v="19"/>
    <x v="4"/>
    <x v="274"/>
    <n v="1"/>
    <n v="3065"/>
    <s v="INR_x000d_"/>
    <s v="Own Brand"/>
    <x v="4"/>
    <x v="2"/>
    <x v="19"/>
    <x v="1"/>
    <n v="3065"/>
  </r>
  <r>
    <x v="17"/>
    <x v="22"/>
    <x v="4"/>
    <x v="274"/>
    <n v="108"/>
    <n v="251903"/>
    <s v="INR_x000d_"/>
    <s v="Own Brand"/>
    <x v="4"/>
    <x v="2"/>
    <x v="22"/>
    <x v="1"/>
    <n v="251903"/>
  </r>
  <r>
    <x v="17"/>
    <x v="19"/>
    <x v="4"/>
    <x v="151"/>
    <n v="5"/>
    <n v="12250"/>
    <s v="INR_x000d_"/>
    <s v="Own Brand"/>
    <x v="4"/>
    <x v="2"/>
    <x v="19"/>
    <x v="1"/>
    <n v="12250"/>
  </r>
  <r>
    <x v="17"/>
    <x v="20"/>
    <x v="4"/>
    <x v="151"/>
    <n v="1"/>
    <n v="1440"/>
    <s v="INR_x000d_"/>
    <s v="Own Brand"/>
    <x v="4"/>
    <x v="2"/>
    <x v="20"/>
    <x v="1"/>
    <n v="1440"/>
  </r>
  <r>
    <x v="17"/>
    <x v="9"/>
    <x v="1"/>
    <x v="275"/>
    <n v="6"/>
    <n v="21199"/>
    <s v="INR_x000d_"/>
    <s v="Own Brand"/>
    <x v="1"/>
    <x v="1"/>
    <x v="9"/>
    <x v="0"/>
    <n v="21199"/>
  </r>
  <r>
    <x v="17"/>
    <x v="19"/>
    <x v="4"/>
    <x v="275"/>
    <n v="1"/>
    <n v="3065"/>
    <s v="INR_x000d_"/>
    <s v="Own Brand"/>
    <x v="4"/>
    <x v="2"/>
    <x v="19"/>
    <x v="1"/>
    <n v="3065"/>
  </r>
  <r>
    <x v="17"/>
    <x v="19"/>
    <x v="4"/>
    <x v="276"/>
    <n v="3"/>
    <n v="6125"/>
    <s v="INR_x000d_"/>
    <s v="Own Brand"/>
    <x v="4"/>
    <x v="2"/>
    <x v="19"/>
    <x v="1"/>
    <n v="6125"/>
  </r>
  <r>
    <x v="17"/>
    <x v="19"/>
    <x v="4"/>
    <x v="218"/>
    <n v="3"/>
    <n v="6125"/>
    <s v="INR_x000d_"/>
    <s v="Own Brand"/>
    <x v="4"/>
    <x v="2"/>
    <x v="19"/>
    <x v="1"/>
    <n v="6125"/>
  </r>
  <r>
    <x v="17"/>
    <x v="20"/>
    <x v="4"/>
    <x v="218"/>
    <n v="1"/>
    <n v="361"/>
    <s v="INR_x000d_"/>
    <s v="Own Brand"/>
    <x v="4"/>
    <x v="2"/>
    <x v="20"/>
    <x v="1"/>
    <n v="361"/>
  </r>
  <r>
    <x v="17"/>
    <x v="19"/>
    <x v="4"/>
    <x v="14"/>
    <n v="1"/>
    <n v="3065"/>
    <s v="INR_x000d_"/>
    <s v="Own Brand"/>
    <x v="4"/>
    <x v="2"/>
    <x v="19"/>
    <x v="1"/>
    <n v="3065"/>
  </r>
  <r>
    <x v="17"/>
    <x v="9"/>
    <x v="1"/>
    <x v="15"/>
    <n v="16"/>
    <n v="55356"/>
    <s v="INR_x000d_"/>
    <s v="Own Brand"/>
    <x v="1"/>
    <x v="1"/>
    <x v="9"/>
    <x v="0"/>
    <n v="55356"/>
  </r>
  <r>
    <x v="17"/>
    <x v="19"/>
    <x v="4"/>
    <x v="15"/>
    <n v="1"/>
    <n v="3065"/>
    <s v="INR_x000d_"/>
    <s v="Own Brand"/>
    <x v="4"/>
    <x v="2"/>
    <x v="19"/>
    <x v="1"/>
    <n v="3065"/>
  </r>
  <r>
    <x v="17"/>
    <x v="19"/>
    <x v="4"/>
    <x v="277"/>
    <n v="4"/>
    <n v="9190"/>
    <s v="INR_x000d_"/>
    <s v="Own Brand"/>
    <x v="4"/>
    <x v="2"/>
    <x v="19"/>
    <x v="1"/>
    <n v="9190"/>
  </r>
  <r>
    <x v="17"/>
    <x v="19"/>
    <x v="4"/>
    <x v="18"/>
    <n v="3"/>
    <n v="6125"/>
    <s v="INR_x000d_"/>
    <s v="Own Brand"/>
    <x v="4"/>
    <x v="2"/>
    <x v="19"/>
    <x v="1"/>
    <n v="6125"/>
  </r>
  <r>
    <x v="17"/>
    <x v="9"/>
    <x v="1"/>
    <x v="177"/>
    <n v="8"/>
    <n v="29444"/>
    <s v="INR_x000d_"/>
    <s v="Own Brand"/>
    <x v="1"/>
    <x v="1"/>
    <x v="9"/>
    <x v="0"/>
    <n v="29444"/>
  </r>
  <r>
    <x v="17"/>
    <x v="19"/>
    <x v="4"/>
    <x v="177"/>
    <n v="1"/>
    <n v="3065"/>
    <s v="INR_x000d_"/>
    <s v="Own Brand"/>
    <x v="4"/>
    <x v="2"/>
    <x v="19"/>
    <x v="1"/>
    <n v="3065"/>
  </r>
  <r>
    <x v="17"/>
    <x v="19"/>
    <x v="4"/>
    <x v="278"/>
    <n v="1"/>
    <n v="3065"/>
    <s v="INR_x000d_"/>
    <s v="Own Brand"/>
    <x v="4"/>
    <x v="2"/>
    <x v="19"/>
    <x v="1"/>
    <n v="3065"/>
  </r>
  <r>
    <x v="17"/>
    <x v="21"/>
    <x v="4"/>
    <x v="278"/>
    <n v="1"/>
    <n v="338"/>
    <s v="INR_x000d_"/>
    <s v="Own Brand"/>
    <x v="4"/>
    <x v="2"/>
    <x v="21"/>
    <x v="1"/>
    <n v="338"/>
  </r>
  <r>
    <x v="17"/>
    <x v="20"/>
    <x v="4"/>
    <x v="278"/>
    <n v="1"/>
    <n v="1440"/>
    <s v="INR_x000d_"/>
    <s v="Own Brand"/>
    <x v="4"/>
    <x v="2"/>
    <x v="20"/>
    <x v="1"/>
    <n v="1440"/>
  </r>
  <r>
    <x v="17"/>
    <x v="19"/>
    <x v="4"/>
    <x v="219"/>
    <n v="1"/>
    <n v="3065"/>
    <s v="INR_x000d_"/>
    <s v="Own Brand"/>
    <x v="4"/>
    <x v="2"/>
    <x v="19"/>
    <x v="1"/>
    <n v="3065"/>
  </r>
  <r>
    <x v="17"/>
    <x v="20"/>
    <x v="4"/>
    <x v="279"/>
    <n v="1"/>
    <n v="2162"/>
    <s v="INR_x000d_"/>
    <s v="Own Brand"/>
    <x v="4"/>
    <x v="2"/>
    <x v="20"/>
    <x v="1"/>
    <n v="2162"/>
  </r>
  <r>
    <x v="17"/>
    <x v="19"/>
    <x v="4"/>
    <x v="19"/>
    <n v="1"/>
    <n v="3065"/>
    <s v="INR_x000d_"/>
    <s v="Own Brand"/>
    <x v="4"/>
    <x v="2"/>
    <x v="19"/>
    <x v="1"/>
    <n v="3065"/>
  </r>
  <r>
    <x v="17"/>
    <x v="19"/>
    <x v="4"/>
    <x v="280"/>
    <n v="1"/>
    <n v="3065"/>
    <s v="INR_x000d_"/>
    <s v="Own Brand"/>
    <x v="4"/>
    <x v="2"/>
    <x v="19"/>
    <x v="1"/>
    <n v="3065"/>
  </r>
  <r>
    <x v="17"/>
    <x v="9"/>
    <x v="1"/>
    <x v="281"/>
    <n v="2"/>
    <n v="7065"/>
    <s v="INR_x000d_"/>
    <s v="Own Brand"/>
    <x v="1"/>
    <x v="1"/>
    <x v="9"/>
    <x v="0"/>
    <n v="7065"/>
  </r>
  <r>
    <x v="17"/>
    <x v="19"/>
    <x v="4"/>
    <x v="281"/>
    <n v="5"/>
    <n v="12250"/>
    <s v="INR_x000d_"/>
    <s v="Own Brand"/>
    <x v="4"/>
    <x v="2"/>
    <x v="19"/>
    <x v="1"/>
    <n v="12250"/>
  </r>
  <r>
    <x v="17"/>
    <x v="19"/>
    <x v="4"/>
    <x v="153"/>
    <n v="3"/>
    <n v="6125"/>
    <s v="INR_x000d_"/>
    <s v="Own Brand"/>
    <x v="4"/>
    <x v="2"/>
    <x v="19"/>
    <x v="1"/>
    <n v="6125"/>
  </r>
  <r>
    <x v="17"/>
    <x v="19"/>
    <x v="4"/>
    <x v="153"/>
    <n v="13"/>
    <n v="28269"/>
    <s v="INR_x000d_"/>
    <s v="Own Brand"/>
    <x v="4"/>
    <x v="2"/>
    <x v="19"/>
    <x v="1"/>
    <n v="28269"/>
  </r>
  <r>
    <x v="17"/>
    <x v="20"/>
    <x v="4"/>
    <x v="178"/>
    <n v="1"/>
    <n v="1440"/>
    <s v="INR_x000d_"/>
    <s v="Own Brand"/>
    <x v="4"/>
    <x v="2"/>
    <x v="20"/>
    <x v="1"/>
    <n v="1440"/>
  </r>
  <r>
    <x v="17"/>
    <x v="19"/>
    <x v="4"/>
    <x v="221"/>
    <n v="3"/>
    <n v="6125"/>
    <s v="INR_x000d_"/>
    <s v="Own Brand"/>
    <x v="4"/>
    <x v="2"/>
    <x v="19"/>
    <x v="1"/>
    <n v="6125"/>
  </r>
  <r>
    <x v="17"/>
    <x v="19"/>
    <x v="4"/>
    <x v="222"/>
    <n v="1"/>
    <n v="3065"/>
    <s v="INR_x000d_"/>
    <s v="Own Brand"/>
    <x v="4"/>
    <x v="2"/>
    <x v="19"/>
    <x v="1"/>
    <n v="3065"/>
  </r>
  <r>
    <x v="17"/>
    <x v="19"/>
    <x v="4"/>
    <x v="179"/>
    <n v="1"/>
    <n v="3065"/>
    <s v="INR_x000d_"/>
    <s v="Own Brand"/>
    <x v="4"/>
    <x v="2"/>
    <x v="19"/>
    <x v="1"/>
    <n v="3065"/>
  </r>
  <r>
    <x v="17"/>
    <x v="19"/>
    <x v="4"/>
    <x v="155"/>
    <n v="1"/>
    <n v="3065"/>
    <s v="INR_x000d_"/>
    <s v="Own Brand"/>
    <x v="4"/>
    <x v="2"/>
    <x v="19"/>
    <x v="1"/>
    <n v="3065"/>
  </r>
  <r>
    <x v="17"/>
    <x v="20"/>
    <x v="4"/>
    <x v="155"/>
    <n v="1"/>
    <n v="2162"/>
    <s v="INR_x000d_"/>
    <s v="Own Brand"/>
    <x v="4"/>
    <x v="2"/>
    <x v="20"/>
    <x v="1"/>
    <n v="2162"/>
  </r>
  <r>
    <x v="17"/>
    <x v="19"/>
    <x v="4"/>
    <x v="224"/>
    <n v="1"/>
    <n v="3065"/>
    <s v="INR_x000d_"/>
    <s v="Own Brand"/>
    <x v="4"/>
    <x v="2"/>
    <x v="19"/>
    <x v="1"/>
    <n v="3065"/>
  </r>
  <r>
    <x v="17"/>
    <x v="19"/>
    <x v="4"/>
    <x v="225"/>
    <n v="1"/>
    <n v="3065"/>
    <s v="INR_x000d_"/>
    <s v="Own Brand"/>
    <x v="4"/>
    <x v="2"/>
    <x v="19"/>
    <x v="1"/>
    <n v="3065"/>
  </r>
  <r>
    <x v="17"/>
    <x v="22"/>
    <x v="4"/>
    <x v="225"/>
    <n v="24"/>
    <n v="55977"/>
    <s v="INR_x000d_"/>
    <s v="Own Brand"/>
    <x v="4"/>
    <x v="2"/>
    <x v="22"/>
    <x v="1"/>
    <n v="55977"/>
  </r>
  <r>
    <x v="17"/>
    <x v="19"/>
    <x v="4"/>
    <x v="43"/>
    <n v="1"/>
    <n v="3065"/>
    <s v="INR_x000d_"/>
    <s v="Own Brand"/>
    <x v="4"/>
    <x v="2"/>
    <x v="19"/>
    <x v="1"/>
    <n v="3065"/>
  </r>
  <r>
    <x v="17"/>
    <x v="19"/>
    <x v="4"/>
    <x v="282"/>
    <n v="1"/>
    <n v="3065"/>
    <s v="INR_x000d_"/>
    <s v="Own Brand"/>
    <x v="4"/>
    <x v="2"/>
    <x v="19"/>
    <x v="1"/>
    <n v="3065"/>
  </r>
  <r>
    <x v="17"/>
    <x v="19"/>
    <x v="4"/>
    <x v="283"/>
    <n v="3"/>
    <n v="6125"/>
    <s v="INR_x000d_"/>
    <s v="Own Brand"/>
    <x v="4"/>
    <x v="2"/>
    <x v="19"/>
    <x v="1"/>
    <n v="6125"/>
  </r>
  <r>
    <x v="17"/>
    <x v="19"/>
    <x v="4"/>
    <x v="284"/>
    <n v="1"/>
    <n v="3065"/>
    <s v="INR_x000d_"/>
    <s v="Own Brand"/>
    <x v="4"/>
    <x v="2"/>
    <x v="19"/>
    <x v="1"/>
    <n v="3065"/>
  </r>
  <r>
    <x v="17"/>
    <x v="22"/>
    <x v="4"/>
    <x v="284"/>
    <n v="5"/>
    <n v="10495"/>
    <s v="INR_x000d_"/>
    <s v="Own Brand"/>
    <x v="4"/>
    <x v="2"/>
    <x v="22"/>
    <x v="1"/>
    <n v="10495"/>
  </r>
  <r>
    <x v="17"/>
    <x v="9"/>
    <x v="1"/>
    <x v="226"/>
    <n v="13"/>
    <n v="45935"/>
    <s v="INR_x000d_"/>
    <s v="Own Brand"/>
    <x v="1"/>
    <x v="1"/>
    <x v="9"/>
    <x v="0"/>
    <n v="45935"/>
  </r>
  <r>
    <x v="17"/>
    <x v="19"/>
    <x v="4"/>
    <x v="226"/>
    <n v="3"/>
    <n v="6125"/>
    <s v="INR_x000d_"/>
    <s v="Own Brand"/>
    <x v="4"/>
    <x v="2"/>
    <x v="19"/>
    <x v="1"/>
    <n v="6125"/>
  </r>
  <r>
    <x v="17"/>
    <x v="19"/>
    <x v="4"/>
    <x v="285"/>
    <n v="3"/>
    <n v="6125"/>
    <s v="INR_x000d_"/>
    <s v="Own Brand"/>
    <x v="4"/>
    <x v="2"/>
    <x v="19"/>
    <x v="1"/>
    <n v="6125"/>
  </r>
  <r>
    <x v="17"/>
    <x v="22"/>
    <x v="4"/>
    <x v="285"/>
    <n v="15"/>
    <n v="34986"/>
    <s v="INR_x000d_"/>
    <s v="Own Brand"/>
    <x v="4"/>
    <x v="2"/>
    <x v="22"/>
    <x v="1"/>
    <n v="34986"/>
  </r>
  <r>
    <x v="17"/>
    <x v="19"/>
    <x v="4"/>
    <x v="286"/>
    <n v="1"/>
    <n v="3065"/>
    <s v="INR_x000d_"/>
    <s v="Own Brand"/>
    <x v="4"/>
    <x v="2"/>
    <x v="19"/>
    <x v="1"/>
    <n v="3065"/>
  </r>
  <r>
    <x v="17"/>
    <x v="19"/>
    <x v="4"/>
    <x v="286"/>
    <n v="13"/>
    <n v="28269"/>
    <s v="INR_x000d_"/>
    <s v="Own Brand"/>
    <x v="4"/>
    <x v="2"/>
    <x v="19"/>
    <x v="1"/>
    <n v="28269"/>
  </r>
  <r>
    <x v="17"/>
    <x v="19"/>
    <x v="4"/>
    <x v="287"/>
    <n v="4"/>
    <n v="9190"/>
    <s v="INR_x000d_"/>
    <s v="Own Brand"/>
    <x v="4"/>
    <x v="2"/>
    <x v="19"/>
    <x v="1"/>
    <n v="9190"/>
  </r>
  <r>
    <x v="17"/>
    <x v="22"/>
    <x v="4"/>
    <x v="287"/>
    <n v="15"/>
    <n v="34986"/>
    <s v="INR_x000d_"/>
    <s v="Own Brand"/>
    <x v="4"/>
    <x v="2"/>
    <x v="22"/>
    <x v="1"/>
    <n v="34986"/>
  </r>
  <r>
    <x v="17"/>
    <x v="9"/>
    <x v="1"/>
    <x v="288"/>
    <n v="10"/>
    <n v="36509"/>
    <s v="INR_x000d_"/>
    <s v="Own Brand"/>
    <x v="1"/>
    <x v="1"/>
    <x v="9"/>
    <x v="0"/>
    <n v="36509"/>
  </r>
  <r>
    <x v="17"/>
    <x v="19"/>
    <x v="4"/>
    <x v="289"/>
    <n v="5"/>
    <n v="12250"/>
    <s v="INR_x000d_"/>
    <s v="Own Brand"/>
    <x v="4"/>
    <x v="2"/>
    <x v="19"/>
    <x v="1"/>
    <n v="12250"/>
  </r>
  <r>
    <x v="17"/>
    <x v="21"/>
    <x v="4"/>
    <x v="289"/>
    <n v="1"/>
    <n v="338"/>
    <s v="INR_x000d_"/>
    <s v="Own Brand"/>
    <x v="4"/>
    <x v="2"/>
    <x v="21"/>
    <x v="1"/>
    <n v="338"/>
  </r>
  <r>
    <x v="17"/>
    <x v="19"/>
    <x v="4"/>
    <x v="290"/>
    <n v="1"/>
    <n v="3065"/>
    <s v="INR_x000d_"/>
    <s v="Own Brand"/>
    <x v="4"/>
    <x v="2"/>
    <x v="19"/>
    <x v="1"/>
    <n v="3065"/>
  </r>
  <r>
    <x v="17"/>
    <x v="19"/>
    <x v="4"/>
    <x v="291"/>
    <n v="3"/>
    <n v="6125"/>
    <s v="INR_x000d_"/>
    <s v="Own Brand"/>
    <x v="4"/>
    <x v="2"/>
    <x v="19"/>
    <x v="1"/>
    <n v="6125"/>
  </r>
  <r>
    <x v="17"/>
    <x v="22"/>
    <x v="4"/>
    <x v="291"/>
    <n v="12"/>
    <n v="27991"/>
    <s v="INR_x000d_"/>
    <s v="Own Brand"/>
    <x v="4"/>
    <x v="2"/>
    <x v="22"/>
    <x v="1"/>
    <n v="27991"/>
  </r>
  <r>
    <x v="17"/>
    <x v="19"/>
    <x v="4"/>
    <x v="44"/>
    <n v="3"/>
    <n v="6125"/>
    <s v="INR_x000d_"/>
    <s v="Own Brand"/>
    <x v="4"/>
    <x v="2"/>
    <x v="19"/>
    <x v="1"/>
    <n v="6125"/>
  </r>
  <r>
    <x v="17"/>
    <x v="9"/>
    <x v="1"/>
    <x v="292"/>
    <n v="13"/>
    <n v="45935"/>
    <s v="INR_x000d_"/>
    <s v="Own Brand"/>
    <x v="1"/>
    <x v="1"/>
    <x v="9"/>
    <x v="0"/>
    <n v="45935"/>
  </r>
  <r>
    <x v="17"/>
    <x v="19"/>
    <x v="4"/>
    <x v="293"/>
    <n v="1"/>
    <n v="3065"/>
    <s v="INR_x000d_"/>
    <s v="Own Brand"/>
    <x v="4"/>
    <x v="2"/>
    <x v="19"/>
    <x v="1"/>
    <n v="3065"/>
  </r>
  <r>
    <x v="17"/>
    <x v="20"/>
    <x v="4"/>
    <x v="293"/>
    <n v="1"/>
    <n v="361"/>
    <s v="INR_x000d_"/>
    <s v="Own Brand"/>
    <x v="4"/>
    <x v="2"/>
    <x v="20"/>
    <x v="1"/>
    <n v="361"/>
  </r>
  <r>
    <x v="17"/>
    <x v="19"/>
    <x v="4"/>
    <x v="294"/>
    <n v="7"/>
    <n v="15315"/>
    <s v="INR_x000d_"/>
    <s v="Own Brand"/>
    <x v="4"/>
    <x v="2"/>
    <x v="19"/>
    <x v="1"/>
    <n v="15315"/>
  </r>
  <r>
    <x v="17"/>
    <x v="22"/>
    <x v="4"/>
    <x v="294"/>
    <n v="20"/>
    <n v="45481"/>
    <s v="INR_x000d_"/>
    <s v="Own Brand"/>
    <x v="4"/>
    <x v="2"/>
    <x v="22"/>
    <x v="1"/>
    <n v="45481"/>
  </r>
  <r>
    <x v="17"/>
    <x v="9"/>
    <x v="1"/>
    <x v="295"/>
    <n v="40"/>
    <n v="140157"/>
    <s v="INR_x000d_"/>
    <s v="Own Brand"/>
    <x v="1"/>
    <x v="1"/>
    <x v="9"/>
    <x v="0"/>
    <n v="140157"/>
  </r>
  <r>
    <x v="17"/>
    <x v="19"/>
    <x v="4"/>
    <x v="295"/>
    <n v="1"/>
    <n v="3065"/>
    <s v="INR_x000d_"/>
    <s v="Own Brand"/>
    <x v="4"/>
    <x v="2"/>
    <x v="19"/>
    <x v="1"/>
    <n v="3065"/>
  </r>
  <r>
    <x v="17"/>
    <x v="22"/>
    <x v="4"/>
    <x v="295"/>
    <n v="8"/>
    <n v="17495"/>
    <s v="INR_x000d_"/>
    <s v="Own Brand"/>
    <x v="4"/>
    <x v="2"/>
    <x v="22"/>
    <x v="1"/>
    <n v="17495"/>
  </r>
  <r>
    <x v="17"/>
    <x v="19"/>
    <x v="4"/>
    <x v="296"/>
    <n v="13"/>
    <n v="28269"/>
    <s v="INR_x000d_"/>
    <s v="Own Brand"/>
    <x v="4"/>
    <x v="2"/>
    <x v="19"/>
    <x v="1"/>
    <n v="28269"/>
  </r>
  <r>
    <x v="17"/>
    <x v="22"/>
    <x v="4"/>
    <x v="297"/>
    <n v="15"/>
    <n v="34986"/>
    <s v="INR_x000d_"/>
    <s v="Own Brand"/>
    <x v="4"/>
    <x v="2"/>
    <x v="22"/>
    <x v="1"/>
    <n v="34986"/>
  </r>
  <r>
    <x v="17"/>
    <x v="20"/>
    <x v="4"/>
    <x v="297"/>
    <n v="1"/>
    <n v="361"/>
    <s v="INR_x000d_"/>
    <s v="Own Brand"/>
    <x v="4"/>
    <x v="2"/>
    <x v="20"/>
    <x v="1"/>
    <n v="361"/>
  </r>
  <r>
    <x v="17"/>
    <x v="19"/>
    <x v="4"/>
    <x v="298"/>
    <n v="1"/>
    <n v="3065"/>
    <s v="INR_x000d_"/>
    <s v="Own Brand"/>
    <x v="4"/>
    <x v="2"/>
    <x v="19"/>
    <x v="1"/>
    <n v="3065"/>
  </r>
  <r>
    <x v="17"/>
    <x v="22"/>
    <x v="4"/>
    <x v="298"/>
    <n v="26"/>
    <n v="59477"/>
    <s v="INR_x000d_"/>
    <s v="Own Brand"/>
    <x v="4"/>
    <x v="2"/>
    <x v="22"/>
    <x v="1"/>
    <n v="59477"/>
  </r>
  <r>
    <x v="17"/>
    <x v="20"/>
    <x v="4"/>
    <x v="298"/>
    <n v="1"/>
    <n v="1079"/>
    <s v="INR_x000d_"/>
    <s v="Own Brand"/>
    <x v="4"/>
    <x v="2"/>
    <x v="20"/>
    <x v="1"/>
    <n v="1079"/>
  </r>
  <r>
    <x v="17"/>
    <x v="19"/>
    <x v="4"/>
    <x v="299"/>
    <n v="3"/>
    <n v="6125"/>
    <s v="INR_x000d_"/>
    <s v="Own Brand"/>
    <x v="4"/>
    <x v="2"/>
    <x v="19"/>
    <x v="1"/>
    <n v="6125"/>
  </r>
  <r>
    <x v="17"/>
    <x v="21"/>
    <x v="4"/>
    <x v="228"/>
    <n v="1"/>
    <n v="681"/>
    <s v="INR_x000d_"/>
    <s v="Own Brand"/>
    <x v="4"/>
    <x v="2"/>
    <x v="21"/>
    <x v="1"/>
    <n v="681"/>
  </r>
  <r>
    <x v="17"/>
    <x v="19"/>
    <x v="4"/>
    <x v="229"/>
    <n v="3"/>
    <n v="6130"/>
    <s v="INR_x000d_"/>
    <s v="Own Brand"/>
    <x v="4"/>
    <x v="2"/>
    <x v="19"/>
    <x v="1"/>
    <n v="6130"/>
  </r>
  <r>
    <x v="17"/>
    <x v="22"/>
    <x v="4"/>
    <x v="229"/>
    <n v="8"/>
    <n v="17495"/>
    <s v="INR_x000d_"/>
    <s v="Own Brand"/>
    <x v="4"/>
    <x v="2"/>
    <x v="22"/>
    <x v="1"/>
    <n v="17495"/>
  </r>
  <r>
    <x v="17"/>
    <x v="20"/>
    <x v="4"/>
    <x v="229"/>
    <n v="1"/>
    <n v="1440"/>
    <s v="INR_x000d_"/>
    <s v="Own Brand"/>
    <x v="4"/>
    <x v="2"/>
    <x v="20"/>
    <x v="1"/>
    <n v="1440"/>
  </r>
  <r>
    <x v="17"/>
    <x v="19"/>
    <x v="4"/>
    <x v="300"/>
    <n v="3"/>
    <n v="6125"/>
    <s v="INR_x000d_"/>
    <s v="Own Brand"/>
    <x v="4"/>
    <x v="2"/>
    <x v="19"/>
    <x v="1"/>
    <n v="6125"/>
  </r>
  <r>
    <x v="17"/>
    <x v="19"/>
    <x v="4"/>
    <x v="301"/>
    <n v="1"/>
    <n v="3065"/>
    <s v="INR_x000d_"/>
    <s v="Own Brand"/>
    <x v="4"/>
    <x v="2"/>
    <x v="19"/>
    <x v="1"/>
    <n v="3065"/>
  </r>
  <r>
    <x v="17"/>
    <x v="21"/>
    <x v="4"/>
    <x v="302"/>
    <n v="1"/>
    <n v="676"/>
    <s v="INR_x000d_"/>
    <s v="Own Brand"/>
    <x v="4"/>
    <x v="2"/>
    <x v="21"/>
    <x v="1"/>
    <n v="676"/>
  </r>
  <r>
    <x v="17"/>
    <x v="19"/>
    <x v="4"/>
    <x v="303"/>
    <n v="1"/>
    <n v="3065"/>
    <s v="INR_x000d_"/>
    <s v="Own Brand"/>
    <x v="4"/>
    <x v="2"/>
    <x v="19"/>
    <x v="1"/>
    <n v="3065"/>
  </r>
  <r>
    <x v="17"/>
    <x v="19"/>
    <x v="4"/>
    <x v="45"/>
    <n v="1"/>
    <n v="3065"/>
    <s v="INR_x000d_"/>
    <s v="Own Brand"/>
    <x v="4"/>
    <x v="2"/>
    <x v="19"/>
    <x v="1"/>
    <n v="3065"/>
  </r>
  <r>
    <x v="17"/>
    <x v="19"/>
    <x v="4"/>
    <x v="45"/>
    <n v="13"/>
    <n v="28269"/>
    <s v="INR_x000d_"/>
    <s v="Own Brand"/>
    <x v="4"/>
    <x v="2"/>
    <x v="19"/>
    <x v="1"/>
    <n v="28269"/>
  </r>
  <r>
    <x v="17"/>
    <x v="19"/>
    <x v="4"/>
    <x v="304"/>
    <n v="1"/>
    <n v="3065"/>
    <s v="INR_x000d_"/>
    <s v="Own Brand"/>
    <x v="4"/>
    <x v="2"/>
    <x v="19"/>
    <x v="1"/>
    <n v="3065"/>
  </r>
  <r>
    <x v="17"/>
    <x v="13"/>
    <x v="4"/>
    <x v="305"/>
    <n v="12"/>
    <n v="24792"/>
    <s v="INR_x000d_"/>
    <s v="Own Brand"/>
    <x v="4"/>
    <x v="2"/>
    <x v="13"/>
    <x v="0"/>
    <n v="24792"/>
  </r>
  <r>
    <x v="17"/>
    <x v="19"/>
    <x v="4"/>
    <x v="305"/>
    <n v="1"/>
    <n v="3065"/>
    <s v="INR_x000d_"/>
    <s v="Own Brand"/>
    <x v="4"/>
    <x v="2"/>
    <x v="19"/>
    <x v="1"/>
    <n v="3065"/>
  </r>
  <r>
    <x v="17"/>
    <x v="19"/>
    <x v="4"/>
    <x v="306"/>
    <n v="1"/>
    <n v="3065"/>
    <s v="INR_x000d_"/>
    <s v="Own Brand"/>
    <x v="4"/>
    <x v="2"/>
    <x v="19"/>
    <x v="1"/>
    <n v="3065"/>
  </r>
  <r>
    <x v="17"/>
    <x v="19"/>
    <x v="4"/>
    <x v="46"/>
    <n v="1"/>
    <n v="3065"/>
    <s v="INR_x000d_"/>
    <s v="Own Brand"/>
    <x v="4"/>
    <x v="2"/>
    <x v="19"/>
    <x v="1"/>
    <n v="3065"/>
  </r>
  <r>
    <x v="17"/>
    <x v="20"/>
    <x v="4"/>
    <x v="46"/>
    <n v="1"/>
    <n v="1440"/>
    <s v="INR_x000d_"/>
    <s v="Own Brand"/>
    <x v="4"/>
    <x v="2"/>
    <x v="20"/>
    <x v="1"/>
    <n v="1440"/>
  </r>
  <r>
    <x v="17"/>
    <x v="13"/>
    <x v="4"/>
    <x v="307"/>
    <n v="6"/>
    <n v="11519"/>
    <s v="INR_x000d_"/>
    <s v="Own Brand"/>
    <x v="4"/>
    <x v="2"/>
    <x v="13"/>
    <x v="0"/>
    <n v="11519"/>
  </r>
  <r>
    <x v="17"/>
    <x v="19"/>
    <x v="4"/>
    <x v="307"/>
    <n v="1"/>
    <n v="3065"/>
    <s v="INR_x000d_"/>
    <s v="Own Brand"/>
    <x v="4"/>
    <x v="2"/>
    <x v="19"/>
    <x v="1"/>
    <n v="3065"/>
  </r>
  <r>
    <x v="17"/>
    <x v="21"/>
    <x v="4"/>
    <x v="307"/>
    <n v="1"/>
    <n v="1356"/>
    <s v="INR_x000d_"/>
    <s v="Own Brand"/>
    <x v="4"/>
    <x v="2"/>
    <x v="21"/>
    <x v="1"/>
    <n v="1356"/>
  </r>
  <r>
    <x v="17"/>
    <x v="21"/>
    <x v="4"/>
    <x v="308"/>
    <n v="1"/>
    <n v="1019"/>
    <s v="INR_x000d_"/>
    <s v="Own Brand"/>
    <x v="4"/>
    <x v="2"/>
    <x v="21"/>
    <x v="1"/>
    <n v="1019"/>
  </r>
  <r>
    <x v="17"/>
    <x v="19"/>
    <x v="4"/>
    <x v="309"/>
    <n v="1"/>
    <n v="3065"/>
    <s v="INR_x000d_"/>
    <s v="Own Brand"/>
    <x v="4"/>
    <x v="2"/>
    <x v="19"/>
    <x v="1"/>
    <n v="3065"/>
  </r>
  <r>
    <x v="17"/>
    <x v="9"/>
    <x v="1"/>
    <x v="310"/>
    <n v="1"/>
    <n v="1176"/>
    <s v="INR_x000d_"/>
    <s v="Own Brand"/>
    <x v="1"/>
    <x v="1"/>
    <x v="9"/>
    <x v="0"/>
    <n v="1176"/>
  </r>
  <r>
    <x v="17"/>
    <x v="13"/>
    <x v="4"/>
    <x v="310"/>
    <n v="1"/>
    <n v="1398"/>
    <s v="INR_x000d_"/>
    <s v="Own Brand"/>
    <x v="4"/>
    <x v="2"/>
    <x v="13"/>
    <x v="0"/>
    <n v="1398"/>
  </r>
  <r>
    <x v="17"/>
    <x v="19"/>
    <x v="4"/>
    <x v="310"/>
    <n v="3"/>
    <n v="6125"/>
    <s v="INR_x000d_"/>
    <s v="Own Brand"/>
    <x v="4"/>
    <x v="2"/>
    <x v="19"/>
    <x v="1"/>
    <n v="6125"/>
  </r>
  <r>
    <x v="17"/>
    <x v="19"/>
    <x v="4"/>
    <x v="311"/>
    <n v="4"/>
    <n v="9190"/>
    <s v="INR_x000d_"/>
    <s v="Own Brand"/>
    <x v="4"/>
    <x v="2"/>
    <x v="19"/>
    <x v="1"/>
    <n v="9190"/>
  </r>
  <r>
    <x v="17"/>
    <x v="19"/>
    <x v="4"/>
    <x v="312"/>
    <n v="1"/>
    <n v="3065"/>
    <s v="INR_x000d_"/>
    <s v="Own Brand"/>
    <x v="4"/>
    <x v="2"/>
    <x v="19"/>
    <x v="1"/>
    <n v="3065"/>
  </r>
  <r>
    <x v="17"/>
    <x v="22"/>
    <x v="4"/>
    <x v="312"/>
    <n v="8"/>
    <n v="17495"/>
    <s v="INR_x000d_"/>
    <s v="Own Brand"/>
    <x v="4"/>
    <x v="2"/>
    <x v="22"/>
    <x v="1"/>
    <n v="17495"/>
  </r>
  <r>
    <x v="17"/>
    <x v="20"/>
    <x v="4"/>
    <x v="312"/>
    <n v="1"/>
    <n v="722"/>
    <s v="INR_x000d_"/>
    <s v="Own Brand"/>
    <x v="4"/>
    <x v="2"/>
    <x v="20"/>
    <x v="1"/>
    <n v="722"/>
  </r>
  <r>
    <x v="17"/>
    <x v="13"/>
    <x v="4"/>
    <x v="180"/>
    <n v="8"/>
    <n v="17463"/>
    <s v="INR_x000d_"/>
    <s v="Own Brand"/>
    <x v="4"/>
    <x v="2"/>
    <x v="13"/>
    <x v="0"/>
    <n v="17463"/>
  </r>
  <r>
    <x v="17"/>
    <x v="19"/>
    <x v="4"/>
    <x v="180"/>
    <n v="5"/>
    <n v="12250"/>
    <s v="INR_x000d_"/>
    <s v="Own Brand"/>
    <x v="4"/>
    <x v="2"/>
    <x v="19"/>
    <x v="1"/>
    <n v="12250"/>
  </r>
  <r>
    <x v="17"/>
    <x v="19"/>
    <x v="4"/>
    <x v="180"/>
    <n v="80"/>
    <n v="169606"/>
    <s v="INR_x000d_"/>
    <s v="Own Brand"/>
    <x v="4"/>
    <x v="2"/>
    <x v="19"/>
    <x v="1"/>
    <n v="169606"/>
  </r>
  <r>
    <x v="17"/>
    <x v="22"/>
    <x v="4"/>
    <x v="313"/>
    <n v="8"/>
    <n v="17495"/>
    <s v="INR_x000d_"/>
    <s v="Own Brand"/>
    <x v="4"/>
    <x v="2"/>
    <x v="22"/>
    <x v="1"/>
    <n v="17495"/>
  </r>
  <r>
    <x v="17"/>
    <x v="19"/>
    <x v="4"/>
    <x v="181"/>
    <n v="1"/>
    <n v="3065"/>
    <s v="INR_x000d_"/>
    <s v="Own Brand"/>
    <x v="4"/>
    <x v="2"/>
    <x v="19"/>
    <x v="1"/>
    <n v="3065"/>
  </r>
  <r>
    <x v="17"/>
    <x v="21"/>
    <x v="4"/>
    <x v="181"/>
    <n v="1"/>
    <n v="338"/>
    <s v="INR_x000d_"/>
    <s v="Own Brand"/>
    <x v="4"/>
    <x v="2"/>
    <x v="21"/>
    <x v="1"/>
    <n v="338"/>
  </r>
  <r>
    <x v="17"/>
    <x v="19"/>
    <x v="4"/>
    <x v="181"/>
    <n v="13"/>
    <n v="28269"/>
    <s v="INR_x000d_"/>
    <s v="Own Brand"/>
    <x v="4"/>
    <x v="2"/>
    <x v="19"/>
    <x v="1"/>
    <n v="28269"/>
  </r>
  <r>
    <x v="17"/>
    <x v="19"/>
    <x v="4"/>
    <x v="314"/>
    <n v="1"/>
    <n v="3065"/>
    <s v="INR_x000d_"/>
    <s v="Own Brand"/>
    <x v="4"/>
    <x v="2"/>
    <x v="19"/>
    <x v="1"/>
    <n v="3065"/>
  </r>
  <r>
    <x v="17"/>
    <x v="22"/>
    <x v="4"/>
    <x v="314"/>
    <n v="8"/>
    <n v="17495"/>
    <s v="INR_x000d_"/>
    <s v="Own Brand"/>
    <x v="4"/>
    <x v="2"/>
    <x v="22"/>
    <x v="1"/>
    <n v="17495"/>
  </r>
  <r>
    <x v="17"/>
    <x v="20"/>
    <x v="4"/>
    <x v="314"/>
    <n v="1"/>
    <n v="361"/>
    <s v="INR_x000d_"/>
    <s v="Own Brand"/>
    <x v="4"/>
    <x v="2"/>
    <x v="20"/>
    <x v="1"/>
    <n v="361"/>
  </r>
  <r>
    <x v="17"/>
    <x v="19"/>
    <x v="4"/>
    <x v="111"/>
    <n v="1"/>
    <n v="3065"/>
    <s v="INR_x000d_"/>
    <s v="Own Brand"/>
    <x v="4"/>
    <x v="2"/>
    <x v="19"/>
    <x v="1"/>
    <n v="3065"/>
  </r>
  <r>
    <x v="17"/>
    <x v="19"/>
    <x v="4"/>
    <x v="111"/>
    <n v="13"/>
    <n v="28269"/>
    <s v="INR_x000d_"/>
    <s v="Own Brand"/>
    <x v="4"/>
    <x v="2"/>
    <x v="19"/>
    <x v="1"/>
    <n v="28269"/>
  </r>
  <r>
    <x v="17"/>
    <x v="13"/>
    <x v="4"/>
    <x v="315"/>
    <n v="2"/>
    <n v="3495"/>
    <s v="INR_x000d_"/>
    <s v="Own Brand"/>
    <x v="4"/>
    <x v="2"/>
    <x v="13"/>
    <x v="0"/>
    <n v="3495"/>
  </r>
  <r>
    <x v="17"/>
    <x v="19"/>
    <x v="4"/>
    <x v="315"/>
    <n v="3"/>
    <n v="6125"/>
    <s v="INR_x000d_"/>
    <s v="Own Brand"/>
    <x v="4"/>
    <x v="2"/>
    <x v="19"/>
    <x v="1"/>
    <n v="6125"/>
  </r>
  <r>
    <x v="17"/>
    <x v="22"/>
    <x v="4"/>
    <x v="315"/>
    <n v="3"/>
    <n v="6995"/>
    <s v="INR_x000d_"/>
    <s v="Own Brand"/>
    <x v="4"/>
    <x v="2"/>
    <x v="22"/>
    <x v="1"/>
    <n v="6995"/>
  </r>
  <r>
    <x v="17"/>
    <x v="13"/>
    <x v="4"/>
    <x v="316"/>
    <n v="1"/>
    <n v="1745"/>
    <s v="INR_x000d_"/>
    <s v="Own Brand"/>
    <x v="4"/>
    <x v="2"/>
    <x v="13"/>
    <x v="0"/>
    <n v="1745"/>
  </r>
  <r>
    <x v="17"/>
    <x v="20"/>
    <x v="4"/>
    <x v="316"/>
    <n v="1"/>
    <n v="722"/>
    <s v="INR_x000d_"/>
    <s v="Own Brand"/>
    <x v="4"/>
    <x v="2"/>
    <x v="20"/>
    <x v="1"/>
    <n v="722"/>
  </r>
  <r>
    <x v="17"/>
    <x v="13"/>
    <x v="4"/>
    <x v="317"/>
    <n v="2"/>
    <n v="4190"/>
    <s v="INR_x000d_"/>
    <s v="Own Brand"/>
    <x v="4"/>
    <x v="2"/>
    <x v="13"/>
    <x v="0"/>
    <n v="4190"/>
  </r>
  <r>
    <x v="17"/>
    <x v="19"/>
    <x v="4"/>
    <x v="182"/>
    <n v="1"/>
    <n v="3065"/>
    <s v="INR_x000d_"/>
    <s v="Own Brand"/>
    <x v="4"/>
    <x v="2"/>
    <x v="19"/>
    <x v="1"/>
    <n v="3065"/>
  </r>
  <r>
    <x v="17"/>
    <x v="22"/>
    <x v="4"/>
    <x v="182"/>
    <n v="17"/>
    <n v="38486"/>
    <s v="INR_x000d_"/>
    <s v="Own Brand"/>
    <x v="4"/>
    <x v="2"/>
    <x v="22"/>
    <x v="1"/>
    <n v="38486"/>
  </r>
  <r>
    <x v="17"/>
    <x v="19"/>
    <x v="4"/>
    <x v="318"/>
    <n v="1"/>
    <n v="3065"/>
    <s v="INR_x000d_"/>
    <s v="Own Brand"/>
    <x v="4"/>
    <x v="2"/>
    <x v="19"/>
    <x v="1"/>
    <n v="3065"/>
  </r>
  <r>
    <x v="17"/>
    <x v="22"/>
    <x v="4"/>
    <x v="318"/>
    <n v="23"/>
    <n v="52481"/>
    <s v="INR_x000d_"/>
    <s v="Own Brand"/>
    <x v="4"/>
    <x v="2"/>
    <x v="22"/>
    <x v="1"/>
    <n v="52481"/>
  </r>
  <r>
    <x v="17"/>
    <x v="13"/>
    <x v="4"/>
    <x v="319"/>
    <n v="17"/>
    <n v="35963"/>
    <s v="INR_x000d_"/>
    <s v="Own Brand"/>
    <x v="4"/>
    <x v="2"/>
    <x v="13"/>
    <x v="0"/>
    <n v="35963"/>
  </r>
  <r>
    <x v="17"/>
    <x v="19"/>
    <x v="4"/>
    <x v="319"/>
    <n v="13"/>
    <n v="28269"/>
    <s v="INR_x000d_"/>
    <s v="Own Brand"/>
    <x v="4"/>
    <x v="2"/>
    <x v="19"/>
    <x v="1"/>
    <n v="28269"/>
  </r>
  <r>
    <x v="17"/>
    <x v="19"/>
    <x v="4"/>
    <x v="184"/>
    <n v="1"/>
    <n v="3065"/>
    <s v="INR_x000d_"/>
    <s v="Own Brand"/>
    <x v="4"/>
    <x v="2"/>
    <x v="19"/>
    <x v="1"/>
    <n v="3065"/>
  </r>
  <r>
    <x v="17"/>
    <x v="19"/>
    <x v="4"/>
    <x v="320"/>
    <n v="15"/>
    <n v="33690"/>
    <s v="INR_x000d_"/>
    <s v="Own Brand"/>
    <x v="4"/>
    <x v="2"/>
    <x v="19"/>
    <x v="1"/>
    <n v="33690"/>
  </r>
  <r>
    <x v="17"/>
    <x v="19"/>
    <x v="4"/>
    <x v="320"/>
    <n v="13"/>
    <n v="28269"/>
    <s v="INR_x000d_"/>
    <s v="Own Brand"/>
    <x v="4"/>
    <x v="2"/>
    <x v="19"/>
    <x v="1"/>
    <n v="28269"/>
  </r>
  <r>
    <x v="17"/>
    <x v="19"/>
    <x v="4"/>
    <x v="321"/>
    <n v="3"/>
    <n v="6125"/>
    <s v="INR_x000d_"/>
    <s v="Own Brand"/>
    <x v="4"/>
    <x v="2"/>
    <x v="19"/>
    <x v="1"/>
    <n v="6125"/>
  </r>
  <r>
    <x v="17"/>
    <x v="20"/>
    <x v="4"/>
    <x v="321"/>
    <n v="1"/>
    <n v="722"/>
    <s v="INR_x000d_"/>
    <s v="Own Brand"/>
    <x v="4"/>
    <x v="2"/>
    <x v="20"/>
    <x v="1"/>
    <n v="722"/>
  </r>
  <r>
    <x v="17"/>
    <x v="19"/>
    <x v="4"/>
    <x v="185"/>
    <n v="4"/>
    <n v="9190"/>
    <s v="INR_x000d_"/>
    <s v="Own Brand"/>
    <x v="4"/>
    <x v="2"/>
    <x v="19"/>
    <x v="1"/>
    <n v="9190"/>
  </r>
  <r>
    <x v="17"/>
    <x v="13"/>
    <x v="4"/>
    <x v="186"/>
    <n v="18"/>
    <n v="38060"/>
    <s v="INR_x000d_"/>
    <s v="Own Brand"/>
    <x v="4"/>
    <x v="2"/>
    <x v="13"/>
    <x v="0"/>
    <n v="38060"/>
  </r>
  <r>
    <x v="17"/>
    <x v="22"/>
    <x v="4"/>
    <x v="186"/>
    <n v="8"/>
    <n v="17495"/>
    <s v="INR_x000d_"/>
    <s v="Own Brand"/>
    <x v="4"/>
    <x v="2"/>
    <x v="22"/>
    <x v="1"/>
    <n v="17495"/>
  </r>
  <r>
    <x v="17"/>
    <x v="19"/>
    <x v="4"/>
    <x v="186"/>
    <n v="13"/>
    <n v="28269"/>
    <s v="INR_x000d_"/>
    <s v="Own Brand"/>
    <x v="4"/>
    <x v="2"/>
    <x v="19"/>
    <x v="1"/>
    <n v="28269"/>
  </r>
  <r>
    <x v="17"/>
    <x v="13"/>
    <x v="4"/>
    <x v="322"/>
    <n v="11"/>
    <n v="23394"/>
    <s v="INR_x000d_"/>
    <s v="Own Brand"/>
    <x v="4"/>
    <x v="2"/>
    <x v="13"/>
    <x v="0"/>
    <n v="23394"/>
  </r>
  <r>
    <x v="17"/>
    <x v="19"/>
    <x v="4"/>
    <x v="323"/>
    <n v="4"/>
    <n v="9190"/>
    <s v="INR_x000d_"/>
    <s v="Own Brand"/>
    <x v="4"/>
    <x v="2"/>
    <x v="19"/>
    <x v="1"/>
    <n v="9190"/>
  </r>
  <r>
    <x v="17"/>
    <x v="22"/>
    <x v="4"/>
    <x v="323"/>
    <n v="9"/>
    <n v="20991"/>
    <s v="INR_x000d_"/>
    <s v="Own Brand"/>
    <x v="4"/>
    <x v="2"/>
    <x v="22"/>
    <x v="1"/>
    <n v="20991"/>
  </r>
  <r>
    <x v="17"/>
    <x v="13"/>
    <x v="4"/>
    <x v="47"/>
    <n v="21"/>
    <n v="43991"/>
    <s v="INR_x000d_"/>
    <s v="Own Brand"/>
    <x v="4"/>
    <x v="2"/>
    <x v="13"/>
    <x v="0"/>
    <n v="43991"/>
  </r>
  <r>
    <x v="17"/>
    <x v="19"/>
    <x v="4"/>
    <x v="324"/>
    <n v="3"/>
    <n v="6125"/>
    <s v="INR_x000d_"/>
    <s v="Own Brand"/>
    <x v="4"/>
    <x v="2"/>
    <x v="19"/>
    <x v="1"/>
    <n v="6125"/>
  </r>
  <r>
    <x v="17"/>
    <x v="22"/>
    <x v="4"/>
    <x v="324"/>
    <n v="15"/>
    <n v="34986"/>
    <s v="INR_x000d_"/>
    <s v="Own Brand"/>
    <x v="4"/>
    <x v="2"/>
    <x v="22"/>
    <x v="1"/>
    <n v="34986"/>
  </r>
  <r>
    <x v="17"/>
    <x v="19"/>
    <x v="4"/>
    <x v="324"/>
    <n v="13"/>
    <n v="28269"/>
    <s v="INR_x000d_"/>
    <s v="Own Brand"/>
    <x v="4"/>
    <x v="2"/>
    <x v="19"/>
    <x v="1"/>
    <n v="28269"/>
  </r>
  <r>
    <x v="17"/>
    <x v="19"/>
    <x v="4"/>
    <x v="325"/>
    <n v="1"/>
    <n v="3065"/>
    <s v="INR_x000d_"/>
    <s v="Own Brand"/>
    <x v="4"/>
    <x v="2"/>
    <x v="19"/>
    <x v="1"/>
    <n v="3065"/>
  </r>
  <r>
    <x v="17"/>
    <x v="19"/>
    <x v="4"/>
    <x v="325"/>
    <n v="13"/>
    <n v="28269"/>
    <s v="INR_x000d_"/>
    <s v="Own Brand"/>
    <x v="4"/>
    <x v="2"/>
    <x v="19"/>
    <x v="1"/>
    <n v="28269"/>
  </r>
  <r>
    <x v="17"/>
    <x v="19"/>
    <x v="4"/>
    <x v="113"/>
    <n v="1"/>
    <n v="3065"/>
    <s v="INR_x000d_"/>
    <s v="Own Brand"/>
    <x v="4"/>
    <x v="2"/>
    <x v="19"/>
    <x v="1"/>
    <n v="3065"/>
  </r>
  <r>
    <x v="17"/>
    <x v="19"/>
    <x v="4"/>
    <x v="326"/>
    <n v="3"/>
    <n v="6125"/>
    <s v="INR_x000d_"/>
    <s v="Own Brand"/>
    <x v="4"/>
    <x v="2"/>
    <x v="19"/>
    <x v="1"/>
    <n v="6125"/>
  </r>
  <r>
    <x v="17"/>
    <x v="22"/>
    <x v="4"/>
    <x v="326"/>
    <n v="8"/>
    <n v="17495"/>
    <s v="INR_x000d_"/>
    <s v="Own Brand"/>
    <x v="4"/>
    <x v="2"/>
    <x v="22"/>
    <x v="1"/>
    <n v="17495"/>
  </r>
  <r>
    <x v="17"/>
    <x v="13"/>
    <x v="4"/>
    <x v="48"/>
    <n v="37"/>
    <n v="77870"/>
    <s v="INR_x000d_"/>
    <s v="Own Brand"/>
    <x v="4"/>
    <x v="2"/>
    <x v="13"/>
    <x v="0"/>
    <n v="77870"/>
  </r>
  <r>
    <x v="17"/>
    <x v="19"/>
    <x v="4"/>
    <x v="48"/>
    <n v="13"/>
    <n v="28269"/>
    <s v="INR_x000d_"/>
    <s v="Own Brand"/>
    <x v="4"/>
    <x v="2"/>
    <x v="19"/>
    <x v="1"/>
    <n v="28269"/>
  </r>
  <r>
    <x v="17"/>
    <x v="22"/>
    <x v="4"/>
    <x v="327"/>
    <n v="8"/>
    <n v="17495"/>
    <s v="INR_x000d_"/>
    <s v="Own Brand"/>
    <x v="4"/>
    <x v="2"/>
    <x v="22"/>
    <x v="1"/>
    <n v="17495"/>
  </r>
  <r>
    <x v="17"/>
    <x v="19"/>
    <x v="4"/>
    <x v="327"/>
    <n v="13"/>
    <n v="28269"/>
    <s v="INR_x000d_"/>
    <s v="Own Brand"/>
    <x v="4"/>
    <x v="2"/>
    <x v="19"/>
    <x v="1"/>
    <n v="28269"/>
  </r>
  <r>
    <x v="17"/>
    <x v="19"/>
    <x v="4"/>
    <x v="328"/>
    <n v="1"/>
    <n v="3065"/>
    <s v="INR_x000d_"/>
    <s v="Own Brand"/>
    <x v="4"/>
    <x v="2"/>
    <x v="19"/>
    <x v="1"/>
    <n v="3065"/>
  </r>
  <r>
    <x v="17"/>
    <x v="19"/>
    <x v="4"/>
    <x v="329"/>
    <n v="3"/>
    <n v="6125"/>
    <s v="INR_x000d_"/>
    <s v="Own Brand"/>
    <x v="4"/>
    <x v="2"/>
    <x v="19"/>
    <x v="1"/>
    <n v="6125"/>
  </r>
  <r>
    <x v="17"/>
    <x v="22"/>
    <x v="4"/>
    <x v="329"/>
    <n v="23"/>
    <n v="52481"/>
    <s v="INR_x000d_"/>
    <s v="Own Brand"/>
    <x v="4"/>
    <x v="2"/>
    <x v="22"/>
    <x v="1"/>
    <n v="52481"/>
  </r>
  <r>
    <x v="17"/>
    <x v="19"/>
    <x v="4"/>
    <x v="329"/>
    <n v="13"/>
    <n v="28269"/>
    <s v="INR_x000d_"/>
    <s v="Own Brand"/>
    <x v="4"/>
    <x v="2"/>
    <x v="19"/>
    <x v="1"/>
    <n v="28269"/>
  </r>
  <r>
    <x v="17"/>
    <x v="13"/>
    <x v="4"/>
    <x v="330"/>
    <n v="6"/>
    <n v="13264"/>
    <s v="INR_x000d_"/>
    <s v="Own Brand"/>
    <x v="4"/>
    <x v="2"/>
    <x v="13"/>
    <x v="0"/>
    <n v="13264"/>
  </r>
  <r>
    <x v="17"/>
    <x v="19"/>
    <x v="4"/>
    <x v="330"/>
    <n v="4"/>
    <n v="9190"/>
    <s v="INR_x000d_"/>
    <s v="Own Brand"/>
    <x v="4"/>
    <x v="2"/>
    <x v="19"/>
    <x v="1"/>
    <n v="9190"/>
  </r>
  <r>
    <x v="17"/>
    <x v="20"/>
    <x v="4"/>
    <x v="330"/>
    <n v="17"/>
    <n v="36014"/>
    <s v="INR_x000d_"/>
    <s v="Own Brand"/>
    <x v="4"/>
    <x v="2"/>
    <x v="20"/>
    <x v="1"/>
    <n v="36014"/>
  </r>
  <r>
    <x v="17"/>
    <x v="13"/>
    <x v="4"/>
    <x v="331"/>
    <n v="58"/>
    <n v="121509"/>
    <s v="INR_x000d_"/>
    <s v="Own Brand"/>
    <x v="4"/>
    <x v="2"/>
    <x v="13"/>
    <x v="0"/>
    <n v="121509"/>
  </r>
  <r>
    <x v="17"/>
    <x v="19"/>
    <x v="4"/>
    <x v="332"/>
    <n v="13"/>
    <n v="28269"/>
    <s v="INR_x000d_"/>
    <s v="Own Brand"/>
    <x v="4"/>
    <x v="2"/>
    <x v="19"/>
    <x v="1"/>
    <n v="28269"/>
  </r>
  <r>
    <x v="17"/>
    <x v="20"/>
    <x v="4"/>
    <x v="332"/>
    <n v="33"/>
    <n v="72028"/>
    <s v="INR_x000d_"/>
    <s v="Own Brand"/>
    <x v="4"/>
    <x v="2"/>
    <x v="20"/>
    <x v="1"/>
    <n v="72028"/>
  </r>
  <r>
    <x v="17"/>
    <x v="13"/>
    <x v="4"/>
    <x v="333"/>
    <n v="22"/>
    <n v="46444"/>
    <s v="INR_x000d_"/>
    <s v="Own Brand"/>
    <x v="4"/>
    <x v="2"/>
    <x v="13"/>
    <x v="0"/>
    <n v="46444"/>
  </r>
  <r>
    <x v="17"/>
    <x v="19"/>
    <x v="4"/>
    <x v="333"/>
    <n v="1"/>
    <n v="3065"/>
    <s v="INR_x000d_"/>
    <s v="Own Brand"/>
    <x v="4"/>
    <x v="2"/>
    <x v="19"/>
    <x v="1"/>
    <n v="3065"/>
  </r>
  <r>
    <x v="17"/>
    <x v="22"/>
    <x v="4"/>
    <x v="333"/>
    <n v="8"/>
    <n v="17495"/>
    <s v="INR_x000d_"/>
    <s v="Own Brand"/>
    <x v="4"/>
    <x v="2"/>
    <x v="22"/>
    <x v="1"/>
    <n v="17495"/>
  </r>
  <r>
    <x v="17"/>
    <x v="19"/>
    <x v="4"/>
    <x v="333"/>
    <n v="13"/>
    <n v="28269"/>
    <s v="INR_x000d_"/>
    <s v="Own Brand"/>
    <x v="4"/>
    <x v="2"/>
    <x v="19"/>
    <x v="1"/>
    <n v="28269"/>
  </r>
  <r>
    <x v="17"/>
    <x v="19"/>
    <x v="4"/>
    <x v="334"/>
    <n v="1"/>
    <n v="3065"/>
    <s v="INR_x000d_"/>
    <s v="Own Brand"/>
    <x v="4"/>
    <x v="2"/>
    <x v="19"/>
    <x v="1"/>
    <n v="3065"/>
  </r>
  <r>
    <x v="17"/>
    <x v="22"/>
    <x v="4"/>
    <x v="334"/>
    <n v="8"/>
    <n v="17495"/>
    <s v="INR_x000d_"/>
    <s v="Own Brand"/>
    <x v="4"/>
    <x v="2"/>
    <x v="22"/>
    <x v="1"/>
    <n v="17495"/>
  </r>
  <r>
    <x v="17"/>
    <x v="19"/>
    <x v="4"/>
    <x v="335"/>
    <n v="1"/>
    <n v="3065"/>
    <s v="INR_x000d_"/>
    <s v="Own Brand"/>
    <x v="4"/>
    <x v="2"/>
    <x v="19"/>
    <x v="1"/>
    <n v="3065"/>
  </r>
  <r>
    <x v="17"/>
    <x v="19"/>
    <x v="4"/>
    <x v="335"/>
    <n v="13"/>
    <n v="28269"/>
    <s v="INR_x000d_"/>
    <s v="Own Brand"/>
    <x v="4"/>
    <x v="2"/>
    <x v="19"/>
    <x v="1"/>
    <n v="28269"/>
  </r>
  <r>
    <x v="17"/>
    <x v="19"/>
    <x v="4"/>
    <x v="336"/>
    <n v="1"/>
    <n v="3065"/>
    <s v="INR_x000d_"/>
    <s v="Own Brand"/>
    <x v="4"/>
    <x v="2"/>
    <x v="19"/>
    <x v="1"/>
    <n v="3065"/>
  </r>
  <r>
    <x v="17"/>
    <x v="22"/>
    <x v="4"/>
    <x v="336"/>
    <n v="15"/>
    <n v="34986"/>
    <s v="INR_x000d_"/>
    <s v="Own Brand"/>
    <x v="4"/>
    <x v="2"/>
    <x v="22"/>
    <x v="1"/>
    <n v="34986"/>
  </r>
  <r>
    <x v="17"/>
    <x v="19"/>
    <x v="4"/>
    <x v="336"/>
    <n v="13"/>
    <n v="28269"/>
    <s v="INR_x000d_"/>
    <s v="Own Brand"/>
    <x v="4"/>
    <x v="2"/>
    <x v="19"/>
    <x v="1"/>
    <n v="28269"/>
  </r>
  <r>
    <x v="17"/>
    <x v="13"/>
    <x v="4"/>
    <x v="49"/>
    <n v="59"/>
    <n v="122898"/>
    <s v="INR_x000d_"/>
    <s v="Own Brand"/>
    <x v="4"/>
    <x v="2"/>
    <x v="13"/>
    <x v="0"/>
    <n v="122898"/>
  </r>
  <r>
    <x v="17"/>
    <x v="19"/>
    <x v="4"/>
    <x v="337"/>
    <n v="1"/>
    <n v="3065"/>
    <s v="INR_x000d_"/>
    <s v="Own Brand"/>
    <x v="4"/>
    <x v="2"/>
    <x v="19"/>
    <x v="1"/>
    <n v="3065"/>
  </r>
  <r>
    <x v="17"/>
    <x v="22"/>
    <x v="4"/>
    <x v="337"/>
    <n v="23"/>
    <n v="52481"/>
    <s v="INR_x000d_"/>
    <s v="Own Brand"/>
    <x v="4"/>
    <x v="2"/>
    <x v="22"/>
    <x v="1"/>
    <n v="52481"/>
  </r>
  <r>
    <x v="17"/>
    <x v="19"/>
    <x v="4"/>
    <x v="337"/>
    <n v="13"/>
    <n v="28269"/>
    <s v="INR_x000d_"/>
    <s v="Own Brand"/>
    <x v="4"/>
    <x v="2"/>
    <x v="19"/>
    <x v="1"/>
    <n v="28269"/>
  </r>
  <r>
    <x v="17"/>
    <x v="19"/>
    <x v="4"/>
    <x v="338"/>
    <n v="1"/>
    <n v="3065"/>
    <s v="INR_x000d_"/>
    <s v="Own Brand"/>
    <x v="4"/>
    <x v="2"/>
    <x v="19"/>
    <x v="1"/>
    <n v="3065"/>
  </r>
  <r>
    <x v="17"/>
    <x v="13"/>
    <x v="4"/>
    <x v="339"/>
    <n v="9"/>
    <n v="19556"/>
    <s v="INR_x000d_"/>
    <s v="Own Brand"/>
    <x v="4"/>
    <x v="2"/>
    <x v="13"/>
    <x v="0"/>
    <n v="19556"/>
  </r>
  <r>
    <x v="17"/>
    <x v="19"/>
    <x v="4"/>
    <x v="339"/>
    <n v="1"/>
    <n v="3065"/>
    <s v="INR_x000d_"/>
    <s v="Own Brand"/>
    <x v="4"/>
    <x v="2"/>
    <x v="19"/>
    <x v="1"/>
    <n v="3065"/>
  </r>
  <r>
    <x v="17"/>
    <x v="22"/>
    <x v="4"/>
    <x v="339"/>
    <n v="8"/>
    <n v="17495"/>
    <s v="INR_x000d_"/>
    <s v="Own Brand"/>
    <x v="4"/>
    <x v="2"/>
    <x v="22"/>
    <x v="1"/>
    <n v="17495"/>
  </r>
  <r>
    <x v="17"/>
    <x v="13"/>
    <x v="4"/>
    <x v="50"/>
    <n v="18"/>
    <n v="38407"/>
    <s v="INR_x000d_"/>
    <s v="Own Brand"/>
    <x v="4"/>
    <x v="2"/>
    <x v="13"/>
    <x v="0"/>
    <n v="38407"/>
  </r>
  <r>
    <x v="17"/>
    <x v="19"/>
    <x v="4"/>
    <x v="50"/>
    <n v="4"/>
    <n v="9190"/>
    <s v="INR_x000d_"/>
    <s v="Own Brand"/>
    <x v="4"/>
    <x v="2"/>
    <x v="19"/>
    <x v="1"/>
    <n v="9190"/>
  </r>
  <r>
    <x v="17"/>
    <x v="19"/>
    <x v="4"/>
    <x v="340"/>
    <n v="3"/>
    <n v="6125"/>
    <s v="INR_x000d_"/>
    <s v="Own Brand"/>
    <x v="4"/>
    <x v="2"/>
    <x v="19"/>
    <x v="1"/>
    <n v="6125"/>
  </r>
  <r>
    <x v="17"/>
    <x v="22"/>
    <x v="4"/>
    <x v="340"/>
    <n v="8"/>
    <n v="17495"/>
    <s v="INR_x000d_"/>
    <s v="Own Brand"/>
    <x v="4"/>
    <x v="2"/>
    <x v="22"/>
    <x v="1"/>
    <n v="17495"/>
  </r>
  <r>
    <x v="17"/>
    <x v="21"/>
    <x v="4"/>
    <x v="340"/>
    <n v="1"/>
    <n v="338"/>
    <s v="INR_x000d_"/>
    <s v="Own Brand"/>
    <x v="4"/>
    <x v="2"/>
    <x v="21"/>
    <x v="1"/>
    <n v="338"/>
  </r>
  <r>
    <x v="17"/>
    <x v="22"/>
    <x v="4"/>
    <x v="341"/>
    <n v="11"/>
    <n v="24491"/>
    <s v="INR_x000d_"/>
    <s v="Own Brand"/>
    <x v="4"/>
    <x v="2"/>
    <x v="22"/>
    <x v="1"/>
    <n v="24491"/>
  </r>
  <r>
    <x v="17"/>
    <x v="19"/>
    <x v="4"/>
    <x v="342"/>
    <n v="3"/>
    <n v="6125"/>
    <s v="INR_x000d_"/>
    <s v="Own Brand"/>
    <x v="4"/>
    <x v="2"/>
    <x v="19"/>
    <x v="1"/>
    <n v="6125"/>
  </r>
  <r>
    <x v="17"/>
    <x v="22"/>
    <x v="4"/>
    <x v="342"/>
    <n v="72"/>
    <n v="167935"/>
    <s v="INR_x000d_"/>
    <s v="Own Brand"/>
    <x v="4"/>
    <x v="2"/>
    <x v="22"/>
    <x v="1"/>
    <n v="167935"/>
  </r>
  <r>
    <x v="17"/>
    <x v="13"/>
    <x v="4"/>
    <x v="187"/>
    <n v="108"/>
    <n v="226963"/>
    <s v="INR_x000d_"/>
    <s v="Own Brand"/>
    <x v="4"/>
    <x v="2"/>
    <x v="13"/>
    <x v="0"/>
    <n v="226963"/>
  </r>
  <r>
    <x v="17"/>
    <x v="19"/>
    <x v="4"/>
    <x v="187"/>
    <n v="4"/>
    <n v="9190"/>
    <s v="INR_x000d_"/>
    <s v="Own Brand"/>
    <x v="4"/>
    <x v="2"/>
    <x v="19"/>
    <x v="1"/>
    <n v="9190"/>
  </r>
  <r>
    <x v="17"/>
    <x v="19"/>
    <x v="4"/>
    <x v="187"/>
    <n v="67"/>
    <n v="141343"/>
    <s v="INR_x000d_"/>
    <s v="Own Brand"/>
    <x v="4"/>
    <x v="2"/>
    <x v="19"/>
    <x v="1"/>
    <n v="141343"/>
  </r>
  <r>
    <x v="17"/>
    <x v="19"/>
    <x v="4"/>
    <x v="343"/>
    <n v="5"/>
    <n v="12250"/>
    <s v="INR_x000d_"/>
    <s v="Own Brand"/>
    <x v="4"/>
    <x v="2"/>
    <x v="19"/>
    <x v="1"/>
    <n v="12250"/>
  </r>
  <r>
    <x v="17"/>
    <x v="22"/>
    <x v="4"/>
    <x v="344"/>
    <n v="27"/>
    <n v="62977"/>
    <s v="INR_x000d_"/>
    <s v="Own Brand"/>
    <x v="4"/>
    <x v="2"/>
    <x v="22"/>
    <x v="1"/>
    <n v="62977"/>
  </r>
  <r>
    <x v="17"/>
    <x v="19"/>
    <x v="4"/>
    <x v="345"/>
    <n v="1"/>
    <n v="3065"/>
    <s v="INR_x000d_"/>
    <s v="Own Brand"/>
    <x v="4"/>
    <x v="2"/>
    <x v="19"/>
    <x v="1"/>
    <n v="3065"/>
  </r>
  <r>
    <x v="17"/>
    <x v="21"/>
    <x v="4"/>
    <x v="345"/>
    <n v="1"/>
    <n v="338"/>
    <s v="INR_x000d_"/>
    <s v="Own Brand"/>
    <x v="4"/>
    <x v="2"/>
    <x v="21"/>
    <x v="1"/>
    <n v="338"/>
  </r>
  <r>
    <x v="17"/>
    <x v="19"/>
    <x v="4"/>
    <x v="345"/>
    <n v="27"/>
    <n v="56532"/>
    <s v="INR_x000d_"/>
    <s v="Own Brand"/>
    <x v="4"/>
    <x v="2"/>
    <x v="19"/>
    <x v="1"/>
    <n v="56532"/>
  </r>
  <r>
    <x v="17"/>
    <x v="13"/>
    <x v="4"/>
    <x v="346"/>
    <n v="8"/>
    <n v="17458"/>
    <s v="INR_x000d_"/>
    <s v="Own Brand"/>
    <x v="4"/>
    <x v="2"/>
    <x v="13"/>
    <x v="0"/>
    <n v="17458"/>
  </r>
  <r>
    <x v="17"/>
    <x v="19"/>
    <x v="4"/>
    <x v="346"/>
    <n v="12"/>
    <n v="27565"/>
    <s v="INR_x000d_"/>
    <s v="Own Brand"/>
    <x v="4"/>
    <x v="2"/>
    <x v="19"/>
    <x v="1"/>
    <n v="27565"/>
  </r>
  <r>
    <x v="17"/>
    <x v="21"/>
    <x v="4"/>
    <x v="346"/>
    <n v="1"/>
    <n v="338"/>
    <s v="INR_x000d_"/>
    <s v="Own Brand"/>
    <x v="4"/>
    <x v="2"/>
    <x v="21"/>
    <x v="1"/>
    <n v="338"/>
  </r>
  <r>
    <x v="17"/>
    <x v="19"/>
    <x v="4"/>
    <x v="347"/>
    <n v="1"/>
    <n v="3065"/>
    <s v="INR_x000d_"/>
    <s v="Own Brand"/>
    <x v="4"/>
    <x v="2"/>
    <x v="19"/>
    <x v="1"/>
    <n v="3065"/>
  </r>
  <r>
    <x v="17"/>
    <x v="13"/>
    <x v="4"/>
    <x v="348"/>
    <n v="18"/>
    <n v="38065"/>
    <s v="INR_x000d_"/>
    <s v="Own Brand"/>
    <x v="4"/>
    <x v="2"/>
    <x v="13"/>
    <x v="0"/>
    <n v="38065"/>
  </r>
  <r>
    <x v="17"/>
    <x v="20"/>
    <x v="4"/>
    <x v="348"/>
    <n v="1"/>
    <n v="722"/>
    <s v="INR_x000d_"/>
    <s v="Own Brand"/>
    <x v="4"/>
    <x v="2"/>
    <x v="20"/>
    <x v="1"/>
    <n v="722"/>
  </r>
  <r>
    <x v="17"/>
    <x v="19"/>
    <x v="4"/>
    <x v="349"/>
    <n v="1"/>
    <n v="3065"/>
    <s v="INR_x000d_"/>
    <s v="Own Brand"/>
    <x v="4"/>
    <x v="2"/>
    <x v="19"/>
    <x v="1"/>
    <n v="3065"/>
  </r>
  <r>
    <x v="17"/>
    <x v="21"/>
    <x v="4"/>
    <x v="349"/>
    <n v="1"/>
    <n v="338"/>
    <s v="INR_x000d_"/>
    <s v="Own Brand"/>
    <x v="4"/>
    <x v="2"/>
    <x v="21"/>
    <x v="1"/>
    <n v="338"/>
  </r>
  <r>
    <x v="17"/>
    <x v="19"/>
    <x v="4"/>
    <x v="350"/>
    <n v="13"/>
    <n v="28269"/>
    <s v="INR_x000d_"/>
    <s v="Own Brand"/>
    <x v="4"/>
    <x v="2"/>
    <x v="19"/>
    <x v="1"/>
    <n v="28269"/>
  </r>
  <r>
    <x v="17"/>
    <x v="19"/>
    <x v="4"/>
    <x v="351"/>
    <n v="12"/>
    <n v="27565"/>
    <s v="INR_x000d_"/>
    <s v="Own Brand"/>
    <x v="4"/>
    <x v="2"/>
    <x v="19"/>
    <x v="1"/>
    <n v="27565"/>
  </r>
  <r>
    <x v="17"/>
    <x v="19"/>
    <x v="4"/>
    <x v="352"/>
    <n v="13"/>
    <n v="28269"/>
    <s v="INR_x000d_"/>
    <s v="Own Brand"/>
    <x v="4"/>
    <x v="2"/>
    <x v="19"/>
    <x v="1"/>
    <n v="28269"/>
  </r>
  <r>
    <x v="17"/>
    <x v="13"/>
    <x v="4"/>
    <x v="353"/>
    <n v="20"/>
    <n v="41898"/>
    <s v="INR_x000d_"/>
    <s v="Own Brand"/>
    <x v="4"/>
    <x v="2"/>
    <x v="13"/>
    <x v="0"/>
    <n v="41898"/>
  </r>
  <r>
    <x v="17"/>
    <x v="19"/>
    <x v="4"/>
    <x v="353"/>
    <n v="12"/>
    <n v="27565"/>
    <s v="INR_x000d_"/>
    <s v="Own Brand"/>
    <x v="4"/>
    <x v="2"/>
    <x v="19"/>
    <x v="1"/>
    <n v="27565"/>
  </r>
  <r>
    <x v="17"/>
    <x v="22"/>
    <x v="4"/>
    <x v="354"/>
    <n v="45"/>
    <n v="104958"/>
    <s v="INR_x000d_"/>
    <s v="Own Brand"/>
    <x v="4"/>
    <x v="2"/>
    <x v="22"/>
    <x v="1"/>
    <n v="104958"/>
  </r>
  <r>
    <x v="17"/>
    <x v="20"/>
    <x v="4"/>
    <x v="354"/>
    <n v="1"/>
    <n v="722"/>
    <s v="INR_x000d_"/>
    <s v="Own Brand"/>
    <x v="4"/>
    <x v="2"/>
    <x v="20"/>
    <x v="1"/>
    <n v="722"/>
  </r>
  <r>
    <x v="17"/>
    <x v="19"/>
    <x v="4"/>
    <x v="355"/>
    <n v="13"/>
    <n v="28269"/>
    <s v="INR_x000d_"/>
    <s v="Own Brand"/>
    <x v="4"/>
    <x v="2"/>
    <x v="19"/>
    <x v="1"/>
    <n v="28269"/>
  </r>
  <r>
    <x v="17"/>
    <x v="19"/>
    <x v="4"/>
    <x v="51"/>
    <n v="53"/>
    <n v="113074"/>
    <s v="INR_x000d_"/>
    <s v="Own Brand"/>
    <x v="4"/>
    <x v="2"/>
    <x v="19"/>
    <x v="1"/>
    <n v="113074"/>
  </r>
  <r>
    <x v="17"/>
    <x v="13"/>
    <x v="4"/>
    <x v="188"/>
    <n v="55"/>
    <n v="115921"/>
    <s v="INR_x000d_"/>
    <s v="Own Brand"/>
    <x v="4"/>
    <x v="2"/>
    <x v="13"/>
    <x v="0"/>
    <n v="115921"/>
  </r>
  <r>
    <x v="17"/>
    <x v="22"/>
    <x v="4"/>
    <x v="188"/>
    <n v="24"/>
    <n v="55977"/>
    <s v="INR_x000d_"/>
    <s v="Own Brand"/>
    <x v="4"/>
    <x v="2"/>
    <x v="22"/>
    <x v="1"/>
    <n v="55977"/>
  </r>
  <r>
    <x v="17"/>
    <x v="22"/>
    <x v="4"/>
    <x v="356"/>
    <n v="45"/>
    <n v="104958"/>
    <s v="INR_x000d_"/>
    <s v="Own Brand"/>
    <x v="4"/>
    <x v="2"/>
    <x v="22"/>
    <x v="1"/>
    <n v="104958"/>
  </r>
  <r>
    <x v="17"/>
    <x v="19"/>
    <x v="4"/>
    <x v="357"/>
    <n v="8"/>
    <n v="18375"/>
    <s v="INR_x000d_"/>
    <s v="Own Brand"/>
    <x v="4"/>
    <x v="2"/>
    <x v="19"/>
    <x v="1"/>
    <n v="18375"/>
  </r>
  <r>
    <x v="17"/>
    <x v="22"/>
    <x v="4"/>
    <x v="357"/>
    <n v="18"/>
    <n v="41981"/>
    <s v="INR_x000d_"/>
    <s v="Own Brand"/>
    <x v="4"/>
    <x v="2"/>
    <x v="22"/>
    <x v="1"/>
    <n v="41981"/>
  </r>
  <r>
    <x v="17"/>
    <x v="19"/>
    <x v="4"/>
    <x v="357"/>
    <n v="13"/>
    <n v="28269"/>
    <s v="INR_x000d_"/>
    <s v="Own Brand"/>
    <x v="4"/>
    <x v="2"/>
    <x v="19"/>
    <x v="1"/>
    <n v="28269"/>
  </r>
  <r>
    <x v="17"/>
    <x v="20"/>
    <x v="4"/>
    <x v="357"/>
    <n v="1"/>
    <n v="722"/>
    <s v="INR_x000d_"/>
    <s v="Own Brand"/>
    <x v="4"/>
    <x v="2"/>
    <x v="20"/>
    <x v="1"/>
    <n v="722"/>
  </r>
  <r>
    <x v="17"/>
    <x v="13"/>
    <x v="4"/>
    <x v="52"/>
    <n v="15"/>
    <n v="31421"/>
    <s v="INR_x000d_"/>
    <s v="Own Brand"/>
    <x v="4"/>
    <x v="2"/>
    <x v="13"/>
    <x v="0"/>
    <n v="31421"/>
  </r>
  <r>
    <x v="17"/>
    <x v="13"/>
    <x v="4"/>
    <x v="156"/>
    <n v="34"/>
    <n v="71231"/>
    <s v="INR_x000d_"/>
    <s v="Own Brand"/>
    <x v="4"/>
    <x v="2"/>
    <x v="13"/>
    <x v="0"/>
    <n v="71231"/>
  </r>
  <r>
    <x v="17"/>
    <x v="20"/>
    <x v="4"/>
    <x v="358"/>
    <n v="1"/>
    <n v="722"/>
    <s v="INR_x000d_"/>
    <s v="Own Brand"/>
    <x v="4"/>
    <x v="2"/>
    <x v="20"/>
    <x v="1"/>
    <n v="722"/>
  </r>
  <r>
    <x v="17"/>
    <x v="19"/>
    <x v="4"/>
    <x v="359"/>
    <n v="11"/>
    <n v="24500"/>
    <s v="INR_x000d_"/>
    <s v="Own Brand"/>
    <x v="4"/>
    <x v="2"/>
    <x v="19"/>
    <x v="1"/>
    <n v="24500"/>
  </r>
  <r>
    <x v="17"/>
    <x v="22"/>
    <x v="4"/>
    <x v="359"/>
    <n v="15"/>
    <n v="34986"/>
    <s v="INR_x000d_"/>
    <s v="Own Brand"/>
    <x v="4"/>
    <x v="2"/>
    <x v="22"/>
    <x v="1"/>
    <n v="34986"/>
  </r>
  <r>
    <x v="17"/>
    <x v="19"/>
    <x v="4"/>
    <x v="359"/>
    <n v="13"/>
    <n v="28269"/>
    <s v="INR_x000d_"/>
    <s v="Own Brand"/>
    <x v="4"/>
    <x v="2"/>
    <x v="19"/>
    <x v="1"/>
    <n v="28269"/>
  </r>
  <r>
    <x v="17"/>
    <x v="13"/>
    <x v="4"/>
    <x v="53"/>
    <n v="26"/>
    <n v="55167"/>
    <s v="INR_x000d_"/>
    <s v="Own Brand"/>
    <x v="4"/>
    <x v="2"/>
    <x v="13"/>
    <x v="0"/>
    <n v="55167"/>
  </r>
  <r>
    <x v="17"/>
    <x v="19"/>
    <x v="4"/>
    <x v="53"/>
    <n v="13"/>
    <n v="28269"/>
    <s v="INR_x000d_"/>
    <s v="Own Brand"/>
    <x v="4"/>
    <x v="2"/>
    <x v="19"/>
    <x v="1"/>
    <n v="28269"/>
  </r>
  <r>
    <x v="17"/>
    <x v="22"/>
    <x v="4"/>
    <x v="360"/>
    <n v="8"/>
    <n v="17495"/>
    <s v="INR_x000d_"/>
    <s v="Own Brand"/>
    <x v="4"/>
    <x v="2"/>
    <x v="22"/>
    <x v="1"/>
    <n v="17495"/>
  </r>
  <r>
    <x v="17"/>
    <x v="19"/>
    <x v="4"/>
    <x v="361"/>
    <n v="5"/>
    <n v="12250"/>
    <s v="INR_x000d_"/>
    <s v="Own Brand"/>
    <x v="4"/>
    <x v="2"/>
    <x v="19"/>
    <x v="1"/>
    <n v="12250"/>
  </r>
  <r>
    <x v="17"/>
    <x v="19"/>
    <x v="4"/>
    <x v="361"/>
    <n v="13"/>
    <n v="28269"/>
    <s v="INR_x000d_"/>
    <s v="Own Brand"/>
    <x v="4"/>
    <x v="2"/>
    <x v="19"/>
    <x v="1"/>
    <n v="28269"/>
  </r>
  <r>
    <x v="17"/>
    <x v="19"/>
    <x v="4"/>
    <x v="362"/>
    <n v="12"/>
    <n v="27565"/>
    <s v="INR_x000d_"/>
    <s v="Own Brand"/>
    <x v="4"/>
    <x v="2"/>
    <x v="19"/>
    <x v="1"/>
    <n v="27565"/>
  </r>
  <r>
    <x v="17"/>
    <x v="19"/>
    <x v="4"/>
    <x v="363"/>
    <n v="7"/>
    <n v="15315"/>
    <s v="INR_x000d_"/>
    <s v="Own Brand"/>
    <x v="4"/>
    <x v="2"/>
    <x v="19"/>
    <x v="1"/>
    <n v="15315"/>
  </r>
  <r>
    <x v="17"/>
    <x v="22"/>
    <x v="4"/>
    <x v="363"/>
    <n v="6"/>
    <n v="13995"/>
    <s v="INR_x000d_"/>
    <s v="Own Brand"/>
    <x v="4"/>
    <x v="2"/>
    <x v="22"/>
    <x v="1"/>
    <n v="13995"/>
  </r>
  <r>
    <x v="17"/>
    <x v="19"/>
    <x v="4"/>
    <x v="363"/>
    <n v="13"/>
    <n v="28269"/>
    <s v="INR_x000d_"/>
    <s v="Own Brand"/>
    <x v="4"/>
    <x v="2"/>
    <x v="19"/>
    <x v="1"/>
    <n v="28269"/>
  </r>
  <r>
    <x v="17"/>
    <x v="13"/>
    <x v="4"/>
    <x v="54"/>
    <n v="62"/>
    <n v="129546"/>
    <s v="INR_x000d_"/>
    <s v="Own Brand"/>
    <x v="4"/>
    <x v="2"/>
    <x v="13"/>
    <x v="0"/>
    <n v="129546"/>
  </r>
  <r>
    <x v="17"/>
    <x v="19"/>
    <x v="4"/>
    <x v="54"/>
    <n v="4"/>
    <n v="9190"/>
    <s v="INR_x000d_"/>
    <s v="Own Brand"/>
    <x v="4"/>
    <x v="2"/>
    <x v="19"/>
    <x v="1"/>
    <n v="9190"/>
  </r>
  <r>
    <x v="17"/>
    <x v="19"/>
    <x v="4"/>
    <x v="54"/>
    <n v="13"/>
    <n v="28269"/>
    <s v="INR_x000d_"/>
    <s v="Own Brand"/>
    <x v="4"/>
    <x v="2"/>
    <x v="19"/>
    <x v="1"/>
    <n v="28269"/>
  </r>
  <r>
    <x v="17"/>
    <x v="19"/>
    <x v="4"/>
    <x v="364"/>
    <n v="3"/>
    <n v="6125"/>
    <s v="INR_x000d_"/>
    <s v="Own Brand"/>
    <x v="4"/>
    <x v="2"/>
    <x v="19"/>
    <x v="1"/>
    <n v="6125"/>
  </r>
  <r>
    <x v="17"/>
    <x v="22"/>
    <x v="4"/>
    <x v="364"/>
    <n v="8"/>
    <n v="17495"/>
    <s v="INR_x000d_"/>
    <s v="Own Brand"/>
    <x v="4"/>
    <x v="2"/>
    <x v="22"/>
    <x v="1"/>
    <n v="174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C59696-91F8-4805-BC30-016568E28D5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0:B59" firstHeaderRow="1" firstDataRow="1" firstDataCol="1"/>
  <pivotFields count="16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5">
        <item x="0"/>
        <item x="17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t="default"/>
      </items>
    </pivotField>
    <pivotField showAll="0">
      <items count="8">
        <item x="0"/>
        <item x="4"/>
        <item x="1"/>
        <item x="2"/>
        <item x="3"/>
        <item x="5"/>
        <item x="6"/>
        <item t="default"/>
      </items>
    </pivotField>
    <pivotField numFmtId="14" showAll="0">
      <items count="366">
        <item x="235"/>
        <item x="160"/>
        <item x="25"/>
        <item x="0"/>
        <item x="200"/>
        <item x="236"/>
        <item x="26"/>
        <item x="201"/>
        <item x="214"/>
        <item x="161"/>
        <item x="202"/>
        <item x="106"/>
        <item x="107"/>
        <item x="27"/>
        <item x="108"/>
        <item x="203"/>
        <item x="28"/>
        <item x="29"/>
        <item x="204"/>
        <item x="30"/>
        <item x="205"/>
        <item x="31"/>
        <item x="32"/>
        <item x="4"/>
        <item x="215"/>
        <item x="5"/>
        <item x="6"/>
        <item x="112"/>
        <item x="7"/>
        <item x="8"/>
        <item x="9"/>
        <item x="10"/>
        <item x="212"/>
        <item x="13"/>
        <item x="206"/>
        <item x="237"/>
        <item x="238"/>
        <item x="33"/>
        <item x="34"/>
        <item x="109"/>
        <item x="239"/>
        <item x="207"/>
        <item x="35"/>
        <item x="11"/>
        <item x="240"/>
        <item x="241"/>
        <item x="36"/>
        <item x="37"/>
        <item x="242"/>
        <item x="38"/>
        <item x="39"/>
        <item x="216"/>
        <item x="208"/>
        <item x="243"/>
        <item x="252"/>
        <item x="40"/>
        <item x="244"/>
        <item x="245"/>
        <item x="246"/>
        <item x="209"/>
        <item x="162"/>
        <item x="210"/>
        <item x="110"/>
        <item x="211"/>
        <item x="163"/>
        <item x="41"/>
        <item x="217"/>
        <item x="42"/>
        <item x="164"/>
        <item x="165"/>
        <item x="166"/>
        <item x="167"/>
        <item x="253"/>
        <item x="254"/>
        <item x="255"/>
        <item x="168"/>
        <item x="256"/>
        <item x="257"/>
        <item x="258"/>
        <item x="259"/>
        <item x="213"/>
        <item x="260"/>
        <item x="261"/>
        <item x="262"/>
        <item x="263"/>
        <item x="169"/>
        <item x="264"/>
        <item x="1"/>
        <item x="170"/>
        <item x="247"/>
        <item x="2"/>
        <item x="265"/>
        <item x="171"/>
        <item x="266"/>
        <item x="267"/>
        <item x="248"/>
        <item x="268"/>
        <item x="127"/>
        <item x="172"/>
        <item x="173"/>
        <item x="174"/>
        <item x="269"/>
        <item x="128"/>
        <item x="129"/>
        <item x="130"/>
        <item x="249"/>
        <item x="131"/>
        <item x="132"/>
        <item x="175"/>
        <item x="250"/>
        <item x="133"/>
        <item x="134"/>
        <item x="135"/>
        <item x="270"/>
        <item x="271"/>
        <item x="136"/>
        <item x="137"/>
        <item x="138"/>
        <item x="139"/>
        <item x="140"/>
        <item x="141"/>
        <item x="142"/>
        <item x="143"/>
        <item x="251"/>
        <item x="199"/>
        <item x="144"/>
        <item x="145"/>
        <item x="146"/>
        <item x="147"/>
        <item x="272"/>
        <item x="148"/>
        <item x="149"/>
        <item x="150"/>
        <item x="3"/>
        <item x="273"/>
        <item x="274"/>
        <item x="151"/>
        <item x="176"/>
        <item x="275"/>
        <item x="276"/>
        <item x="218"/>
        <item x="14"/>
        <item x="15"/>
        <item x="16"/>
        <item x="17"/>
        <item x="277"/>
        <item x="18"/>
        <item x="177"/>
        <item x="278"/>
        <item x="219"/>
        <item x="279"/>
        <item x="19"/>
        <item x="280"/>
        <item x="281"/>
        <item x="152"/>
        <item x="153"/>
        <item x="178"/>
        <item x="154"/>
        <item x="220"/>
        <item x="221"/>
        <item x="222"/>
        <item x="179"/>
        <item x="155"/>
        <item x="223"/>
        <item x="224"/>
        <item x="225"/>
        <item x="43"/>
        <item x="282"/>
        <item x="12"/>
        <item x="283"/>
        <item x="284"/>
        <item x="226"/>
        <item x="285"/>
        <item x="286"/>
        <item x="227"/>
        <item x="287"/>
        <item x="288"/>
        <item x="289"/>
        <item x="290"/>
        <item x="291"/>
        <item x="44"/>
        <item x="292"/>
        <item x="293"/>
        <item x="294"/>
        <item x="295"/>
        <item x="296"/>
        <item x="297"/>
        <item x="298"/>
        <item x="299"/>
        <item x="228"/>
        <item x="229"/>
        <item x="300"/>
        <item x="301"/>
        <item x="302"/>
        <item x="303"/>
        <item x="45"/>
        <item x="304"/>
        <item x="305"/>
        <item x="306"/>
        <item x="46"/>
        <item x="307"/>
        <item x="308"/>
        <item x="309"/>
        <item x="310"/>
        <item x="311"/>
        <item x="312"/>
        <item x="180"/>
        <item x="313"/>
        <item x="181"/>
        <item x="314"/>
        <item x="111"/>
        <item x="315"/>
        <item x="316"/>
        <item x="317"/>
        <item x="182"/>
        <item x="183"/>
        <item x="318"/>
        <item x="319"/>
        <item x="184"/>
        <item x="320"/>
        <item x="321"/>
        <item x="185"/>
        <item x="186"/>
        <item x="322"/>
        <item x="323"/>
        <item x="47"/>
        <item x="324"/>
        <item x="325"/>
        <item x="113"/>
        <item x="326"/>
        <item x="48"/>
        <item x="327"/>
        <item x="328"/>
        <item x="329"/>
        <item x="330"/>
        <item x="331"/>
        <item x="332"/>
        <item x="333"/>
        <item x="334"/>
        <item x="335"/>
        <item x="336"/>
        <item x="49"/>
        <item x="337"/>
        <item x="338"/>
        <item x="339"/>
        <item x="50"/>
        <item x="340"/>
        <item x="341"/>
        <item x="342"/>
        <item x="187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51"/>
        <item x="188"/>
        <item x="356"/>
        <item x="357"/>
        <item x="52"/>
        <item x="156"/>
        <item x="358"/>
        <item x="230"/>
        <item x="359"/>
        <item x="53"/>
        <item x="360"/>
        <item x="361"/>
        <item x="362"/>
        <item x="363"/>
        <item x="54"/>
        <item x="364"/>
        <item x="157"/>
        <item x="55"/>
        <item x="56"/>
        <item x="57"/>
        <item x="158"/>
        <item x="58"/>
        <item x="59"/>
        <item x="159"/>
        <item x="60"/>
        <item x="61"/>
        <item x="62"/>
        <item x="63"/>
        <item x="64"/>
        <item x="65"/>
        <item x="231"/>
        <item x="66"/>
        <item x="67"/>
        <item x="114"/>
        <item x="115"/>
        <item x="116"/>
        <item x="117"/>
        <item x="118"/>
        <item x="68"/>
        <item x="119"/>
        <item x="120"/>
        <item x="121"/>
        <item x="20"/>
        <item x="122"/>
        <item x="123"/>
        <item x="124"/>
        <item x="69"/>
        <item x="125"/>
        <item x="126"/>
        <item x="70"/>
        <item x="71"/>
        <item x="72"/>
        <item x="73"/>
        <item x="189"/>
        <item x="74"/>
        <item x="75"/>
        <item x="21"/>
        <item x="22"/>
        <item x="76"/>
        <item x="77"/>
        <item x="78"/>
        <item x="232"/>
        <item x="79"/>
        <item x="80"/>
        <item x="81"/>
        <item x="82"/>
        <item x="23"/>
        <item x="83"/>
        <item x="84"/>
        <item x="24"/>
        <item x="190"/>
        <item x="85"/>
        <item x="233"/>
        <item x="191"/>
        <item x="192"/>
        <item x="193"/>
        <item x="86"/>
        <item x="194"/>
        <item x="195"/>
        <item x="234"/>
        <item x="87"/>
        <item x="88"/>
        <item x="196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97"/>
        <item x="198"/>
        <item t="default"/>
      </items>
    </pivotField>
    <pivotField showAll="0"/>
    <pivotField dataField="1" showAll="0"/>
    <pivotField showAll="0"/>
    <pivotField showAll="0"/>
    <pivotField showAll="0">
      <items count="8">
        <item x="1"/>
        <item x="5"/>
        <item x="0"/>
        <item x="2"/>
        <item x="3"/>
        <item x="6"/>
        <item x="4"/>
        <item t="default"/>
      </items>
    </pivotField>
    <pivotField showAll="0"/>
    <pivotField showAll="0" measureFilter="1">
      <items count="25">
        <item x="6"/>
        <item x="8"/>
        <item x="4"/>
        <item x="19"/>
        <item x="15"/>
        <item x="7"/>
        <item x="14"/>
        <item x="1"/>
        <item x="9"/>
        <item x="12"/>
        <item x="5"/>
        <item x="23"/>
        <item x="10"/>
        <item x="13"/>
        <item x="18"/>
        <item x="16"/>
        <item x="17"/>
        <item x="22"/>
        <item x="21"/>
        <item x="3"/>
        <item x="20"/>
        <item x="2"/>
        <item x="0"/>
        <item x="11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sales_amount" fld="5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AE418-78F2-433B-9F19-1616993200F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2:B35" firstHeaderRow="1" firstDataRow="1" firstDataCol="1"/>
  <pivotFields count="16">
    <pivotField showAll="0"/>
    <pivotField showAll="0">
      <items count="25">
        <item x="0"/>
        <item x="17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t="default"/>
      </items>
    </pivotField>
    <pivotField showAll="0">
      <items count="8">
        <item x="0"/>
        <item x="4"/>
        <item x="1"/>
        <item x="2"/>
        <item x="3"/>
        <item x="5"/>
        <item x="6"/>
        <item t="default"/>
      </items>
    </pivotField>
    <pivotField numFmtId="14" showAll="0">
      <items count="366">
        <item x="235"/>
        <item x="160"/>
        <item x="25"/>
        <item x="0"/>
        <item x="200"/>
        <item x="236"/>
        <item x="26"/>
        <item x="201"/>
        <item x="214"/>
        <item x="161"/>
        <item x="202"/>
        <item x="106"/>
        <item x="107"/>
        <item x="27"/>
        <item x="108"/>
        <item x="203"/>
        <item x="28"/>
        <item x="29"/>
        <item x="204"/>
        <item x="30"/>
        <item x="205"/>
        <item x="31"/>
        <item x="32"/>
        <item x="4"/>
        <item x="215"/>
        <item x="5"/>
        <item x="6"/>
        <item x="112"/>
        <item x="7"/>
        <item x="8"/>
        <item x="9"/>
        <item x="10"/>
        <item x="212"/>
        <item x="13"/>
        <item x="206"/>
        <item x="237"/>
        <item x="238"/>
        <item x="33"/>
        <item x="34"/>
        <item x="109"/>
        <item x="239"/>
        <item x="207"/>
        <item x="35"/>
        <item x="11"/>
        <item x="240"/>
        <item x="241"/>
        <item x="36"/>
        <item x="37"/>
        <item x="242"/>
        <item x="38"/>
        <item x="39"/>
        <item x="216"/>
        <item x="208"/>
        <item x="243"/>
        <item x="252"/>
        <item x="40"/>
        <item x="244"/>
        <item x="245"/>
        <item x="246"/>
        <item x="209"/>
        <item x="162"/>
        <item x="210"/>
        <item x="110"/>
        <item x="211"/>
        <item x="163"/>
        <item x="41"/>
        <item x="217"/>
        <item x="42"/>
        <item x="164"/>
        <item x="165"/>
        <item x="166"/>
        <item x="167"/>
        <item x="253"/>
        <item x="254"/>
        <item x="255"/>
        <item x="168"/>
        <item x="256"/>
        <item x="257"/>
        <item x="258"/>
        <item x="259"/>
        <item x="213"/>
        <item x="260"/>
        <item x="261"/>
        <item x="262"/>
        <item x="263"/>
        <item x="169"/>
        <item x="264"/>
        <item x="1"/>
        <item x="170"/>
        <item x="247"/>
        <item x="2"/>
        <item x="265"/>
        <item x="171"/>
        <item x="266"/>
        <item x="267"/>
        <item x="248"/>
        <item x="268"/>
        <item x="127"/>
        <item x="172"/>
        <item x="173"/>
        <item x="174"/>
        <item x="269"/>
        <item x="128"/>
        <item x="129"/>
        <item x="130"/>
        <item x="249"/>
        <item x="131"/>
        <item x="132"/>
        <item x="175"/>
        <item x="250"/>
        <item x="133"/>
        <item x="134"/>
        <item x="135"/>
        <item x="270"/>
        <item x="271"/>
        <item x="136"/>
        <item x="137"/>
        <item x="138"/>
        <item x="139"/>
        <item x="140"/>
        <item x="141"/>
        <item x="142"/>
        <item x="143"/>
        <item x="251"/>
        <item x="199"/>
        <item x="144"/>
        <item x="145"/>
        <item x="146"/>
        <item x="147"/>
        <item x="272"/>
        <item x="148"/>
        <item x="149"/>
        <item x="150"/>
        <item x="3"/>
        <item x="273"/>
        <item x="274"/>
        <item x="151"/>
        <item x="176"/>
        <item x="275"/>
        <item x="276"/>
        <item x="218"/>
        <item x="14"/>
        <item x="15"/>
        <item x="16"/>
        <item x="17"/>
        <item x="277"/>
        <item x="18"/>
        <item x="177"/>
        <item x="278"/>
        <item x="219"/>
        <item x="279"/>
        <item x="19"/>
        <item x="280"/>
        <item x="281"/>
        <item x="152"/>
        <item x="153"/>
        <item x="178"/>
        <item x="154"/>
        <item x="220"/>
        <item x="221"/>
        <item x="222"/>
        <item x="179"/>
        <item x="155"/>
        <item x="223"/>
        <item x="224"/>
        <item x="225"/>
        <item x="43"/>
        <item x="282"/>
        <item x="12"/>
        <item x="283"/>
        <item x="284"/>
        <item x="226"/>
        <item x="285"/>
        <item x="286"/>
        <item x="227"/>
        <item x="287"/>
        <item x="288"/>
        <item x="289"/>
        <item x="290"/>
        <item x="291"/>
        <item x="44"/>
        <item x="292"/>
        <item x="293"/>
        <item x="294"/>
        <item x="295"/>
        <item x="296"/>
        <item x="297"/>
        <item x="298"/>
        <item x="299"/>
        <item x="228"/>
        <item x="229"/>
        <item x="300"/>
        <item x="301"/>
        <item x="302"/>
        <item x="303"/>
        <item x="45"/>
        <item x="304"/>
        <item x="305"/>
        <item x="306"/>
        <item x="46"/>
        <item x="307"/>
        <item x="308"/>
        <item x="309"/>
        <item x="310"/>
        <item x="311"/>
        <item x="312"/>
        <item x="180"/>
        <item x="313"/>
        <item x="181"/>
        <item x="314"/>
        <item x="111"/>
        <item x="315"/>
        <item x="316"/>
        <item x="317"/>
        <item x="182"/>
        <item x="183"/>
        <item x="318"/>
        <item x="319"/>
        <item x="184"/>
        <item x="320"/>
        <item x="321"/>
        <item x="185"/>
        <item x="186"/>
        <item x="322"/>
        <item x="323"/>
        <item x="47"/>
        <item x="324"/>
        <item x="325"/>
        <item x="113"/>
        <item x="326"/>
        <item x="48"/>
        <item x="327"/>
        <item x="328"/>
        <item x="329"/>
        <item x="330"/>
        <item x="331"/>
        <item x="332"/>
        <item x="333"/>
        <item x="334"/>
        <item x="335"/>
        <item x="336"/>
        <item x="49"/>
        <item x="337"/>
        <item x="338"/>
        <item x="339"/>
        <item x="50"/>
        <item x="340"/>
        <item x="341"/>
        <item x="342"/>
        <item x="187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51"/>
        <item x="188"/>
        <item x="356"/>
        <item x="357"/>
        <item x="52"/>
        <item x="156"/>
        <item x="358"/>
        <item x="230"/>
        <item x="359"/>
        <item x="53"/>
        <item x="360"/>
        <item x="361"/>
        <item x="362"/>
        <item x="363"/>
        <item x="54"/>
        <item x="364"/>
        <item x="157"/>
        <item x="55"/>
        <item x="56"/>
        <item x="57"/>
        <item x="158"/>
        <item x="58"/>
        <item x="59"/>
        <item x="159"/>
        <item x="60"/>
        <item x="61"/>
        <item x="62"/>
        <item x="63"/>
        <item x="64"/>
        <item x="65"/>
        <item x="231"/>
        <item x="66"/>
        <item x="67"/>
        <item x="114"/>
        <item x="115"/>
        <item x="116"/>
        <item x="117"/>
        <item x="118"/>
        <item x="68"/>
        <item x="119"/>
        <item x="120"/>
        <item x="121"/>
        <item x="20"/>
        <item x="122"/>
        <item x="123"/>
        <item x="124"/>
        <item x="69"/>
        <item x="125"/>
        <item x="126"/>
        <item x="70"/>
        <item x="71"/>
        <item x="72"/>
        <item x="73"/>
        <item x="189"/>
        <item x="74"/>
        <item x="75"/>
        <item x="21"/>
        <item x="22"/>
        <item x="76"/>
        <item x="77"/>
        <item x="78"/>
        <item x="232"/>
        <item x="79"/>
        <item x="80"/>
        <item x="81"/>
        <item x="82"/>
        <item x="23"/>
        <item x="83"/>
        <item x="84"/>
        <item x="24"/>
        <item x="190"/>
        <item x="85"/>
        <item x="233"/>
        <item x="191"/>
        <item x="192"/>
        <item x="193"/>
        <item x="86"/>
        <item x="194"/>
        <item x="195"/>
        <item x="234"/>
        <item x="87"/>
        <item x="88"/>
        <item x="196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97"/>
        <item x="198"/>
        <item t="default"/>
      </items>
    </pivotField>
    <pivotField showAll="0"/>
    <pivotField dataField="1" showAll="0"/>
    <pivotField showAll="0"/>
    <pivotField showAll="0"/>
    <pivotField showAll="0">
      <items count="8">
        <item x="1"/>
        <item x="5"/>
        <item x="0"/>
        <item x="2"/>
        <item x="3"/>
        <item x="6"/>
        <item x="4"/>
        <item t="default"/>
      </items>
    </pivotField>
    <pivotField showAll="0"/>
    <pivotField showAll="0" measureFilter="1">
      <items count="25">
        <item x="6"/>
        <item x="8"/>
        <item x="4"/>
        <item x="19"/>
        <item x="15"/>
        <item x="7"/>
        <item x="14"/>
        <item x="1"/>
        <item x="9"/>
        <item x="12"/>
        <item x="5"/>
        <item x="23"/>
        <item x="10"/>
        <item x="13"/>
        <item x="18"/>
        <item x="16"/>
        <item x="17"/>
        <item x="22"/>
        <item x="21"/>
        <item x="3"/>
        <item x="20"/>
        <item x="2"/>
        <item x="0"/>
        <item x="1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Sum of sales_amount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BE1E09-26AC-4F47-9D14-A47C30D74D2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1:B27" firstHeaderRow="1" firstDataRow="1" firstDataCol="1"/>
  <pivotFields count="16">
    <pivotField showAll="0"/>
    <pivotField showAll="0">
      <items count="25">
        <item x="0"/>
        <item x="17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t="default"/>
      </items>
    </pivotField>
    <pivotField showAll="0">
      <items count="8">
        <item x="0"/>
        <item x="4"/>
        <item x="1"/>
        <item x="2"/>
        <item x="3"/>
        <item x="5"/>
        <item x="6"/>
        <item t="default"/>
      </items>
    </pivotField>
    <pivotField numFmtId="14" showAll="0">
      <items count="366">
        <item x="235"/>
        <item x="160"/>
        <item x="25"/>
        <item x="0"/>
        <item x="200"/>
        <item x="236"/>
        <item x="26"/>
        <item x="201"/>
        <item x="214"/>
        <item x="161"/>
        <item x="202"/>
        <item x="106"/>
        <item x="107"/>
        <item x="27"/>
        <item x="108"/>
        <item x="203"/>
        <item x="28"/>
        <item x="29"/>
        <item x="204"/>
        <item x="30"/>
        <item x="205"/>
        <item x="31"/>
        <item x="32"/>
        <item x="4"/>
        <item x="215"/>
        <item x="5"/>
        <item x="6"/>
        <item x="112"/>
        <item x="7"/>
        <item x="8"/>
        <item x="9"/>
        <item x="10"/>
        <item x="212"/>
        <item x="13"/>
        <item x="206"/>
        <item x="237"/>
        <item x="238"/>
        <item x="33"/>
        <item x="34"/>
        <item x="109"/>
        <item x="239"/>
        <item x="207"/>
        <item x="35"/>
        <item x="11"/>
        <item x="240"/>
        <item x="241"/>
        <item x="36"/>
        <item x="37"/>
        <item x="242"/>
        <item x="38"/>
        <item x="39"/>
        <item x="216"/>
        <item x="208"/>
        <item x="243"/>
        <item x="252"/>
        <item x="40"/>
        <item x="244"/>
        <item x="245"/>
        <item x="246"/>
        <item x="209"/>
        <item x="162"/>
        <item x="210"/>
        <item x="110"/>
        <item x="211"/>
        <item x="163"/>
        <item x="41"/>
        <item x="217"/>
        <item x="42"/>
        <item x="164"/>
        <item x="165"/>
        <item x="166"/>
        <item x="167"/>
        <item x="253"/>
        <item x="254"/>
        <item x="255"/>
        <item x="168"/>
        <item x="256"/>
        <item x="257"/>
        <item x="258"/>
        <item x="259"/>
        <item x="213"/>
        <item x="260"/>
        <item x="261"/>
        <item x="262"/>
        <item x="263"/>
        <item x="169"/>
        <item x="264"/>
        <item x="1"/>
        <item x="170"/>
        <item x="247"/>
        <item x="2"/>
        <item x="265"/>
        <item x="171"/>
        <item x="266"/>
        <item x="267"/>
        <item x="248"/>
        <item x="268"/>
        <item x="127"/>
        <item x="172"/>
        <item x="173"/>
        <item x="174"/>
        <item x="269"/>
        <item x="128"/>
        <item x="129"/>
        <item x="130"/>
        <item x="249"/>
        <item x="131"/>
        <item x="132"/>
        <item x="175"/>
        <item x="250"/>
        <item x="133"/>
        <item x="134"/>
        <item x="135"/>
        <item x="270"/>
        <item x="271"/>
        <item x="136"/>
        <item x="137"/>
        <item x="138"/>
        <item x="139"/>
        <item x="140"/>
        <item x="141"/>
        <item x="142"/>
        <item x="143"/>
        <item x="251"/>
        <item x="199"/>
        <item x="144"/>
        <item x="145"/>
        <item x="146"/>
        <item x="147"/>
        <item x="272"/>
        <item x="148"/>
        <item x="149"/>
        <item x="150"/>
        <item x="3"/>
        <item x="273"/>
        <item x="274"/>
        <item x="151"/>
        <item x="176"/>
        <item x="275"/>
        <item x="276"/>
        <item x="218"/>
        <item x="14"/>
        <item x="15"/>
        <item x="16"/>
        <item x="17"/>
        <item x="277"/>
        <item x="18"/>
        <item x="177"/>
        <item x="278"/>
        <item x="219"/>
        <item x="279"/>
        <item x="19"/>
        <item x="280"/>
        <item x="281"/>
        <item x="152"/>
        <item x="153"/>
        <item x="178"/>
        <item x="154"/>
        <item x="220"/>
        <item x="221"/>
        <item x="222"/>
        <item x="179"/>
        <item x="155"/>
        <item x="223"/>
        <item x="224"/>
        <item x="225"/>
        <item x="43"/>
        <item x="282"/>
        <item x="12"/>
        <item x="283"/>
        <item x="284"/>
        <item x="226"/>
        <item x="285"/>
        <item x="286"/>
        <item x="227"/>
        <item x="287"/>
        <item x="288"/>
        <item x="289"/>
        <item x="290"/>
        <item x="291"/>
        <item x="44"/>
        <item x="292"/>
        <item x="293"/>
        <item x="294"/>
        <item x="295"/>
        <item x="296"/>
        <item x="297"/>
        <item x="298"/>
        <item x="299"/>
        <item x="228"/>
        <item x="229"/>
        <item x="300"/>
        <item x="301"/>
        <item x="302"/>
        <item x="303"/>
        <item x="45"/>
        <item x="304"/>
        <item x="305"/>
        <item x="306"/>
        <item x="46"/>
        <item x="307"/>
        <item x="308"/>
        <item x="309"/>
        <item x="310"/>
        <item x="311"/>
        <item x="312"/>
        <item x="180"/>
        <item x="313"/>
        <item x="181"/>
        <item x="314"/>
        <item x="111"/>
        <item x="315"/>
        <item x="316"/>
        <item x="317"/>
        <item x="182"/>
        <item x="183"/>
        <item x="318"/>
        <item x="319"/>
        <item x="184"/>
        <item x="320"/>
        <item x="321"/>
        <item x="185"/>
        <item x="186"/>
        <item x="322"/>
        <item x="323"/>
        <item x="47"/>
        <item x="324"/>
        <item x="325"/>
        <item x="113"/>
        <item x="326"/>
        <item x="48"/>
        <item x="327"/>
        <item x="328"/>
        <item x="329"/>
        <item x="330"/>
        <item x="331"/>
        <item x="332"/>
        <item x="333"/>
        <item x="334"/>
        <item x="335"/>
        <item x="336"/>
        <item x="49"/>
        <item x="337"/>
        <item x="338"/>
        <item x="339"/>
        <item x="50"/>
        <item x="340"/>
        <item x="341"/>
        <item x="342"/>
        <item x="187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51"/>
        <item x="188"/>
        <item x="356"/>
        <item x="357"/>
        <item x="52"/>
        <item x="156"/>
        <item x="358"/>
        <item x="230"/>
        <item x="359"/>
        <item x="53"/>
        <item x="360"/>
        <item x="361"/>
        <item x="362"/>
        <item x="363"/>
        <item x="54"/>
        <item x="364"/>
        <item x="157"/>
        <item x="55"/>
        <item x="56"/>
        <item x="57"/>
        <item x="158"/>
        <item x="58"/>
        <item x="59"/>
        <item x="159"/>
        <item x="60"/>
        <item x="61"/>
        <item x="62"/>
        <item x="63"/>
        <item x="64"/>
        <item x="65"/>
        <item x="231"/>
        <item x="66"/>
        <item x="67"/>
        <item x="114"/>
        <item x="115"/>
        <item x="116"/>
        <item x="117"/>
        <item x="118"/>
        <item x="68"/>
        <item x="119"/>
        <item x="120"/>
        <item x="121"/>
        <item x="20"/>
        <item x="122"/>
        <item x="123"/>
        <item x="124"/>
        <item x="69"/>
        <item x="125"/>
        <item x="126"/>
        <item x="70"/>
        <item x="71"/>
        <item x="72"/>
        <item x="73"/>
        <item x="189"/>
        <item x="74"/>
        <item x="75"/>
        <item x="21"/>
        <item x="22"/>
        <item x="76"/>
        <item x="77"/>
        <item x="78"/>
        <item x="232"/>
        <item x="79"/>
        <item x="80"/>
        <item x="81"/>
        <item x="82"/>
        <item x="23"/>
        <item x="83"/>
        <item x="84"/>
        <item x="24"/>
        <item x="190"/>
        <item x="85"/>
        <item x="233"/>
        <item x="191"/>
        <item x="192"/>
        <item x="193"/>
        <item x="86"/>
        <item x="194"/>
        <item x="195"/>
        <item x="234"/>
        <item x="87"/>
        <item x="88"/>
        <item x="196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97"/>
        <item x="198"/>
        <item t="default"/>
      </items>
    </pivotField>
    <pivotField showAll="0"/>
    <pivotField dataField="1" showAll="0"/>
    <pivotField showAll="0"/>
    <pivotField showAll="0"/>
    <pivotField showAll="0">
      <items count="8">
        <item x="1"/>
        <item x="5"/>
        <item x="0"/>
        <item x="2"/>
        <item x="3"/>
        <item x="6"/>
        <item x="4"/>
        <item t="default"/>
      </items>
    </pivotField>
    <pivotField showAll="0"/>
    <pivotField axis="axisRow" showAll="0" measureFilter="1">
      <items count="25">
        <item x="6"/>
        <item x="8"/>
        <item x="4"/>
        <item x="19"/>
        <item x="15"/>
        <item x="7"/>
        <item x="14"/>
        <item x="1"/>
        <item x="9"/>
        <item x="12"/>
        <item x="5"/>
        <item x="23"/>
        <item x="10"/>
        <item x="13"/>
        <item x="18"/>
        <item x="16"/>
        <item x="17"/>
        <item x="22"/>
        <item x="21"/>
        <item x="3"/>
        <item x="20"/>
        <item x="2"/>
        <item x="0"/>
        <item x="11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6">
    <i>
      <x v="2"/>
    </i>
    <i>
      <x v="3"/>
    </i>
    <i>
      <x v="10"/>
    </i>
    <i>
      <x v="13"/>
    </i>
    <i>
      <x v="17"/>
    </i>
    <i t="grand">
      <x/>
    </i>
  </rowItems>
  <colItems count="1">
    <i/>
  </colItems>
  <dataFields count="1">
    <dataField name="Sum of sales_amount" fld="5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68B4D-F00C-432E-A68C-40E4FA7DF26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7:C114" firstHeaderRow="1" firstDataRow="1" firstDataCol="0"/>
  <pivotFields count="16"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5">
        <item x="0"/>
        <item x="17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t="default"/>
      </items>
    </pivotField>
    <pivotField showAll="0">
      <items count="8">
        <item x="0"/>
        <item x="4"/>
        <item x="1"/>
        <item x="2"/>
        <item x="3"/>
        <item x="5"/>
        <item x="6"/>
        <item t="default"/>
      </items>
    </pivotField>
    <pivotField numFmtId="14" showAll="0">
      <items count="366">
        <item x="235"/>
        <item x="160"/>
        <item x="25"/>
        <item x="0"/>
        <item x="200"/>
        <item x="236"/>
        <item x="26"/>
        <item x="201"/>
        <item x="214"/>
        <item x="161"/>
        <item x="202"/>
        <item x="106"/>
        <item x="107"/>
        <item x="27"/>
        <item x="108"/>
        <item x="203"/>
        <item x="28"/>
        <item x="29"/>
        <item x="204"/>
        <item x="30"/>
        <item x="205"/>
        <item x="31"/>
        <item x="32"/>
        <item x="4"/>
        <item x="215"/>
        <item x="5"/>
        <item x="6"/>
        <item x="112"/>
        <item x="7"/>
        <item x="8"/>
        <item x="9"/>
        <item x="10"/>
        <item x="212"/>
        <item x="13"/>
        <item x="206"/>
        <item x="237"/>
        <item x="238"/>
        <item x="33"/>
        <item x="34"/>
        <item x="109"/>
        <item x="239"/>
        <item x="207"/>
        <item x="35"/>
        <item x="11"/>
        <item x="240"/>
        <item x="241"/>
        <item x="36"/>
        <item x="37"/>
        <item x="242"/>
        <item x="38"/>
        <item x="39"/>
        <item x="216"/>
        <item x="208"/>
        <item x="243"/>
        <item x="252"/>
        <item x="40"/>
        <item x="244"/>
        <item x="245"/>
        <item x="246"/>
        <item x="209"/>
        <item x="162"/>
        <item x="210"/>
        <item x="110"/>
        <item x="211"/>
        <item x="163"/>
        <item x="41"/>
        <item x="217"/>
        <item x="42"/>
        <item x="164"/>
        <item x="165"/>
        <item x="166"/>
        <item x="167"/>
        <item x="253"/>
        <item x="254"/>
        <item x="255"/>
        <item x="168"/>
        <item x="256"/>
        <item x="257"/>
        <item x="258"/>
        <item x="259"/>
        <item x="213"/>
        <item x="260"/>
        <item x="261"/>
        <item x="262"/>
        <item x="263"/>
        <item x="169"/>
        <item x="264"/>
        <item x="1"/>
        <item x="170"/>
        <item x="247"/>
        <item x="2"/>
        <item x="265"/>
        <item x="171"/>
        <item x="266"/>
        <item x="267"/>
        <item x="248"/>
        <item x="268"/>
        <item x="127"/>
        <item x="172"/>
        <item x="173"/>
        <item x="174"/>
        <item x="269"/>
        <item x="128"/>
        <item x="129"/>
        <item x="130"/>
        <item x="249"/>
        <item x="131"/>
        <item x="132"/>
        <item x="175"/>
        <item x="250"/>
        <item x="133"/>
        <item x="134"/>
        <item x="135"/>
        <item x="270"/>
        <item x="271"/>
        <item x="136"/>
        <item x="137"/>
        <item x="138"/>
        <item x="139"/>
        <item x="140"/>
        <item x="141"/>
        <item x="142"/>
        <item x="143"/>
        <item x="251"/>
        <item x="199"/>
        <item x="144"/>
        <item x="145"/>
        <item x="146"/>
        <item x="147"/>
        <item x="272"/>
        <item x="148"/>
        <item x="149"/>
        <item x="150"/>
        <item x="3"/>
        <item x="273"/>
        <item x="274"/>
        <item x="151"/>
        <item x="176"/>
        <item x="275"/>
        <item x="276"/>
        <item x="218"/>
        <item x="14"/>
        <item x="15"/>
        <item x="16"/>
        <item x="17"/>
        <item x="277"/>
        <item x="18"/>
        <item x="177"/>
        <item x="278"/>
        <item x="219"/>
        <item x="279"/>
        <item x="19"/>
        <item x="280"/>
        <item x="281"/>
        <item x="152"/>
        <item x="153"/>
        <item x="178"/>
        <item x="154"/>
        <item x="220"/>
        <item x="221"/>
        <item x="222"/>
        <item x="179"/>
        <item x="155"/>
        <item x="223"/>
        <item x="224"/>
        <item x="225"/>
        <item x="43"/>
        <item x="282"/>
        <item x="12"/>
        <item x="283"/>
        <item x="284"/>
        <item x="226"/>
        <item x="285"/>
        <item x="286"/>
        <item x="227"/>
        <item x="287"/>
        <item x="288"/>
        <item x="289"/>
        <item x="290"/>
        <item x="291"/>
        <item x="44"/>
        <item x="292"/>
        <item x="293"/>
        <item x="294"/>
        <item x="295"/>
        <item x="296"/>
        <item x="297"/>
        <item x="298"/>
        <item x="299"/>
        <item x="228"/>
        <item x="229"/>
        <item x="300"/>
        <item x="301"/>
        <item x="302"/>
        <item x="303"/>
        <item x="45"/>
        <item x="304"/>
        <item x="305"/>
        <item x="306"/>
        <item x="46"/>
        <item x="307"/>
        <item x="308"/>
        <item x="309"/>
        <item x="310"/>
        <item x="311"/>
        <item x="312"/>
        <item x="180"/>
        <item x="313"/>
        <item x="181"/>
        <item x="314"/>
        <item x="111"/>
        <item x="315"/>
        <item x="316"/>
        <item x="317"/>
        <item x="182"/>
        <item x="183"/>
        <item x="318"/>
        <item x="319"/>
        <item x="184"/>
        <item x="320"/>
        <item x="321"/>
        <item x="185"/>
        <item x="186"/>
        <item x="322"/>
        <item x="323"/>
        <item x="47"/>
        <item x="324"/>
        <item x="325"/>
        <item x="113"/>
        <item x="326"/>
        <item x="48"/>
        <item x="327"/>
        <item x="328"/>
        <item x="329"/>
        <item x="330"/>
        <item x="331"/>
        <item x="332"/>
        <item x="333"/>
        <item x="334"/>
        <item x="335"/>
        <item x="336"/>
        <item x="49"/>
        <item x="337"/>
        <item x="338"/>
        <item x="339"/>
        <item x="50"/>
        <item x="340"/>
        <item x="341"/>
        <item x="342"/>
        <item x="187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51"/>
        <item x="188"/>
        <item x="356"/>
        <item x="357"/>
        <item x="52"/>
        <item x="156"/>
        <item x="358"/>
        <item x="230"/>
        <item x="359"/>
        <item x="53"/>
        <item x="360"/>
        <item x="361"/>
        <item x="362"/>
        <item x="363"/>
        <item x="54"/>
        <item x="364"/>
        <item x="157"/>
        <item x="55"/>
        <item x="56"/>
        <item x="57"/>
        <item x="158"/>
        <item x="58"/>
        <item x="59"/>
        <item x="159"/>
        <item x="60"/>
        <item x="61"/>
        <item x="62"/>
        <item x="63"/>
        <item x="64"/>
        <item x="65"/>
        <item x="231"/>
        <item x="66"/>
        <item x="67"/>
        <item x="114"/>
        <item x="115"/>
        <item x="116"/>
        <item x="117"/>
        <item x="118"/>
        <item x="68"/>
        <item x="119"/>
        <item x="120"/>
        <item x="121"/>
        <item x="20"/>
        <item x="122"/>
        <item x="123"/>
        <item x="124"/>
        <item x="69"/>
        <item x="125"/>
        <item x="126"/>
        <item x="70"/>
        <item x="71"/>
        <item x="72"/>
        <item x="73"/>
        <item x="189"/>
        <item x="74"/>
        <item x="75"/>
        <item x="21"/>
        <item x="22"/>
        <item x="76"/>
        <item x="77"/>
        <item x="78"/>
        <item x="232"/>
        <item x="79"/>
        <item x="80"/>
        <item x="81"/>
        <item x="82"/>
        <item x="23"/>
        <item x="83"/>
        <item x="84"/>
        <item x="24"/>
        <item x="190"/>
        <item x="85"/>
        <item x="233"/>
        <item x="191"/>
        <item x="192"/>
        <item x="193"/>
        <item x="86"/>
        <item x="194"/>
        <item x="195"/>
        <item x="234"/>
        <item x="87"/>
        <item x="88"/>
        <item x="196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97"/>
        <item x="198"/>
        <item t="default"/>
      </items>
    </pivotField>
    <pivotField showAll="0"/>
    <pivotField showAll="0"/>
    <pivotField showAll="0"/>
    <pivotField showAll="0"/>
    <pivotField showAll="0">
      <items count="8">
        <item x="1"/>
        <item x="5"/>
        <item x="0"/>
        <item x="2"/>
        <item x="3"/>
        <item x="6"/>
        <item x="4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25">
        <item x="6"/>
        <item x="8"/>
        <item x="4"/>
        <item x="19"/>
        <item x="15"/>
        <item x="7"/>
        <item x="14"/>
        <item x="1"/>
        <item x="9"/>
        <item x="12"/>
        <item x="5"/>
        <item x="23"/>
        <item x="10"/>
        <item x="13"/>
        <item x="18"/>
        <item x="16"/>
        <item x="17"/>
        <item x="22"/>
        <item x="21"/>
        <item x="3"/>
        <item x="20"/>
        <item x="2"/>
        <item x="0"/>
        <item x="1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7AEBC-ACA8-4A4B-8C7C-3821BD7475CA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2:C91" firstHeaderRow="0" firstDataRow="1" firstDataCol="1"/>
  <pivotFields count="16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5">
        <item x="0"/>
        <item x="17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t="default"/>
      </items>
    </pivotField>
    <pivotField showAll="0">
      <items count="8">
        <item x="0"/>
        <item x="4"/>
        <item x="1"/>
        <item x="2"/>
        <item x="3"/>
        <item x="5"/>
        <item x="6"/>
        <item t="default"/>
      </items>
    </pivotField>
    <pivotField numFmtId="14" showAll="0">
      <items count="366">
        <item x="235"/>
        <item x="160"/>
        <item x="25"/>
        <item x="0"/>
        <item x="200"/>
        <item x="236"/>
        <item x="26"/>
        <item x="201"/>
        <item x="214"/>
        <item x="161"/>
        <item x="202"/>
        <item x="106"/>
        <item x="107"/>
        <item x="27"/>
        <item x="108"/>
        <item x="203"/>
        <item x="28"/>
        <item x="29"/>
        <item x="204"/>
        <item x="30"/>
        <item x="205"/>
        <item x="31"/>
        <item x="32"/>
        <item x="4"/>
        <item x="215"/>
        <item x="5"/>
        <item x="6"/>
        <item x="112"/>
        <item x="7"/>
        <item x="8"/>
        <item x="9"/>
        <item x="10"/>
        <item x="212"/>
        <item x="13"/>
        <item x="206"/>
        <item x="237"/>
        <item x="238"/>
        <item x="33"/>
        <item x="34"/>
        <item x="109"/>
        <item x="239"/>
        <item x="207"/>
        <item x="35"/>
        <item x="11"/>
        <item x="240"/>
        <item x="241"/>
        <item x="36"/>
        <item x="37"/>
        <item x="242"/>
        <item x="38"/>
        <item x="39"/>
        <item x="216"/>
        <item x="208"/>
        <item x="243"/>
        <item x="252"/>
        <item x="40"/>
        <item x="244"/>
        <item x="245"/>
        <item x="246"/>
        <item x="209"/>
        <item x="162"/>
        <item x="210"/>
        <item x="110"/>
        <item x="211"/>
        <item x="163"/>
        <item x="41"/>
        <item x="217"/>
        <item x="42"/>
        <item x="164"/>
        <item x="165"/>
        <item x="166"/>
        <item x="167"/>
        <item x="253"/>
        <item x="254"/>
        <item x="255"/>
        <item x="168"/>
        <item x="256"/>
        <item x="257"/>
        <item x="258"/>
        <item x="259"/>
        <item x="213"/>
        <item x="260"/>
        <item x="261"/>
        <item x="262"/>
        <item x="263"/>
        <item x="169"/>
        <item x="264"/>
        <item x="1"/>
        <item x="170"/>
        <item x="247"/>
        <item x="2"/>
        <item x="265"/>
        <item x="171"/>
        <item x="266"/>
        <item x="267"/>
        <item x="248"/>
        <item x="268"/>
        <item x="127"/>
        <item x="172"/>
        <item x="173"/>
        <item x="174"/>
        <item x="269"/>
        <item x="128"/>
        <item x="129"/>
        <item x="130"/>
        <item x="249"/>
        <item x="131"/>
        <item x="132"/>
        <item x="175"/>
        <item x="250"/>
        <item x="133"/>
        <item x="134"/>
        <item x="135"/>
        <item x="270"/>
        <item x="271"/>
        <item x="136"/>
        <item x="137"/>
        <item x="138"/>
        <item x="139"/>
        <item x="140"/>
        <item x="141"/>
        <item x="142"/>
        <item x="143"/>
        <item x="251"/>
        <item x="199"/>
        <item x="144"/>
        <item x="145"/>
        <item x="146"/>
        <item x="147"/>
        <item x="272"/>
        <item x="148"/>
        <item x="149"/>
        <item x="150"/>
        <item x="3"/>
        <item x="273"/>
        <item x="274"/>
        <item x="151"/>
        <item x="176"/>
        <item x="275"/>
        <item x="276"/>
        <item x="218"/>
        <item x="14"/>
        <item x="15"/>
        <item x="16"/>
        <item x="17"/>
        <item x="277"/>
        <item x="18"/>
        <item x="177"/>
        <item x="278"/>
        <item x="219"/>
        <item x="279"/>
        <item x="19"/>
        <item x="280"/>
        <item x="281"/>
        <item x="152"/>
        <item x="153"/>
        <item x="178"/>
        <item x="154"/>
        <item x="220"/>
        <item x="221"/>
        <item x="222"/>
        <item x="179"/>
        <item x="155"/>
        <item x="223"/>
        <item x="224"/>
        <item x="225"/>
        <item x="43"/>
        <item x="282"/>
        <item x="12"/>
        <item x="283"/>
        <item x="284"/>
        <item x="226"/>
        <item x="285"/>
        <item x="286"/>
        <item x="227"/>
        <item x="287"/>
        <item x="288"/>
        <item x="289"/>
        <item x="290"/>
        <item x="291"/>
        <item x="44"/>
        <item x="292"/>
        <item x="293"/>
        <item x="294"/>
        <item x="295"/>
        <item x="296"/>
        <item x="297"/>
        <item x="298"/>
        <item x="299"/>
        <item x="228"/>
        <item x="229"/>
        <item x="300"/>
        <item x="301"/>
        <item x="302"/>
        <item x="303"/>
        <item x="45"/>
        <item x="304"/>
        <item x="305"/>
        <item x="306"/>
        <item x="46"/>
        <item x="307"/>
        <item x="308"/>
        <item x="309"/>
        <item x="310"/>
        <item x="311"/>
        <item x="312"/>
        <item x="180"/>
        <item x="313"/>
        <item x="181"/>
        <item x="314"/>
        <item x="111"/>
        <item x="315"/>
        <item x="316"/>
        <item x="317"/>
        <item x="182"/>
        <item x="183"/>
        <item x="318"/>
        <item x="319"/>
        <item x="184"/>
        <item x="320"/>
        <item x="321"/>
        <item x="185"/>
        <item x="186"/>
        <item x="322"/>
        <item x="323"/>
        <item x="47"/>
        <item x="324"/>
        <item x="325"/>
        <item x="113"/>
        <item x="326"/>
        <item x="48"/>
        <item x="327"/>
        <item x="328"/>
        <item x="329"/>
        <item x="330"/>
        <item x="331"/>
        <item x="332"/>
        <item x="333"/>
        <item x="334"/>
        <item x="335"/>
        <item x="336"/>
        <item x="49"/>
        <item x="337"/>
        <item x="338"/>
        <item x="339"/>
        <item x="50"/>
        <item x="340"/>
        <item x="341"/>
        <item x="342"/>
        <item x="187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51"/>
        <item x="188"/>
        <item x="356"/>
        <item x="357"/>
        <item x="52"/>
        <item x="156"/>
        <item x="358"/>
        <item x="230"/>
        <item x="359"/>
        <item x="53"/>
        <item x="360"/>
        <item x="361"/>
        <item x="362"/>
        <item x="363"/>
        <item x="54"/>
        <item x="364"/>
        <item x="157"/>
        <item x="55"/>
        <item x="56"/>
        <item x="57"/>
        <item x="158"/>
        <item x="58"/>
        <item x="59"/>
        <item x="159"/>
        <item x="60"/>
        <item x="61"/>
        <item x="62"/>
        <item x="63"/>
        <item x="64"/>
        <item x="65"/>
        <item x="231"/>
        <item x="66"/>
        <item x="67"/>
        <item x="114"/>
        <item x="115"/>
        <item x="116"/>
        <item x="117"/>
        <item x="118"/>
        <item x="68"/>
        <item x="119"/>
        <item x="120"/>
        <item x="121"/>
        <item x="20"/>
        <item x="122"/>
        <item x="123"/>
        <item x="124"/>
        <item x="69"/>
        <item x="125"/>
        <item x="126"/>
        <item x="70"/>
        <item x="71"/>
        <item x="72"/>
        <item x="73"/>
        <item x="189"/>
        <item x="74"/>
        <item x="75"/>
        <item x="21"/>
        <item x="22"/>
        <item x="76"/>
        <item x="77"/>
        <item x="78"/>
        <item x="232"/>
        <item x="79"/>
        <item x="80"/>
        <item x="81"/>
        <item x="82"/>
        <item x="23"/>
        <item x="83"/>
        <item x="84"/>
        <item x="24"/>
        <item x="190"/>
        <item x="85"/>
        <item x="233"/>
        <item x="191"/>
        <item x="192"/>
        <item x="193"/>
        <item x="86"/>
        <item x="194"/>
        <item x="195"/>
        <item x="234"/>
        <item x="87"/>
        <item x="88"/>
        <item x="196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97"/>
        <item x="198"/>
        <item t="default"/>
      </items>
    </pivotField>
    <pivotField dataField="1" showAll="0"/>
    <pivotField dataField="1" showAll="0"/>
    <pivotField showAll="0"/>
    <pivotField showAll="0"/>
    <pivotField showAll="0">
      <items count="8">
        <item x="1"/>
        <item x="5"/>
        <item x="0"/>
        <item x="2"/>
        <item x="3"/>
        <item x="6"/>
        <item x="4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25">
        <item x="6"/>
        <item x="8"/>
        <item x="4"/>
        <item x="19"/>
        <item x="15"/>
        <item x="7"/>
        <item x="14"/>
        <item x="1"/>
        <item x="9"/>
        <item x="12"/>
        <item x="5"/>
        <item x="23"/>
        <item x="10"/>
        <item x="13"/>
        <item x="18"/>
        <item x="16"/>
        <item x="17"/>
        <item x="22"/>
        <item x="21"/>
        <item x="3"/>
        <item x="20"/>
        <item x="2"/>
        <item x="0"/>
        <item x="11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qty" fld="4" baseField="0" baseItem="0"/>
    <dataField name="Sum of sales_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2466C8-5B53-4F32-85E6-127D3E2811A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7:B15" firstHeaderRow="1" firstDataRow="1" firstDataCol="1"/>
  <pivotFields count="16">
    <pivotField showAll="0"/>
    <pivotField showAll="0"/>
    <pivotField showAll="0">
      <items count="8">
        <item x="0"/>
        <item x="4"/>
        <item x="1"/>
        <item x="2"/>
        <item x="3"/>
        <item x="5"/>
        <item x="6"/>
        <item t="default"/>
      </items>
    </pivotField>
    <pivotField numFmtId="14" showAll="0">
      <items count="366">
        <item x="235"/>
        <item x="160"/>
        <item x="25"/>
        <item x="0"/>
        <item x="200"/>
        <item x="236"/>
        <item x="26"/>
        <item x="201"/>
        <item x="214"/>
        <item x="161"/>
        <item x="202"/>
        <item x="106"/>
        <item x="107"/>
        <item x="27"/>
        <item x="108"/>
        <item x="203"/>
        <item x="28"/>
        <item x="29"/>
        <item x="204"/>
        <item x="30"/>
        <item x="205"/>
        <item x="31"/>
        <item x="32"/>
        <item x="4"/>
        <item x="215"/>
        <item x="5"/>
        <item x="6"/>
        <item x="112"/>
        <item x="7"/>
        <item x="8"/>
        <item x="9"/>
        <item x="10"/>
        <item x="212"/>
        <item x="13"/>
        <item x="206"/>
        <item x="237"/>
        <item x="238"/>
        <item x="33"/>
        <item x="34"/>
        <item x="109"/>
        <item x="239"/>
        <item x="207"/>
        <item x="35"/>
        <item x="11"/>
        <item x="240"/>
        <item x="241"/>
        <item x="36"/>
        <item x="37"/>
        <item x="242"/>
        <item x="38"/>
        <item x="39"/>
        <item x="216"/>
        <item x="208"/>
        <item x="243"/>
        <item x="252"/>
        <item x="40"/>
        <item x="244"/>
        <item x="245"/>
        <item x="246"/>
        <item x="209"/>
        <item x="162"/>
        <item x="210"/>
        <item x="110"/>
        <item x="211"/>
        <item x="163"/>
        <item x="41"/>
        <item x="217"/>
        <item x="42"/>
        <item x="164"/>
        <item x="165"/>
        <item x="166"/>
        <item x="167"/>
        <item x="253"/>
        <item x="254"/>
        <item x="255"/>
        <item x="168"/>
        <item x="256"/>
        <item x="257"/>
        <item x="258"/>
        <item x="259"/>
        <item x="213"/>
        <item x="260"/>
        <item x="261"/>
        <item x="262"/>
        <item x="263"/>
        <item x="169"/>
        <item x="264"/>
        <item x="1"/>
        <item x="170"/>
        <item x="247"/>
        <item x="2"/>
        <item x="265"/>
        <item x="171"/>
        <item x="266"/>
        <item x="267"/>
        <item x="248"/>
        <item x="268"/>
        <item x="127"/>
        <item x="172"/>
        <item x="173"/>
        <item x="174"/>
        <item x="269"/>
        <item x="128"/>
        <item x="129"/>
        <item x="130"/>
        <item x="249"/>
        <item x="131"/>
        <item x="132"/>
        <item x="175"/>
        <item x="250"/>
        <item x="133"/>
        <item x="134"/>
        <item x="135"/>
        <item x="270"/>
        <item x="271"/>
        <item x="136"/>
        <item x="137"/>
        <item x="138"/>
        <item x="139"/>
        <item x="140"/>
        <item x="141"/>
        <item x="142"/>
        <item x="143"/>
        <item x="251"/>
        <item x="199"/>
        <item x="144"/>
        <item x="145"/>
        <item x="146"/>
        <item x="147"/>
        <item x="272"/>
        <item x="148"/>
        <item x="149"/>
        <item x="150"/>
        <item x="3"/>
        <item x="273"/>
        <item x="274"/>
        <item x="151"/>
        <item x="176"/>
        <item x="275"/>
        <item x="276"/>
        <item x="218"/>
        <item x="14"/>
        <item x="15"/>
        <item x="16"/>
        <item x="17"/>
        <item x="277"/>
        <item x="18"/>
        <item x="177"/>
        <item x="278"/>
        <item x="219"/>
        <item x="279"/>
        <item x="19"/>
        <item x="280"/>
        <item x="281"/>
        <item x="152"/>
        <item x="153"/>
        <item x="178"/>
        <item x="154"/>
        <item x="220"/>
        <item x="221"/>
        <item x="222"/>
        <item x="179"/>
        <item x="155"/>
        <item x="223"/>
        <item x="224"/>
        <item x="225"/>
        <item x="43"/>
        <item x="282"/>
        <item x="12"/>
        <item x="283"/>
        <item x="284"/>
        <item x="226"/>
        <item x="285"/>
        <item x="286"/>
        <item x="227"/>
        <item x="287"/>
        <item x="288"/>
        <item x="289"/>
        <item x="290"/>
        <item x="291"/>
        <item x="44"/>
        <item x="292"/>
        <item x="293"/>
        <item x="294"/>
        <item x="295"/>
        <item x="296"/>
        <item x="297"/>
        <item x="298"/>
        <item x="299"/>
        <item x="228"/>
        <item x="229"/>
        <item x="300"/>
        <item x="301"/>
        <item x="302"/>
        <item x="303"/>
        <item x="45"/>
        <item x="304"/>
        <item x="305"/>
        <item x="306"/>
        <item x="46"/>
        <item x="307"/>
        <item x="308"/>
        <item x="309"/>
        <item x="310"/>
        <item x="311"/>
        <item x="312"/>
        <item x="180"/>
        <item x="313"/>
        <item x="181"/>
        <item x="314"/>
        <item x="111"/>
        <item x="315"/>
        <item x="316"/>
        <item x="317"/>
        <item x="182"/>
        <item x="183"/>
        <item x="318"/>
        <item x="319"/>
        <item x="184"/>
        <item x="320"/>
        <item x="321"/>
        <item x="185"/>
        <item x="186"/>
        <item x="322"/>
        <item x="323"/>
        <item x="47"/>
        <item x="324"/>
        <item x="325"/>
        <item x="113"/>
        <item x="326"/>
        <item x="48"/>
        <item x="327"/>
        <item x="328"/>
        <item x="329"/>
        <item x="330"/>
        <item x="331"/>
        <item x="332"/>
        <item x="333"/>
        <item x="334"/>
        <item x="335"/>
        <item x="336"/>
        <item x="49"/>
        <item x="337"/>
        <item x="338"/>
        <item x="339"/>
        <item x="50"/>
        <item x="340"/>
        <item x="341"/>
        <item x="342"/>
        <item x="187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51"/>
        <item x="188"/>
        <item x="356"/>
        <item x="357"/>
        <item x="52"/>
        <item x="156"/>
        <item x="358"/>
        <item x="230"/>
        <item x="359"/>
        <item x="53"/>
        <item x="360"/>
        <item x="361"/>
        <item x="362"/>
        <item x="363"/>
        <item x="54"/>
        <item x="364"/>
        <item x="157"/>
        <item x="55"/>
        <item x="56"/>
        <item x="57"/>
        <item x="158"/>
        <item x="58"/>
        <item x="59"/>
        <item x="159"/>
        <item x="60"/>
        <item x="61"/>
        <item x="62"/>
        <item x="63"/>
        <item x="64"/>
        <item x="65"/>
        <item x="231"/>
        <item x="66"/>
        <item x="67"/>
        <item x="114"/>
        <item x="115"/>
        <item x="116"/>
        <item x="117"/>
        <item x="118"/>
        <item x="68"/>
        <item x="119"/>
        <item x="120"/>
        <item x="121"/>
        <item x="20"/>
        <item x="122"/>
        <item x="123"/>
        <item x="124"/>
        <item x="69"/>
        <item x="125"/>
        <item x="126"/>
        <item x="70"/>
        <item x="71"/>
        <item x="72"/>
        <item x="73"/>
        <item x="189"/>
        <item x="74"/>
        <item x="75"/>
        <item x="21"/>
        <item x="22"/>
        <item x="76"/>
        <item x="77"/>
        <item x="78"/>
        <item x="232"/>
        <item x="79"/>
        <item x="80"/>
        <item x="81"/>
        <item x="82"/>
        <item x="23"/>
        <item x="83"/>
        <item x="84"/>
        <item x="24"/>
        <item x="190"/>
        <item x="85"/>
        <item x="233"/>
        <item x="191"/>
        <item x="192"/>
        <item x="193"/>
        <item x="86"/>
        <item x="194"/>
        <item x="195"/>
        <item x="234"/>
        <item x="87"/>
        <item x="88"/>
        <item x="196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97"/>
        <item x="198"/>
        <item t="default"/>
      </items>
    </pivotField>
    <pivotField showAll="0"/>
    <pivotField dataField="1" showAll="0"/>
    <pivotField showAll="0"/>
    <pivotField showAll="0"/>
    <pivotField axis="axisRow" showAll="0">
      <items count="8">
        <item x="1"/>
        <item x="5"/>
        <item x="0"/>
        <item x="2"/>
        <item x="3"/>
        <item x="6"/>
        <item x="4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_amount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89AD6-FA2D-4467-9639-3F14C824DC7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2:B67" firstHeaderRow="1" firstDataRow="1" firstDataCol="1"/>
  <pivotFields count="16">
    <pivotField showAll="0"/>
    <pivotField showAll="0">
      <items count="25">
        <item x="0"/>
        <item x="17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t="default"/>
      </items>
    </pivotField>
    <pivotField showAll="0">
      <items count="8">
        <item x="0"/>
        <item x="4"/>
        <item x="1"/>
        <item x="2"/>
        <item x="3"/>
        <item x="5"/>
        <item x="6"/>
        <item t="default"/>
      </items>
    </pivotField>
    <pivotField axis="axisRow" numFmtId="14" showAll="0">
      <items count="366">
        <item x="235"/>
        <item x="160"/>
        <item x="25"/>
        <item x="0"/>
        <item x="200"/>
        <item x="236"/>
        <item x="26"/>
        <item x="201"/>
        <item x="214"/>
        <item x="161"/>
        <item x="202"/>
        <item x="106"/>
        <item x="107"/>
        <item x="27"/>
        <item x="108"/>
        <item x="203"/>
        <item x="28"/>
        <item x="29"/>
        <item x="204"/>
        <item x="30"/>
        <item x="205"/>
        <item x="31"/>
        <item x="32"/>
        <item x="4"/>
        <item x="215"/>
        <item x="5"/>
        <item x="6"/>
        <item x="112"/>
        <item x="7"/>
        <item x="8"/>
        <item x="9"/>
        <item x="10"/>
        <item x="212"/>
        <item x="13"/>
        <item x="206"/>
        <item x="237"/>
        <item x="238"/>
        <item x="33"/>
        <item x="34"/>
        <item x="109"/>
        <item x="239"/>
        <item x="207"/>
        <item x="35"/>
        <item x="11"/>
        <item x="240"/>
        <item x="241"/>
        <item x="36"/>
        <item x="37"/>
        <item x="242"/>
        <item x="38"/>
        <item x="39"/>
        <item x="216"/>
        <item x="208"/>
        <item x="243"/>
        <item x="252"/>
        <item x="40"/>
        <item x="244"/>
        <item x="245"/>
        <item x="246"/>
        <item x="209"/>
        <item x="162"/>
        <item x="210"/>
        <item x="110"/>
        <item x="211"/>
        <item x="163"/>
        <item x="41"/>
        <item x="217"/>
        <item x="42"/>
        <item x="164"/>
        <item x="165"/>
        <item x="166"/>
        <item x="167"/>
        <item x="253"/>
        <item x="254"/>
        <item x="255"/>
        <item x="168"/>
        <item x="256"/>
        <item x="257"/>
        <item x="258"/>
        <item x="259"/>
        <item x="213"/>
        <item x="260"/>
        <item x="261"/>
        <item x="262"/>
        <item x="263"/>
        <item x="169"/>
        <item x="264"/>
        <item x="1"/>
        <item x="170"/>
        <item x="247"/>
        <item x="2"/>
        <item x="265"/>
        <item x="171"/>
        <item x="266"/>
        <item x="267"/>
        <item x="248"/>
        <item x="268"/>
        <item x="127"/>
        <item x="172"/>
        <item x="173"/>
        <item x="174"/>
        <item x="269"/>
        <item x="128"/>
        <item x="129"/>
        <item x="130"/>
        <item x="249"/>
        <item x="131"/>
        <item x="132"/>
        <item x="175"/>
        <item x="250"/>
        <item x="133"/>
        <item x="134"/>
        <item x="135"/>
        <item x="270"/>
        <item x="271"/>
        <item x="136"/>
        <item x="137"/>
        <item x="138"/>
        <item x="139"/>
        <item x="140"/>
        <item x="141"/>
        <item x="142"/>
        <item x="143"/>
        <item x="251"/>
        <item x="199"/>
        <item x="144"/>
        <item x="145"/>
        <item x="146"/>
        <item x="147"/>
        <item x="272"/>
        <item x="148"/>
        <item x="149"/>
        <item x="150"/>
        <item x="3"/>
        <item x="273"/>
        <item x="274"/>
        <item x="151"/>
        <item x="176"/>
        <item x="275"/>
        <item x="276"/>
        <item x="218"/>
        <item x="14"/>
        <item x="15"/>
        <item x="16"/>
        <item x="17"/>
        <item x="277"/>
        <item x="18"/>
        <item x="177"/>
        <item x="278"/>
        <item x="219"/>
        <item x="279"/>
        <item x="19"/>
        <item x="280"/>
        <item x="281"/>
        <item x="152"/>
        <item x="153"/>
        <item x="178"/>
        <item x="154"/>
        <item x="220"/>
        <item x="221"/>
        <item x="222"/>
        <item x="179"/>
        <item x="155"/>
        <item x="223"/>
        <item x="224"/>
        <item x="225"/>
        <item x="43"/>
        <item x="282"/>
        <item x="12"/>
        <item x="283"/>
        <item x="284"/>
        <item x="226"/>
        <item x="285"/>
        <item x="286"/>
        <item x="227"/>
        <item x="287"/>
        <item x="288"/>
        <item x="289"/>
        <item x="290"/>
        <item x="291"/>
        <item x="44"/>
        <item x="292"/>
        <item x="293"/>
        <item x="294"/>
        <item x="295"/>
        <item x="296"/>
        <item x="297"/>
        <item x="298"/>
        <item x="299"/>
        <item x="228"/>
        <item x="229"/>
        <item x="300"/>
        <item x="301"/>
        <item x="302"/>
        <item x="303"/>
        <item x="45"/>
        <item x="304"/>
        <item x="305"/>
        <item x="306"/>
        <item x="46"/>
        <item x="307"/>
        <item x="308"/>
        <item x="309"/>
        <item x="310"/>
        <item x="311"/>
        <item x="312"/>
        <item x="180"/>
        <item x="313"/>
        <item x="181"/>
        <item x="314"/>
        <item x="111"/>
        <item x="315"/>
        <item x="316"/>
        <item x="317"/>
        <item x="182"/>
        <item x="183"/>
        <item x="318"/>
        <item x="319"/>
        <item x="184"/>
        <item x="320"/>
        <item x="321"/>
        <item x="185"/>
        <item x="186"/>
        <item x="322"/>
        <item x="323"/>
        <item x="47"/>
        <item x="324"/>
        <item x="325"/>
        <item x="113"/>
        <item x="326"/>
        <item x="48"/>
        <item x="327"/>
        <item x="328"/>
        <item x="329"/>
        <item x="330"/>
        <item x="331"/>
        <item x="332"/>
        <item x="333"/>
        <item x="334"/>
        <item x="335"/>
        <item x="336"/>
        <item x="49"/>
        <item x="337"/>
        <item x="338"/>
        <item x="339"/>
        <item x="50"/>
        <item x="340"/>
        <item x="341"/>
        <item x="342"/>
        <item x="187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51"/>
        <item x="188"/>
        <item x="356"/>
        <item x="357"/>
        <item x="52"/>
        <item x="156"/>
        <item x="358"/>
        <item x="230"/>
        <item x="359"/>
        <item x="53"/>
        <item x="360"/>
        <item x="361"/>
        <item x="362"/>
        <item x="363"/>
        <item x="54"/>
        <item x="364"/>
        <item x="157"/>
        <item x="55"/>
        <item x="56"/>
        <item x="57"/>
        <item x="158"/>
        <item x="58"/>
        <item x="59"/>
        <item x="159"/>
        <item x="60"/>
        <item x="61"/>
        <item x="62"/>
        <item x="63"/>
        <item x="64"/>
        <item x="65"/>
        <item x="231"/>
        <item x="66"/>
        <item x="67"/>
        <item x="114"/>
        <item x="115"/>
        <item x="116"/>
        <item x="117"/>
        <item x="118"/>
        <item x="68"/>
        <item x="119"/>
        <item x="120"/>
        <item x="121"/>
        <item x="20"/>
        <item x="122"/>
        <item x="123"/>
        <item x="124"/>
        <item x="69"/>
        <item x="125"/>
        <item x="126"/>
        <item x="70"/>
        <item x="71"/>
        <item x="72"/>
        <item x="73"/>
        <item x="189"/>
        <item x="74"/>
        <item x="75"/>
        <item x="21"/>
        <item x="22"/>
        <item x="76"/>
        <item x="77"/>
        <item x="78"/>
        <item x="232"/>
        <item x="79"/>
        <item x="80"/>
        <item x="81"/>
        <item x="82"/>
        <item x="23"/>
        <item x="83"/>
        <item x="84"/>
        <item x="24"/>
        <item x="190"/>
        <item x="85"/>
        <item x="233"/>
        <item x="191"/>
        <item x="192"/>
        <item x="193"/>
        <item x="86"/>
        <item x="194"/>
        <item x="195"/>
        <item x="234"/>
        <item x="87"/>
        <item x="88"/>
        <item x="196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97"/>
        <item x="198"/>
        <item t="default"/>
      </items>
    </pivotField>
    <pivotField showAll="0"/>
    <pivotField dataField="1" showAll="0"/>
    <pivotField showAll="0"/>
    <pivotField showAll="0"/>
    <pivotField showAll="0">
      <items count="8">
        <item x="1"/>
        <item x="5"/>
        <item x="0"/>
        <item x="2"/>
        <item x="3"/>
        <item x="6"/>
        <item x="4"/>
        <item t="default"/>
      </items>
    </pivotField>
    <pivotField showAll="0"/>
    <pivotField showAll="0" measureFilter="1">
      <items count="25">
        <item x="6"/>
        <item x="8"/>
        <item x="4"/>
        <item x="19"/>
        <item x="15"/>
        <item x="7"/>
        <item x="14"/>
        <item x="1"/>
        <item x="9"/>
        <item x="12"/>
        <item x="5"/>
        <item x="23"/>
        <item x="10"/>
        <item x="13"/>
        <item x="18"/>
        <item x="16"/>
        <item x="17"/>
        <item x="22"/>
        <item x="21"/>
        <item x="3"/>
        <item x="20"/>
        <item x="2"/>
        <item x="0"/>
        <item x="11"/>
        <item t="default"/>
      </items>
    </pivotField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15"/>
    <field x="14"/>
    <field x="13"/>
    <field x="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_amount" fld="5" baseField="0" baseItem="0"/>
  </dataField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55AA0-0560-4D7F-A041-038D1AD8C12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6">
    <pivotField showAll="0"/>
    <pivotField showAll="0"/>
    <pivotField showAll="0"/>
    <pivotField numFmtId="14" showAll="0">
      <items count="366">
        <item x="235"/>
        <item x="160"/>
        <item x="25"/>
        <item x="0"/>
        <item x="200"/>
        <item x="236"/>
        <item x="26"/>
        <item x="201"/>
        <item x="214"/>
        <item x="161"/>
        <item x="202"/>
        <item x="106"/>
        <item x="107"/>
        <item x="27"/>
        <item x="108"/>
        <item x="203"/>
        <item x="28"/>
        <item x="29"/>
        <item x="204"/>
        <item x="30"/>
        <item x="205"/>
        <item x="31"/>
        <item x="32"/>
        <item x="4"/>
        <item x="215"/>
        <item x="5"/>
        <item x="6"/>
        <item x="112"/>
        <item x="7"/>
        <item x="8"/>
        <item x="9"/>
        <item x="10"/>
        <item x="212"/>
        <item x="13"/>
        <item x="206"/>
        <item x="237"/>
        <item x="238"/>
        <item x="33"/>
        <item x="34"/>
        <item x="109"/>
        <item x="239"/>
        <item x="207"/>
        <item x="35"/>
        <item x="11"/>
        <item x="240"/>
        <item x="241"/>
        <item x="36"/>
        <item x="37"/>
        <item x="242"/>
        <item x="38"/>
        <item x="39"/>
        <item x="216"/>
        <item x="208"/>
        <item x="243"/>
        <item x="252"/>
        <item x="40"/>
        <item x="244"/>
        <item x="245"/>
        <item x="246"/>
        <item x="209"/>
        <item x="162"/>
        <item x="210"/>
        <item x="110"/>
        <item x="211"/>
        <item x="163"/>
        <item x="41"/>
        <item x="217"/>
        <item x="42"/>
        <item x="164"/>
        <item x="165"/>
        <item x="166"/>
        <item x="167"/>
        <item x="253"/>
        <item x="254"/>
        <item x="255"/>
        <item x="168"/>
        <item x="256"/>
        <item x="257"/>
        <item x="258"/>
        <item x="259"/>
        <item x="213"/>
        <item x="260"/>
        <item x="261"/>
        <item x="262"/>
        <item x="263"/>
        <item x="169"/>
        <item x="264"/>
        <item x="1"/>
        <item x="170"/>
        <item x="247"/>
        <item x="2"/>
        <item x="265"/>
        <item x="171"/>
        <item x="266"/>
        <item x="267"/>
        <item x="248"/>
        <item x="268"/>
        <item x="127"/>
        <item x="172"/>
        <item x="173"/>
        <item x="174"/>
        <item x="269"/>
        <item x="128"/>
        <item x="129"/>
        <item x="130"/>
        <item x="249"/>
        <item x="131"/>
        <item x="132"/>
        <item x="175"/>
        <item x="250"/>
        <item x="133"/>
        <item x="134"/>
        <item x="135"/>
        <item x="270"/>
        <item x="271"/>
        <item x="136"/>
        <item x="137"/>
        <item x="138"/>
        <item x="139"/>
        <item x="140"/>
        <item x="141"/>
        <item x="142"/>
        <item x="143"/>
        <item x="251"/>
        <item x="199"/>
        <item x="144"/>
        <item x="145"/>
        <item x="146"/>
        <item x="147"/>
        <item x="272"/>
        <item x="148"/>
        <item x="149"/>
        <item x="150"/>
        <item x="3"/>
        <item x="273"/>
        <item x="274"/>
        <item x="151"/>
        <item x="176"/>
        <item x="275"/>
        <item x="276"/>
        <item x="218"/>
        <item x="14"/>
        <item x="15"/>
        <item x="16"/>
        <item x="17"/>
        <item x="277"/>
        <item x="18"/>
        <item x="177"/>
        <item x="278"/>
        <item x="219"/>
        <item x="279"/>
        <item x="19"/>
        <item x="280"/>
        <item x="281"/>
        <item x="152"/>
        <item x="153"/>
        <item x="178"/>
        <item x="154"/>
        <item x="220"/>
        <item x="221"/>
        <item x="222"/>
        <item x="179"/>
        <item x="155"/>
        <item x="223"/>
        <item x="224"/>
        <item x="225"/>
        <item x="43"/>
        <item x="282"/>
        <item x="12"/>
        <item x="283"/>
        <item x="284"/>
        <item x="226"/>
        <item x="285"/>
        <item x="286"/>
        <item x="227"/>
        <item x="287"/>
        <item x="288"/>
        <item x="289"/>
        <item x="290"/>
        <item x="291"/>
        <item x="44"/>
        <item x="292"/>
        <item x="293"/>
        <item x="294"/>
        <item x="295"/>
        <item x="296"/>
        <item x="297"/>
        <item x="298"/>
        <item x="299"/>
        <item x="228"/>
        <item x="229"/>
        <item x="300"/>
        <item x="301"/>
        <item x="302"/>
        <item x="303"/>
        <item x="45"/>
        <item x="304"/>
        <item x="305"/>
        <item x="306"/>
        <item x="46"/>
        <item x="307"/>
        <item x="308"/>
        <item x="309"/>
        <item x="310"/>
        <item x="311"/>
        <item x="312"/>
        <item x="180"/>
        <item x="313"/>
        <item x="181"/>
        <item x="314"/>
        <item x="111"/>
        <item x="315"/>
        <item x="316"/>
        <item x="317"/>
        <item x="182"/>
        <item x="183"/>
        <item x="318"/>
        <item x="319"/>
        <item x="184"/>
        <item x="320"/>
        <item x="321"/>
        <item x="185"/>
        <item x="186"/>
        <item x="322"/>
        <item x="323"/>
        <item x="47"/>
        <item x="324"/>
        <item x="325"/>
        <item x="113"/>
        <item x="326"/>
        <item x="48"/>
        <item x="327"/>
        <item x="328"/>
        <item x="329"/>
        <item x="330"/>
        <item x="331"/>
        <item x="332"/>
        <item x="333"/>
        <item x="334"/>
        <item x="335"/>
        <item x="336"/>
        <item x="49"/>
        <item x="337"/>
        <item x="338"/>
        <item x="339"/>
        <item x="50"/>
        <item x="340"/>
        <item x="341"/>
        <item x="342"/>
        <item x="187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51"/>
        <item x="188"/>
        <item x="356"/>
        <item x="357"/>
        <item x="52"/>
        <item x="156"/>
        <item x="358"/>
        <item x="230"/>
        <item x="359"/>
        <item x="53"/>
        <item x="360"/>
        <item x="361"/>
        <item x="362"/>
        <item x="363"/>
        <item x="54"/>
        <item x="364"/>
        <item x="157"/>
        <item x="55"/>
        <item x="56"/>
        <item x="57"/>
        <item x="158"/>
        <item x="58"/>
        <item x="59"/>
        <item x="159"/>
        <item x="60"/>
        <item x="61"/>
        <item x="62"/>
        <item x="63"/>
        <item x="64"/>
        <item x="65"/>
        <item x="231"/>
        <item x="66"/>
        <item x="67"/>
        <item x="114"/>
        <item x="115"/>
        <item x="116"/>
        <item x="117"/>
        <item x="118"/>
        <item x="68"/>
        <item x="119"/>
        <item x="120"/>
        <item x="121"/>
        <item x="20"/>
        <item x="122"/>
        <item x="123"/>
        <item x="124"/>
        <item x="69"/>
        <item x="125"/>
        <item x="126"/>
        <item x="70"/>
        <item x="71"/>
        <item x="72"/>
        <item x="73"/>
        <item x="189"/>
        <item x="74"/>
        <item x="75"/>
        <item x="21"/>
        <item x="22"/>
        <item x="76"/>
        <item x="77"/>
        <item x="78"/>
        <item x="232"/>
        <item x="79"/>
        <item x="80"/>
        <item x="81"/>
        <item x="82"/>
        <item x="23"/>
        <item x="83"/>
        <item x="84"/>
        <item x="24"/>
        <item x="190"/>
        <item x="85"/>
        <item x="233"/>
        <item x="191"/>
        <item x="192"/>
        <item x="193"/>
        <item x="86"/>
        <item x="194"/>
        <item x="195"/>
        <item x="234"/>
        <item x="87"/>
        <item x="88"/>
        <item x="196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97"/>
        <item x="19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sales_amount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C52084-D9E9-482B-B42D-80B9679D9395}" autoFormatId="16" applyNumberFormats="0" applyBorderFormats="0" applyFontFormats="0" applyPatternFormats="0" applyAlignmentFormats="0" applyWidthHeightFormats="0">
  <queryTableRefresh nextId="7">
    <queryTableFields count="3">
      <queryTableField id="4" name="markets_code" tableColumnId="4"/>
      <queryTableField id="5" name="markets_name" tableColumnId="5"/>
      <queryTableField id="6" name="zon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F2D79EE-B738-46A8-AA7C-5307EC2189F9}" autoFormatId="16" applyNumberFormats="0" applyBorderFormats="0" applyFontFormats="0" applyPatternFormats="0" applyAlignmentFormats="0" applyWidthHeightFormats="0">
  <queryTableRefresh nextId="6" unboundColumnsRight="1">
    <queryTableFields count="3">
      <queryTableField id="3" name="product_code" tableColumnId="3"/>
      <queryTableField id="4" name="product_type" tableColumnId="4"/>
      <queryTableField id="5" dataBound="0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1334953-701E-4F1B-BF52-E200C5FE42E5}" autoFormatId="16" applyNumberFormats="0" applyBorderFormats="0" applyFontFormats="0" applyPatternFormats="0" applyAlignmentFormats="0" applyWidthHeightFormats="0">
  <queryTableRefresh nextId="8">
    <queryTableFields count="7">
      <queryTableField id="1" name="product_code" tableColumnId="1"/>
      <queryTableField id="2" name="customer_code" tableColumnId="2"/>
      <queryTableField id="3" name="market_code" tableColumnId="3"/>
      <queryTableField id="4" name="order_date" tableColumnId="4"/>
      <queryTableField id="5" name="sales_qty" tableColumnId="5"/>
      <queryTableField id="6" name="sales_amount" tableColumnId="6"/>
      <queryTableField id="7" name="currency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1FCA3B0-F047-4158-8F1C-04431F3DDBAF}" autoFormatId="16" applyNumberFormats="0" applyBorderFormats="0" applyFontFormats="0" applyPatternFormats="0" applyAlignmentFormats="0" applyWidthHeightFormats="0">
  <queryTableRefresh nextId="14" unboundColumnsRight="6">
    <queryTableFields count="13">
      <queryTableField id="1" name="product_code" tableColumnId="1"/>
      <queryTableField id="2" name="customer_code" tableColumnId="2"/>
      <queryTableField id="3" name="market_code" tableColumnId="3"/>
      <queryTableField id="4" name="order_date" tableColumnId="4"/>
      <queryTableField id="5" name="sales_qty" tableColumnId="5"/>
      <queryTableField id="6" name="sales_amount" tableColumnId="6"/>
      <queryTableField id="7" name="currency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9AC69B-4BE1-4227-9D7E-7E304519F2D9}" name="Table5" displayName="Table5" ref="A1:D39" totalsRowShown="0">
  <autoFilter ref="A1:D39" xr:uid="{8B9AC69B-4BE1-4227-9D7E-7E304519F2D9}"/>
  <tableColumns count="4">
    <tableColumn id="1" xr3:uid="{6CBDEE8B-9B39-4626-9921-65CC300C79AE}" name="customer_code"/>
    <tableColumn id="2" xr3:uid="{B5BD8D2D-3307-4629-9F08-E91AE85012A5}" name="custmer_name"/>
    <tableColumn id="3" xr3:uid="{5B1EE242-4144-4116-973C-FB251AF4BF7D}" name="customer_type"/>
    <tableColumn id="4" xr3:uid="{B4865108-2239-46E7-B958-BAFF1DE412E7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956DC2D-A1EF-4030-BC9A-6C98F69C383B}" name="Table6" displayName="Table6" ref="A1:E1001" totalsRowShown="0">
  <autoFilter ref="A1:E1001" xr:uid="{5956DC2D-A1EF-4030-BC9A-6C98F69C383B}"/>
  <tableColumns count="5">
    <tableColumn id="1" xr3:uid="{D0663CF0-C9C1-4609-8A24-3C1E0D55C320}" name="date" dataDxfId="23"/>
    <tableColumn id="2" xr3:uid="{995DA732-035E-4278-B9C4-91D1883E369E}" name="cy_date" dataDxfId="22"/>
    <tableColumn id="3" xr3:uid="{0CA8CF76-B8B3-4C6F-8DAA-F8F1940BAF51}" name="year"/>
    <tableColumn id="4" xr3:uid="{2BF7619F-7953-4ECC-87E0-225E06B0CB85}" name="month_name"/>
    <tableColumn id="5" xr3:uid="{9CE12D40-A43D-4F93-B2E8-CE6AD5F05F1F}" name="date_yy_mm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4903ED-7630-4B2D-A9C2-25BEBEDF6B96}" name="markets_table" displayName="markets_table" ref="A1:C18" tableType="queryTable" totalsRowShown="0">
  <autoFilter ref="A1:C18" xr:uid="{924903ED-7630-4B2D-A9C2-25BEBEDF6B96}"/>
  <tableColumns count="3">
    <tableColumn id="4" xr3:uid="{92EEF8F6-783D-49B3-8C25-F6944DADD53D}" uniqueName="4" name="markets_code" queryTableFieldId="4" dataDxfId="21"/>
    <tableColumn id="5" xr3:uid="{95001C01-09B6-4C7C-A1D8-2C6215EB77B3}" uniqueName="5" name="markets_name" queryTableFieldId="5" dataDxfId="20"/>
    <tableColumn id="6" xr3:uid="{3512EBEE-9A83-4F80-9180-F54F3E1E9F08}" uniqueName="6" name="zone" queryTableFieldId="6" dataDxf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020DB9-B23B-4D14-B4EC-4FC20C902CBA}" name="product_table" displayName="product_table" ref="A1:C280" tableType="queryTable" totalsRowShown="0">
  <autoFilter ref="A1:C280" xr:uid="{CC020DB9-B23B-4D14-B4EC-4FC20C902CBA}">
    <filterColumn colId="2">
      <filters>
        <filter val="Distribution"/>
      </filters>
    </filterColumn>
  </autoFilter>
  <tableColumns count="3">
    <tableColumn id="3" xr3:uid="{E03BC767-F23D-41DB-A809-9B66F6D24562}" uniqueName="3" name="product_code" queryTableFieldId="3" dataDxfId="18"/>
    <tableColumn id="4" xr3:uid="{51DEEDEA-8402-4B65-BDA6-38FFB68A7AE5}" uniqueName="4" name="product_type" queryTableFieldId="4" dataDxfId="17"/>
    <tableColumn id="5" xr3:uid="{FBBBEF62-ECE6-4734-AE36-46EAD248188A}" uniqueName="5" name="Product_type2" queryTableFieldId="5" dataDxfId="16">
      <calculatedColumnFormula>TRIM(CLEAN(product_table[[#This Row],[product_type]]))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7692E2-3165-453B-8DFA-340580C0C019}" name="transactions_table" displayName="transactions_table" ref="A1:G1001" tableType="queryTable" totalsRowShown="0">
  <autoFilter ref="A1:G1001" xr:uid="{467692E2-3165-453B-8DFA-340580C0C019}"/>
  <tableColumns count="7">
    <tableColumn id="1" xr3:uid="{5FCEF2F6-C70E-4C26-AAA6-C1569873F08C}" uniqueName="1" name="product_code" queryTableFieldId="1" dataDxfId="15"/>
    <tableColumn id="2" xr3:uid="{F426765B-1CCB-4AAD-AE9A-4E3EDD6647F5}" uniqueName="2" name="customer_code" queryTableFieldId="2" dataDxfId="14"/>
    <tableColumn id="3" xr3:uid="{5B9B60BE-6845-405A-AF19-1903D6E21595}" uniqueName="3" name="market_code" queryTableFieldId="3" dataDxfId="13"/>
    <tableColumn id="4" xr3:uid="{9DC7F707-8F6A-43D4-9B40-D44ACD7E20F6}" uniqueName="4" name="order_date" queryTableFieldId="4" dataDxfId="12"/>
    <tableColumn id="5" xr3:uid="{B346C35D-6AD3-4732-A56F-E5E00902D60F}" uniqueName="5" name="sales_qty" queryTableFieldId="5"/>
    <tableColumn id="6" xr3:uid="{2E47916F-6A91-4030-9ED7-BC975845BB53}" uniqueName="6" name="sales_amount" queryTableFieldId="6"/>
    <tableColumn id="7" xr3:uid="{E0AB94EA-D099-4209-9B32-642ECA77B7EE}" uniqueName="7" name="currency" queryTableFieldId="7" dataDxf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92FA4E3-0EF2-44AA-8E58-27FDA036EBE8}" name="transactions_table8" displayName="transactions_table8" ref="A1:M992" tableType="queryTable" totalsRowShown="0">
  <autoFilter ref="A1:M992" xr:uid="{292FA4E3-0EF2-44AA-8E58-27FDA036EBE8}"/>
  <tableColumns count="13">
    <tableColumn id="1" xr3:uid="{13312860-A33C-48DF-82B6-AE9F52E2E3A4}" uniqueName="1" name="product_code" queryTableFieldId="1" dataDxfId="10"/>
    <tableColumn id="2" xr3:uid="{6E9C4085-9BA6-432F-8449-F3A51016CA74}" uniqueName="2" name="customer_code" queryTableFieldId="2" dataDxfId="9"/>
    <tableColumn id="3" xr3:uid="{B2928DAB-8589-4526-B95C-CB6C2ED7AC48}" uniqueName="3" name="market_code" queryTableFieldId="3" dataDxfId="8"/>
    <tableColumn id="4" xr3:uid="{4161D94D-044A-4B47-9D83-39602A873D7E}" uniqueName="4" name="order_date" queryTableFieldId="4" dataDxfId="7"/>
    <tableColumn id="5" xr3:uid="{2AB49216-491C-458D-AA6B-447643410096}" uniqueName="5" name="sales_qty" queryTableFieldId="5"/>
    <tableColumn id="6" xr3:uid="{2DC13933-B4F2-46FF-A680-57364108DED6}" uniqueName="6" name="sales_amount" queryTableFieldId="6"/>
    <tableColumn id="7" xr3:uid="{DF445247-5BB3-4187-A21A-2BC01F0F370B}" uniqueName="7" name="currency" queryTableFieldId="7" dataDxfId="6"/>
    <tableColumn id="8" xr3:uid="{7991061E-32FE-4A59-B65D-CC22E307B707}" uniqueName="8" name="product_type" queryTableFieldId="8" dataDxfId="5">
      <calculatedColumnFormula>VLOOKUP(A2, product_table!$A:$C, 3, 0)</calculatedColumnFormula>
    </tableColumn>
    <tableColumn id="9" xr3:uid="{237FA0AD-4B2A-4449-B769-2DEDE9967544}" uniqueName="9" name="markets_name" queryTableFieldId="9" dataDxfId="4">
      <calculatedColumnFormula>VLOOKUP(transactions_table8[[#This Row],[market_code]],markets_table!$A:$B,2,0)</calculatedColumnFormula>
    </tableColumn>
    <tableColumn id="10" xr3:uid="{A83C3506-CE91-4ACB-AFA1-71DDD266DF3D}" uniqueName="10" name="zone" queryTableFieldId="10" dataDxfId="3">
      <calculatedColumnFormula>VLOOKUP(transactions_table8[[#This Row],[market_code]],markets_table!$A:$C,3,0)</calculatedColumnFormula>
    </tableColumn>
    <tableColumn id="11" xr3:uid="{A1D3124D-626D-4E81-B2F8-C9A641EFE1C3}" uniqueName="11" name="custmer_name" queryTableFieldId="11" dataDxfId="2">
      <calculatedColumnFormula>VLOOKUP(transactions_table8[[#This Row],[customer_code]],customer_table!$A:$B,2,0)</calculatedColumnFormula>
    </tableColumn>
    <tableColumn id="12" xr3:uid="{8F56DA81-53C7-46D2-BE65-170CDE25AF70}" uniqueName="12" name="customer_type" queryTableFieldId="12" dataDxfId="1">
      <calculatedColumnFormula>VLOOKUP(transactions_table8[[#This Row],[customer_code]],customer_table!$A:$C,3,0)</calculatedColumnFormula>
    </tableColumn>
    <tableColumn id="13" xr3:uid="{FA517E9F-8F9F-4B8B-B9E1-8A0F3D3C91B0}" uniqueName="13" name="Sales_amount2" queryTableFieldId="13" dataDxfId="0">
      <calculatedColumnFormula>IF(TRIM(CLEAN(transactions_table8[[#This Row],[currency]]))="USD",transactions_table8[[#This Row],[sales_amount]]*83,transactions_table8[[#This Row],[sales_amount]])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4158D-CB78-4CD7-8A52-BDFE5B51581D}">
  <dimension ref="A1:D39"/>
  <sheetViews>
    <sheetView workbookViewId="0">
      <selection activeCell="B1" sqref="B1:C1"/>
    </sheetView>
  </sheetViews>
  <sheetFormatPr defaultRowHeight="14.4" x14ac:dyDescent="0.3"/>
  <cols>
    <col min="1" max="1" width="15.6640625" customWidth="1"/>
    <col min="2" max="3" width="15.21875" customWidth="1"/>
    <col min="4" max="4" width="10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131</v>
      </c>
    </row>
    <row r="2" spans="1:4" x14ac:dyDescent="0.3">
      <c r="A2" t="s">
        <v>3</v>
      </c>
      <c r="B2" t="s">
        <v>4</v>
      </c>
      <c r="C2" t="s">
        <v>5</v>
      </c>
    </row>
    <row r="3" spans="1:4" x14ac:dyDescent="0.3">
      <c r="A3" t="s">
        <v>6</v>
      </c>
      <c r="B3" t="s">
        <v>7</v>
      </c>
      <c r="C3" t="s">
        <v>5</v>
      </c>
    </row>
    <row r="4" spans="1:4" x14ac:dyDescent="0.3">
      <c r="A4" t="s">
        <v>8</v>
      </c>
      <c r="B4" t="s">
        <v>9</v>
      </c>
      <c r="C4" t="s">
        <v>5</v>
      </c>
    </row>
    <row r="5" spans="1:4" x14ac:dyDescent="0.3">
      <c r="A5" t="s">
        <v>10</v>
      </c>
      <c r="B5" t="s">
        <v>11</v>
      </c>
      <c r="C5" t="s">
        <v>5</v>
      </c>
    </row>
    <row r="6" spans="1:4" x14ac:dyDescent="0.3">
      <c r="A6" t="s">
        <v>12</v>
      </c>
      <c r="B6" t="s">
        <v>13</v>
      </c>
      <c r="C6" t="s">
        <v>5</v>
      </c>
    </row>
    <row r="7" spans="1:4" x14ac:dyDescent="0.3">
      <c r="A7" t="s">
        <v>14</v>
      </c>
      <c r="B7" t="s">
        <v>15</v>
      </c>
      <c r="C7" t="s">
        <v>5</v>
      </c>
    </row>
    <row r="8" spans="1:4" x14ac:dyDescent="0.3">
      <c r="A8" t="s">
        <v>16</v>
      </c>
      <c r="B8" t="s">
        <v>17</v>
      </c>
      <c r="C8" t="s">
        <v>5</v>
      </c>
    </row>
    <row r="9" spans="1:4" x14ac:dyDescent="0.3">
      <c r="A9" t="s">
        <v>18</v>
      </c>
      <c r="B9" t="s">
        <v>19</v>
      </c>
      <c r="C9" t="s">
        <v>5</v>
      </c>
    </row>
    <row r="10" spans="1:4" x14ac:dyDescent="0.3">
      <c r="A10" t="s">
        <v>20</v>
      </c>
      <c r="B10" t="s">
        <v>21</v>
      </c>
      <c r="C10" t="s">
        <v>5</v>
      </c>
    </row>
    <row r="11" spans="1:4" x14ac:dyDescent="0.3">
      <c r="A11" t="s">
        <v>22</v>
      </c>
      <c r="B11" t="s">
        <v>23</v>
      </c>
      <c r="C11" t="s">
        <v>5</v>
      </c>
    </row>
    <row r="12" spans="1:4" x14ac:dyDescent="0.3">
      <c r="A12" t="s">
        <v>24</v>
      </c>
      <c r="B12" t="s">
        <v>25</v>
      </c>
      <c r="C12" t="s">
        <v>5</v>
      </c>
    </row>
    <row r="13" spans="1:4" x14ac:dyDescent="0.3">
      <c r="A13" t="s">
        <v>26</v>
      </c>
      <c r="B13" t="s">
        <v>27</v>
      </c>
      <c r="C13" t="s">
        <v>5</v>
      </c>
    </row>
    <row r="14" spans="1:4" x14ac:dyDescent="0.3">
      <c r="A14" t="s">
        <v>28</v>
      </c>
      <c r="B14" t="s">
        <v>29</v>
      </c>
      <c r="C14" t="s">
        <v>5</v>
      </c>
    </row>
    <row r="15" spans="1:4" x14ac:dyDescent="0.3">
      <c r="A15" t="s">
        <v>30</v>
      </c>
      <c r="B15" t="s">
        <v>31</v>
      </c>
      <c r="C15" t="s">
        <v>5</v>
      </c>
    </row>
    <row r="16" spans="1:4" x14ac:dyDescent="0.3">
      <c r="A16" t="s">
        <v>32</v>
      </c>
      <c r="B16" t="s">
        <v>33</v>
      </c>
      <c r="C16" t="s">
        <v>5</v>
      </c>
    </row>
    <row r="17" spans="1:3" x14ac:dyDescent="0.3">
      <c r="A17" t="s">
        <v>34</v>
      </c>
      <c r="B17" t="s">
        <v>35</v>
      </c>
      <c r="C17" t="s">
        <v>5</v>
      </c>
    </row>
    <row r="18" spans="1:3" x14ac:dyDescent="0.3">
      <c r="A18" t="s">
        <v>36</v>
      </c>
      <c r="B18" t="s">
        <v>37</v>
      </c>
      <c r="C18" t="s">
        <v>5</v>
      </c>
    </row>
    <row r="19" spans="1:3" x14ac:dyDescent="0.3">
      <c r="A19" t="s">
        <v>38</v>
      </c>
      <c r="B19" t="s">
        <v>39</v>
      </c>
      <c r="C19" t="s">
        <v>5</v>
      </c>
    </row>
    <row r="20" spans="1:3" x14ac:dyDescent="0.3">
      <c r="A20" t="s">
        <v>40</v>
      </c>
      <c r="B20" t="s">
        <v>41</v>
      </c>
      <c r="C20" t="s">
        <v>5</v>
      </c>
    </row>
    <row r="21" spans="1:3" x14ac:dyDescent="0.3">
      <c r="A21" t="s">
        <v>42</v>
      </c>
      <c r="B21" t="s">
        <v>43</v>
      </c>
      <c r="C21" t="s">
        <v>44</v>
      </c>
    </row>
    <row r="22" spans="1:3" x14ac:dyDescent="0.3">
      <c r="A22" t="s">
        <v>45</v>
      </c>
      <c r="B22" t="s">
        <v>46</v>
      </c>
      <c r="C22" t="s">
        <v>44</v>
      </c>
    </row>
    <row r="23" spans="1:3" x14ac:dyDescent="0.3">
      <c r="A23" t="s">
        <v>47</v>
      </c>
      <c r="B23" t="s">
        <v>48</v>
      </c>
      <c r="C23" t="s">
        <v>44</v>
      </c>
    </row>
    <row r="24" spans="1:3" x14ac:dyDescent="0.3">
      <c r="A24" t="s">
        <v>49</v>
      </c>
      <c r="B24" t="s">
        <v>50</v>
      </c>
      <c r="C24" t="s">
        <v>44</v>
      </c>
    </row>
    <row r="25" spans="1:3" x14ac:dyDescent="0.3">
      <c r="A25" t="s">
        <v>51</v>
      </c>
      <c r="B25" t="s">
        <v>52</v>
      </c>
      <c r="C25" t="s">
        <v>44</v>
      </c>
    </row>
    <row r="26" spans="1:3" x14ac:dyDescent="0.3">
      <c r="A26" t="s">
        <v>53</v>
      </c>
      <c r="B26" t="s">
        <v>54</v>
      </c>
      <c r="C26" t="s">
        <v>44</v>
      </c>
    </row>
    <row r="27" spans="1:3" x14ac:dyDescent="0.3">
      <c r="A27" t="s">
        <v>55</v>
      </c>
      <c r="B27" t="s">
        <v>56</v>
      </c>
      <c r="C27" t="s">
        <v>44</v>
      </c>
    </row>
    <row r="28" spans="1:3" x14ac:dyDescent="0.3">
      <c r="A28" t="s">
        <v>57</v>
      </c>
      <c r="B28" t="s">
        <v>58</v>
      </c>
      <c r="C28" t="s">
        <v>44</v>
      </c>
    </row>
    <row r="29" spans="1:3" x14ac:dyDescent="0.3">
      <c r="A29" t="s">
        <v>59</v>
      </c>
      <c r="B29" t="s">
        <v>60</v>
      </c>
      <c r="C29" t="s">
        <v>44</v>
      </c>
    </row>
    <row r="30" spans="1:3" x14ac:dyDescent="0.3">
      <c r="A30" t="s">
        <v>61</v>
      </c>
      <c r="B30" t="s">
        <v>62</v>
      </c>
      <c r="C30" t="s">
        <v>44</v>
      </c>
    </row>
    <row r="31" spans="1:3" x14ac:dyDescent="0.3">
      <c r="A31" t="s">
        <v>63</v>
      </c>
      <c r="B31" t="s">
        <v>64</v>
      </c>
      <c r="C31" t="s">
        <v>44</v>
      </c>
    </row>
    <row r="32" spans="1:3" x14ac:dyDescent="0.3">
      <c r="A32" t="s">
        <v>65</v>
      </c>
      <c r="B32" t="s">
        <v>66</v>
      </c>
      <c r="C32" t="s">
        <v>44</v>
      </c>
    </row>
    <row r="33" spans="1:3" x14ac:dyDescent="0.3">
      <c r="A33" t="s">
        <v>67</v>
      </c>
      <c r="B33" t="s">
        <v>68</v>
      </c>
      <c r="C33" t="s">
        <v>44</v>
      </c>
    </row>
    <row r="34" spans="1:3" x14ac:dyDescent="0.3">
      <c r="A34" t="s">
        <v>69</v>
      </c>
      <c r="B34" t="s">
        <v>70</v>
      </c>
      <c r="C34" t="s">
        <v>44</v>
      </c>
    </row>
    <row r="35" spans="1:3" x14ac:dyDescent="0.3">
      <c r="A35" t="s">
        <v>71</v>
      </c>
      <c r="B35" t="s">
        <v>72</v>
      </c>
      <c r="C35" t="s">
        <v>44</v>
      </c>
    </row>
    <row r="36" spans="1:3" x14ac:dyDescent="0.3">
      <c r="A36" t="s">
        <v>73</v>
      </c>
      <c r="B36" t="s">
        <v>74</v>
      </c>
      <c r="C36" t="s">
        <v>44</v>
      </c>
    </row>
    <row r="37" spans="1:3" x14ac:dyDescent="0.3">
      <c r="A37" t="s">
        <v>75</v>
      </c>
      <c r="B37" t="s">
        <v>76</v>
      </c>
      <c r="C37" t="s">
        <v>44</v>
      </c>
    </row>
    <row r="38" spans="1:3" x14ac:dyDescent="0.3">
      <c r="A38" t="s">
        <v>77</v>
      </c>
      <c r="B38" t="s">
        <v>78</v>
      </c>
      <c r="C38" t="s">
        <v>44</v>
      </c>
    </row>
    <row r="39" spans="1:3" x14ac:dyDescent="0.3">
      <c r="A39" t="s">
        <v>79</v>
      </c>
      <c r="B39" t="s">
        <v>80</v>
      </c>
      <c r="C39" t="s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D479-8D45-49CC-AA4C-EF782719CC1B}">
  <dimension ref="A1:E1001"/>
  <sheetViews>
    <sheetView workbookViewId="0">
      <selection activeCell="D2" sqref="D2"/>
    </sheetView>
  </sheetViews>
  <sheetFormatPr defaultRowHeight="14.4" x14ac:dyDescent="0.3"/>
  <cols>
    <col min="1" max="2" width="10.33203125" bestFit="1" customWidth="1"/>
    <col min="3" max="3" width="6.44140625" customWidth="1"/>
    <col min="4" max="4" width="13.6640625" customWidth="1"/>
    <col min="5" max="5" width="15" customWidth="1"/>
  </cols>
  <sheetData>
    <row r="1" spans="1:5" x14ac:dyDescent="0.3">
      <c r="A1" t="s">
        <v>81</v>
      </c>
      <c r="B1" t="s">
        <v>82</v>
      </c>
      <c r="C1" t="s">
        <v>83</v>
      </c>
      <c r="D1" t="s">
        <v>84</v>
      </c>
      <c r="E1" t="s">
        <v>85</v>
      </c>
    </row>
    <row r="2" spans="1:5" x14ac:dyDescent="0.3">
      <c r="A2" s="1">
        <v>42887</v>
      </c>
      <c r="B2" s="1">
        <v>42887</v>
      </c>
      <c r="C2">
        <v>2017</v>
      </c>
      <c r="D2" t="s">
        <v>86</v>
      </c>
      <c r="E2" t="s">
        <v>87</v>
      </c>
    </row>
    <row r="3" spans="1:5" x14ac:dyDescent="0.3">
      <c r="A3" s="1">
        <v>42888</v>
      </c>
      <c r="B3" s="1">
        <v>42887</v>
      </c>
      <c r="C3">
        <v>2017</v>
      </c>
      <c r="D3" t="s">
        <v>86</v>
      </c>
      <c r="E3" t="s">
        <v>87</v>
      </c>
    </row>
    <row r="4" spans="1:5" x14ac:dyDescent="0.3">
      <c r="A4" s="1">
        <v>42889</v>
      </c>
      <c r="B4" s="1">
        <v>42887</v>
      </c>
      <c r="C4">
        <v>2017</v>
      </c>
      <c r="D4" t="s">
        <v>86</v>
      </c>
      <c r="E4" t="s">
        <v>87</v>
      </c>
    </row>
    <row r="5" spans="1:5" x14ac:dyDescent="0.3">
      <c r="A5" s="1">
        <v>42890</v>
      </c>
      <c r="B5" s="1">
        <v>42887</v>
      </c>
      <c r="C5">
        <v>2017</v>
      </c>
      <c r="D5" t="s">
        <v>86</v>
      </c>
      <c r="E5" t="s">
        <v>87</v>
      </c>
    </row>
    <row r="6" spans="1:5" x14ac:dyDescent="0.3">
      <c r="A6" s="1">
        <v>42891</v>
      </c>
      <c r="B6" s="1">
        <v>42887</v>
      </c>
      <c r="C6">
        <v>2017</v>
      </c>
      <c r="D6" t="s">
        <v>86</v>
      </c>
      <c r="E6" t="s">
        <v>87</v>
      </c>
    </row>
    <row r="7" spans="1:5" x14ac:dyDescent="0.3">
      <c r="A7" s="1">
        <v>42892</v>
      </c>
      <c r="B7" s="1">
        <v>42887</v>
      </c>
      <c r="C7">
        <v>2017</v>
      </c>
      <c r="D7" t="s">
        <v>86</v>
      </c>
      <c r="E7" t="s">
        <v>87</v>
      </c>
    </row>
    <row r="8" spans="1:5" x14ac:dyDescent="0.3">
      <c r="A8" s="1">
        <v>42893</v>
      </c>
      <c r="B8" s="1">
        <v>42887</v>
      </c>
      <c r="C8">
        <v>2017</v>
      </c>
      <c r="D8" t="s">
        <v>86</v>
      </c>
      <c r="E8" t="s">
        <v>87</v>
      </c>
    </row>
    <row r="9" spans="1:5" x14ac:dyDescent="0.3">
      <c r="A9" s="1">
        <v>42894</v>
      </c>
      <c r="B9" s="1">
        <v>42887</v>
      </c>
      <c r="C9">
        <v>2017</v>
      </c>
      <c r="D9" t="s">
        <v>86</v>
      </c>
      <c r="E9" t="s">
        <v>87</v>
      </c>
    </row>
    <row r="10" spans="1:5" x14ac:dyDescent="0.3">
      <c r="A10" s="1">
        <v>42895</v>
      </c>
      <c r="B10" s="1">
        <v>42887</v>
      </c>
      <c r="C10">
        <v>2017</v>
      </c>
      <c r="D10" t="s">
        <v>86</v>
      </c>
      <c r="E10" t="s">
        <v>87</v>
      </c>
    </row>
    <row r="11" spans="1:5" x14ac:dyDescent="0.3">
      <c r="A11" s="1">
        <v>42896</v>
      </c>
      <c r="B11" s="1">
        <v>42887</v>
      </c>
      <c r="C11">
        <v>2017</v>
      </c>
      <c r="D11" t="s">
        <v>86</v>
      </c>
      <c r="E11" t="s">
        <v>87</v>
      </c>
    </row>
    <row r="12" spans="1:5" x14ac:dyDescent="0.3">
      <c r="A12" s="1">
        <v>42897</v>
      </c>
      <c r="B12" s="1">
        <v>42887</v>
      </c>
      <c r="C12">
        <v>2017</v>
      </c>
      <c r="D12" t="s">
        <v>86</v>
      </c>
      <c r="E12" t="s">
        <v>87</v>
      </c>
    </row>
    <row r="13" spans="1:5" x14ac:dyDescent="0.3">
      <c r="A13" s="1">
        <v>42898</v>
      </c>
      <c r="B13" s="1">
        <v>42887</v>
      </c>
      <c r="C13">
        <v>2017</v>
      </c>
      <c r="D13" t="s">
        <v>86</v>
      </c>
      <c r="E13" t="s">
        <v>87</v>
      </c>
    </row>
    <row r="14" spans="1:5" x14ac:dyDescent="0.3">
      <c r="A14" s="1">
        <v>42899</v>
      </c>
      <c r="B14" s="1">
        <v>42887</v>
      </c>
      <c r="C14">
        <v>2017</v>
      </c>
      <c r="D14" t="s">
        <v>86</v>
      </c>
      <c r="E14" t="s">
        <v>87</v>
      </c>
    </row>
    <row r="15" spans="1:5" x14ac:dyDescent="0.3">
      <c r="A15" s="1">
        <v>42900</v>
      </c>
      <c r="B15" s="1">
        <v>42887</v>
      </c>
      <c r="C15">
        <v>2017</v>
      </c>
      <c r="D15" t="s">
        <v>86</v>
      </c>
      <c r="E15" t="s">
        <v>87</v>
      </c>
    </row>
    <row r="16" spans="1:5" x14ac:dyDescent="0.3">
      <c r="A16" s="1">
        <v>42901</v>
      </c>
      <c r="B16" s="1">
        <v>42887</v>
      </c>
      <c r="C16">
        <v>2017</v>
      </c>
      <c r="D16" t="s">
        <v>86</v>
      </c>
      <c r="E16" t="s">
        <v>87</v>
      </c>
    </row>
    <row r="17" spans="1:5" x14ac:dyDescent="0.3">
      <c r="A17" s="1">
        <v>42902</v>
      </c>
      <c r="B17" s="1">
        <v>42887</v>
      </c>
      <c r="C17">
        <v>2017</v>
      </c>
      <c r="D17" t="s">
        <v>86</v>
      </c>
      <c r="E17" t="s">
        <v>87</v>
      </c>
    </row>
    <row r="18" spans="1:5" x14ac:dyDescent="0.3">
      <c r="A18" s="1">
        <v>42903</v>
      </c>
      <c r="B18" s="1">
        <v>42887</v>
      </c>
      <c r="C18">
        <v>2017</v>
      </c>
      <c r="D18" t="s">
        <v>86</v>
      </c>
      <c r="E18" t="s">
        <v>87</v>
      </c>
    </row>
    <row r="19" spans="1:5" x14ac:dyDescent="0.3">
      <c r="A19" s="1">
        <v>42904</v>
      </c>
      <c r="B19" s="1">
        <v>42887</v>
      </c>
      <c r="C19">
        <v>2017</v>
      </c>
      <c r="D19" t="s">
        <v>86</v>
      </c>
      <c r="E19" t="s">
        <v>87</v>
      </c>
    </row>
    <row r="20" spans="1:5" x14ac:dyDescent="0.3">
      <c r="A20" s="1">
        <v>42905</v>
      </c>
      <c r="B20" s="1">
        <v>42887</v>
      </c>
      <c r="C20">
        <v>2017</v>
      </c>
      <c r="D20" t="s">
        <v>86</v>
      </c>
      <c r="E20" t="s">
        <v>87</v>
      </c>
    </row>
    <row r="21" spans="1:5" x14ac:dyDescent="0.3">
      <c r="A21" s="1">
        <v>42906</v>
      </c>
      <c r="B21" s="1">
        <v>42887</v>
      </c>
      <c r="C21">
        <v>2017</v>
      </c>
      <c r="D21" t="s">
        <v>86</v>
      </c>
      <c r="E21" t="s">
        <v>87</v>
      </c>
    </row>
    <row r="22" spans="1:5" x14ac:dyDescent="0.3">
      <c r="A22" s="1">
        <v>42907</v>
      </c>
      <c r="B22" s="1">
        <v>42887</v>
      </c>
      <c r="C22">
        <v>2017</v>
      </c>
      <c r="D22" t="s">
        <v>86</v>
      </c>
      <c r="E22" t="s">
        <v>87</v>
      </c>
    </row>
    <row r="23" spans="1:5" x14ac:dyDescent="0.3">
      <c r="A23" s="1">
        <v>42908</v>
      </c>
      <c r="B23" s="1">
        <v>42887</v>
      </c>
      <c r="C23">
        <v>2017</v>
      </c>
      <c r="D23" t="s">
        <v>86</v>
      </c>
      <c r="E23" t="s">
        <v>87</v>
      </c>
    </row>
    <row r="24" spans="1:5" x14ac:dyDescent="0.3">
      <c r="A24" s="1">
        <v>42909</v>
      </c>
      <c r="B24" s="1">
        <v>42887</v>
      </c>
      <c r="C24">
        <v>2017</v>
      </c>
      <c r="D24" t="s">
        <v>86</v>
      </c>
      <c r="E24" t="s">
        <v>87</v>
      </c>
    </row>
    <row r="25" spans="1:5" x14ac:dyDescent="0.3">
      <c r="A25" s="1">
        <v>42910</v>
      </c>
      <c r="B25" s="1">
        <v>42887</v>
      </c>
      <c r="C25">
        <v>2017</v>
      </c>
      <c r="D25" t="s">
        <v>86</v>
      </c>
      <c r="E25" t="s">
        <v>87</v>
      </c>
    </row>
    <row r="26" spans="1:5" x14ac:dyDescent="0.3">
      <c r="A26" s="1">
        <v>42911</v>
      </c>
      <c r="B26" s="1">
        <v>42887</v>
      </c>
      <c r="C26">
        <v>2017</v>
      </c>
      <c r="D26" t="s">
        <v>86</v>
      </c>
      <c r="E26" t="s">
        <v>87</v>
      </c>
    </row>
    <row r="27" spans="1:5" x14ac:dyDescent="0.3">
      <c r="A27" s="1">
        <v>42912</v>
      </c>
      <c r="B27" s="1">
        <v>42887</v>
      </c>
      <c r="C27">
        <v>2017</v>
      </c>
      <c r="D27" t="s">
        <v>86</v>
      </c>
      <c r="E27" t="s">
        <v>87</v>
      </c>
    </row>
    <row r="28" spans="1:5" x14ac:dyDescent="0.3">
      <c r="A28" s="1">
        <v>42913</v>
      </c>
      <c r="B28" s="1">
        <v>42887</v>
      </c>
      <c r="C28">
        <v>2017</v>
      </c>
      <c r="D28" t="s">
        <v>86</v>
      </c>
      <c r="E28" t="s">
        <v>87</v>
      </c>
    </row>
    <row r="29" spans="1:5" x14ac:dyDescent="0.3">
      <c r="A29" s="1">
        <v>42914</v>
      </c>
      <c r="B29" s="1">
        <v>42887</v>
      </c>
      <c r="C29">
        <v>2017</v>
      </c>
      <c r="D29" t="s">
        <v>86</v>
      </c>
      <c r="E29" t="s">
        <v>87</v>
      </c>
    </row>
    <row r="30" spans="1:5" x14ac:dyDescent="0.3">
      <c r="A30" s="1">
        <v>42915</v>
      </c>
      <c r="B30" s="1">
        <v>42887</v>
      </c>
      <c r="C30">
        <v>2017</v>
      </c>
      <c r="D30" t="s">
        <v>86</v>
      </c>
      <c r="E30" t="s">
        <v>87</v>
      </c>
    </row>
    <row r="31" spans="1:5" x14ac:dyDescent="0.3">
      <c r="A31" s="1">
        <v>42916</v>
      </c>
      <c r="B31" s="1">
        <v>42887</v>
      </c>
      <c r="C31">
        <v>2017</v>
      </c>
      <c r="D31" t="s">
        <v>86</v>
      </c>
      <c r="E31" t="s">
        <v>87</v>
      </c>
    </row>
    <row r="32" spans="1:5" x14ac:dyDescent="0.3">
      <c r="A32" s="1">
        <v>42917</v>
      </c>
      <c r="B32" s="1">
        <v>42917</v>
      </c>
      <c r="C32">
        <v>2017</v>
      </c>
      <c r="D32" t="s">
        <v>88</v>
      </c>
      <c r="E32" t="s">
        <v>89</v>
      </c>
    </row>
    <row r="33" spans="1:5" x14ac:dyDescent="0.3">
      <c r="A33" s="1">
        <v>42918</v>
      </c>
      <c r="B33" s="1">
        <v>42917</v>
      </c>
      <c r="C33">
        <v>2017</v>
      </c>
      <c r="D33" t="s">
        <v>88</v>
      </c>
      <c r="E33" t="s">
        <v>89</v>
      </c>
    </row>
    <row r="34" spans="1:5" x14ac:dyDescent="0.3">
      <c r="A34" s="1">
        <v>42919</v>
      </c>
      <c r="B34" s="1">
        <v>42917</v>
      </c>
      <c r="C34">
        <v>2017</v>
      </c>
      <c r="D34" t="s">
        <v>88</v>
      </c>
      <c r="E34" t="s">
        <v>89</v>
      </c>
    </row>
    <row r="35" spans="1:5" x14ac:dyDescent="0.3">
      <c r="A35" s="1">
        <v>42920</v>
      </c>
      <c r="B35" s="1">
        <v>42917</v>
      </c>
      <c r="C35">
        <v>2017</v>
      </c>
      <c r="D35" t="s">
        <v>88</v>
      </c>
      <c r="E35" t="s">
        <v>89</v>
      </c>
    </row>
    <row r="36" spans="1:5" x14ac:dyDescent="0.3">
      <c r="A36" s="1">
        <v>42921</v>
      </c>
      <c r="B36" s="1">
        <v>42917</v>
      </c>
      <c r="C36">
        <v>2017</v>
      </c>
      <c r="D36" t="s">
        <v>88</v>
      </c>
      <c r="E36" t="s">
        <v>89</v>
      </c>
    </row>
    <row r="37" spans="1:5" x14ac:dyDescent="0.3">
      <c r="A37" s="1">
        <v>42922</v>
      </c>
      <c r="B37" s="1">
        <v>42917</v>
      </c>
      <c r="C37">
        <v>2017</v>
      </c>
      <c r="D37" t="s">
        <v>88</v>
      </c>
      <c r="E37" t="s">
        <v>89</v>
      </c>
    </row>
    <row r="38" spans="1:5" x14ac:dyDescent="0.3">
      <c r="A38" s="1">
        <v>42923</v>
      </c>
      <c r="B38" s="1">
        <v>42917</v>
      </c>
      <c r="C38">
        <v>2017</v>
      </c>
      <c r="D38" t="s">
        <v>88</v>
      </c>
      <c r="E38" t="s">
        <v>89</v>
      </c>
    </row>
    <row r="39" spans="1:5" x14ac:dyDescent="0.3">
      <c r="A39" s="1">
        <v>42924</v>
      </c>
      <c r="B39" s="1">
        <v>42917</v>
      </c>
      <c r="C39">
        <v>2017</v>
      </c>
      <c r="D39" t="s">
        <v>88</v>
      </c>
      <c r="E39" t="s">
        <v>89</v>
      </c>
    </row>
    <row r="40" spans="1:5" x14ac:dyDescent="0.3">
      <c r="A40" s="1">
        <v>42925</v>
      </c>
      <c r="B40" s="1">
        <v>42917</v>
      </c>
      <c r="C40">
        <v>2017</v>
      </c>
      <c r="D40" t="s">
        <v>88</v>
      </c>
      <c r="E40" t="s">
        <v>89</v>
      </c>
    </row>
    <row r="41" spans="1:5" x14ac:dyDescent="0.3">
      <c r="A41" s="1">
        <v>42926</v>
      </c>
      <c r="B41" s="1">
        <v>42917</v>
      </c>
      <c r="C41">
        <v>2017</v>
      </c>
      <c r="D41" t="s">
        <v>88</v>
      </c>
      <c r="E41" t="s">
        <v>89</v>
      </c>
    </row>
    <row r="42" spans="1:5" x14ac:dyDescent="0.3">
      <c r="A42" s="1">
        <v>42927</v>
      </c>
      <c r="B42" s="1">
        <v>42917</v>
      </c>
      <c r="C42">
        <v>2017</v>
      </c>
      <c r="D42" t="s">
        <v>88</v>
      </c>
      <c r="E42" t="s">
        <v>89</v>
      </c>
    </row>
    <row r="43" spans="1:5" x14ac:dyDescent="0.3">
      <c r="A43" s="1">
        <v>42928</v>
      </c>
      <c r="B43" s="1">
        <v>42917</v>
      </c>
      <c r="C43">
        <v>2017</v>
      </c>
      <c r="D43" t="s">
        <v>88</v>
      </c>
      <c r="E43" t="s">
        <v>89</v>
      </c>
    </row>
    <row r="44" spans="1:5" x14ac:dyDescent="0.3">
      <c r="A44" s="1">
        <v>42929</v>
      </c>
      <c r="B44" s="1">
        <v>42917</v>
      </c>
      <c r="C44">
        <v>2017</v>
      </c>
      <c r="D44" t="s">
        <v>88</v>
      </c>
      <c r="E44" t="s">
        <v>89</v>
      </c>
    </row>
    <row r="45" spans="1:5" x14ac:dyDescent="0.3">
      <c r="A45" s="1">
        <v>42930</v>
      </c>
      <c r="B45" s="1">
        <v>42917</v>
      </c>
      <c r="C45">
        <v>2017</v>
      </c>
      <c r="D45" t="s">
        <v>88</v>
      </c>
      <c r="E45" t="s">
        <v>89</v>
      </c>
    </row>
    <row r="46" spans="1:5" x14ac:dyDescent="0.3">
      <c r="A46" s="1">
        <v>42931</v>
      </c>
      <c r="B46" s="1">
        <v>42917</v>
      </c>
      <c r="C46">
        <v>2017</v>
      </c>
      <c r="D46" t="s">
        <v>88</v>
      </c>
      <c r="E46" t="s">
        <v>89</v>
      </c>
    </row>
    <row r="47" spans="1:5" x14ac:dyDescent="0.3">
      <c r="A47" s="1">
        <v>42932</v>
      </c>
      <c r="B47" s="1">
        <v>42917</v>
      </c>
      <c r="C47">
        <v>2017</v>
      </c>
      <c r="D47" t="s">
        <v>88</v>
      </c>
      <c r="E47" t="s">
        <v>89</v>
      </c>
    </row>
    <row r="48" spans="1:5" x14ac:dyDescent="0.3">
      <c r="A48" s="1">
        <v>42933</v>
      </c>
      <c r="B48" s="1">
        <v>42917</v>
      </c>
      <c r="C48">
        <v>2017</v>
      </c>
      <c r="D48" t="s">
        <v>88</v>
      </c>
      <c r="E48" t="s">
        <v>89</v>
      </c>
    </row>
    <row r="49" spans="1:5" x14ac:dyDescent="0.3">
      <c r="A49" s="1">
        <v>42934</v>
      </c>
      <c r="B49" s="1">
        <v>42917</v>
      </c>
      <c r="C49">
        <v>2017</v>
      </c>
      <c r="D49" t="s">
        <v>88</v>
      </c>
      <c r="E49" t="s">
        <v>89</v>
      </c>
    </row>
    <row r="50" spans="1:5" x14ac:dyDescent="0.3">
      <c r="A50" s="1">
        <v>42935</v>
      </c>
      <c r="B50" s="1">
        <v>42917</v>
      </c>
      <c r="C50">
        <v>2017</v>
      </c>
      <c r="D50" t="s">
        <v>88</v>
      </c>
      <c r="E50" t="s">
        <v>89</v>
      </c>
    </row>
    <row r="51" spans="1:5" x14ac:dyDescent="0.3">
      <c r="A51" s="1">
        <v>42936</v>
      </c>
      <c r="B51" s="1">
        <v>42917</v>
      </c>
      <c r="C51">
        <v>2017</v>
      </c>
      <c r="D51" t="s">
        <v>88</v>
      </c>
      <c r="E51" t="s">
        <v>89</v>
      </c>
    </row>
    <row r="52" spans="1:5" x14ac:dyDescent="0.3">
      <c r="A52" s="1">
        <v>42937</v>
      </c>
      <c r="B52" s="1">
        <v>42917</v>
      </c>
      <c r="C52">
        <v>2017</v>
      </c>
      <c r="D52" t="s">
        <v>88</v>
      </c>
      <c r="E52" t="s">
        <v>89</v>
      </c>
    </row>
    <row r="53" spans="1:5" x14ac:dyDescent="0.3">
      <c r="A53" s="1">
        <v>42938</v>
      </c>
      <c r="B53" s="1">
        <v>42917</v>
      </c>
      <c r="C53">
        <v>2017</v>
      </c>
      <c r="D53" t="s">
        <v>88</v>
      </c>
      <c r="E53" t="s">
        <v>89</v>
      </c>
    </row>
    <row r="54" spans="1:5" x14ac:dyDescent="0.3">
      <c r="A54" s="1">
        <v>42939</v>
      </c>
      <c r="B54" s="1">
        <v>42917</v>
      </c>
      <c r="C54">
        <v>2017</v>
      </c>
      <c r="D54" t="s">
        <v>88</v>
      </c>
      <c r="E54" t="s">
        <v>89</v>
      </c>
    </row>
    <row r="55" spans="1:5" x14ac:dyDescent="0.3">
      <c r="A55" s="1">
        <v>42940</v>
      </c>
      <c r="B55" s="1">
        <v>42917</v>
      </c>
      <c r="C55">
        <v>2017</v>
      </c>
      <c r="D55" t="s">
        <v>88</v>
      </c>
      <c r="E55" t="s">
        <v>89</v>
      </c>
    </row>
    <row r="56" spans="1:5" x14ac:dyDescent="0.3">
      <c r="A56" s="1">
        <v>42941</v>
      </c>
      <c r="B56" s="1">
        <v>42917</v>
      </c>
      <c r="C56">
        <v>2017</v>
      </c>
      <c r="D56" t="s">
        <v>88</v>
      </c>
      <c r="E56" t="s">
        <v>89</v>
      </c>
    </row>
    <row r="57" spans="1:5" x14ac:dyDescent="0.3">
      <c r="A57" s="1">
        <v>42942</v>
      </c>
      <c r="B57" s="1">
        <v>42917</v>
      </c>
      <c r="C57">
        <v>2017</v>
      </c>
      <c r="D57" t="s">
        <v>88</v>
      </c>
      <c r="E57" t="s">
        <v>89</v>
      </c>
    </row>
    <row r="58" spans="1:5" x14ac:dyDescent="0.3">
      <c r="A58" s="1">
        <v>42943</v>
      </c>
      <c r="B58" s="1">
        <v>42917</v>
      </c>
      <c r="C58">
        <v>2017</v>
      </c>
      <c r="D58" t="s">
        <v>88</v>
      </c>
      <c r="E58" t="s">
        <v>89</v>
      </c>
    </row>
    <row r="59" spans="1:5" x14ac:dyDescent="0.3">
      <c r="A59" s="1">
        <v>42944</v>
      </c>
      <c r="B59" s="1">
        <v>42917</v>
      </c>
      <c r="C59">
        <v>2017</v>
      </c>
      <c r="D59" t="s">
        <v>88</v>
      </c>
      <c r="E59" t="s">
        <v>89</v>
      </c>
    </row>
    <row r="60" spans="1:5" x14ac:dyDescent="0.3">
      <c r="A60" s="1">
        <v>42945</v>
      </c>
      <c r="B60" s="1">
        <v>42917</v>
      </c>
      <c r="C60">
        <v>2017</v>
      </c>
      <c r="D60" t="s">
        <v>88</v>
      </c>
      <c r="E60" t="s">
        <v>89</v>
      </c>
    </row>
    <row r="61" spans="1:5" x14ac:dyDescent="0.3">
      <c r="A61" s="1">
        <v>42946</v>
      </c>
      <c r="B61" s="1">
        <v>42917</v>
      </c>
      <c r="C61">
        <v>2017</v>
      </c>
      <c r="D61" t="s">
        <v>88</v>
      </c>
      <c r="E61" t="s">
        <v>89</v>
      </c>
    </row>
    <row r="62" spans="1:5" x14ac:dyDescent="0.3">
      <c r="A62" s="1">
        <v>42947</v>
      </c>
      <c r="B62" s="1">
        <v>42917</v>
      </c>
      <c r="C62">
        <v>2017</v>
      </c>
      <c r="D62" t="s">
        <v>88</v>
      </c>
      <c r="E62" t="s">
        <v>89</v>
      </c>
    </row>
    <row r="63" spans="1:5" x14ac:dyDescent="0.3">
      <c r="A63" s="1">
        <v>42948</v>
      </c>
      <c r="B63" s="1">
        <v>42948</v>
      </c>
      <c r="C63">
        <v>2017</v>
      </c>
      <c r="D63" t="s">
        <v>90</v>
      </c>
      <c r="E63" t="s">
        <v>91</v>
      </c>
    </row>
    <row r="64" spans="1:5" x14ac:dyDescent="0.3">
      <c r="A64" s="1">
        <v>42949</v>
      </c>
      <c r="B64" s="1">
        <v>42948</v>
      </c>
      <c r="C64">
        <v>2017</v>
      </c>
      <c r="D64" t="s">
        <v>90</v>
      </c>
      <c r="E64" t="s">
        <v>91</v>
      </c>
    </row>
    <row r="65" spans="1:5" x14ac:dyDescent="0.3">
      <c r="A65" s="1">
        <v>42950</v>
      </c>
      <c r="B65" s="1">
        <v>42948</v>
      </c>
      <c r="C65">
        <v>2017</v>
      </c>
      <c r="D65" t="s">
        <v>90</v>
      </c>
      <c r="E65" t="s">
        <v>91</v>
      </c>
    </row>
    <row r="66" spans="1:5" x14ac:dyDescent="0.3">
      <c r="A66" s="1">
        <v>42951</v>
      </c>
      <c r="B66" s="1">
        <v>42948</v>
      </c>
      <c r="C66">
        <v>2017</v>
      </c>
      <c r="D66" t="s">
        <v>90</v>
      </c>
      <c r="E66" t="s">
        <v>91</v>
      </c>
    </row>
    <row r="67" spans="1:5" x14ac:dyDescent="0.3">
      <c r="A67" s="1">
        <v>42952</v>
      </c>
      <c r="B67" s="1">
        <v>42948</v>
      </c>
      <c r="C67">
        <v>2017</v>
      </c>
      <c r="D67" t="s">
        <v>90</v>
      </c>
      <c r="E67" t="s">
        <v>91</v>
      </c>
    </row>
    <row r="68" spans="1:5" x14ac:dyDescent="0.3">
      <c r="A68" s="1">
        <v>42953</v>
      </c>
      <c r="B68" s="1">
        <v>42948</v>
      </c>
      <c r="C68">
        <v>2017</v>
      </c>
      <c r="D68" t="s">
        <v>90</v>
      </c>
      <c r="E68" t="s">
        <v>91</v>
      </c>
    </row>
    <row r="69" spans="1:5" x14ac:dyDescent="0.3">
      <c r="A69" s="1">
        <v>42954</v>
      </c>
      <c r="B69" s="1">
        <v>42948</v>
      </c>
      <c r="C69">
        <v>2017</v>
      </c>
      <c r="D69" t="s">
        <v>90</v>
      </c>
      <c r="E69" t="s">
        <v>91</v>
      </c>
    </row>
    <row r="70" spans="1:5" x14ac:dyDescent="0.3">
      <c r="A70" s="1">
        <v>42955</v>
      </c>
      <c r="B70" s="1">
        <v>42948</v>
      </c>
      <c r="C70">
        <v>2017</v>
      </c>
      <c r="D70" t="s">
        <v>90</v>
      </c>
      <c r="E70" t="s">
        <v>91</v>
      </c>
    </row>
    <row r="71" spans="1:5" x14ac:dyDescent="0.3">
      <c r="A71" s="1">
        <v>42956</v>
      </c>
      <c r="B71" s="1">
        <v>42948</v>
      </c>
      <c r="C71">
        <v>2017</v>
      </c>
      <c r="D71" t="s">
        <v>90</v>
      </c>
      <c r="E71" t="s">
        <v>91</v>
      </c>
    </row>
    <row r="72" spans="1:5" x14ac:dyDescent="0.3">
      <c r="A72" s="1">
        <v>42957</v>
      </c>
      <c r="B72" s="1">
        <v>42948</v>
      </c>
      <c r="C72">
        <v>2017</v>
      </c>
      <c r="D72" t="s">
        <v>90</v>
      </c>
      <c r="E72" t="s">
        <v>91</v>
      </c>
    </row>
    <row r="73" spans="1:5" x14ac:dyDescent="0.3">
      <c r="A73" s="1">
        <v>42958</v>
      </c>
      <c r="B73" s="1">
        <v>42948</v>
      </c>
      <c r="C73">
        <v>2017</v>
      </c>
      <c r="D73" t="s">
        <v>90</v>
      </c>
      <c r="E73" t="s">
        <v>91</v>
      </c>
    </row>
    <row r="74" spans="1:5" x14ac:dyDescent="0.3">
      <c r="A74" s="1">
        <v>42959</v>
      </c>
      <c r="B74" s="1">
        <v>42948</v>
      </c>
      <c r="C74">
        <v>2017</v>
      </c>
      <c r="D74" t="s">
        <v>90</v>
      </c>
      <c r="E74" t="s">
        <v>91</v>
      </c>
    </row>
    <row r="75" spans="1:5" x14ac:dyDescent="0.3">
      <c r="A75" s="1">
        <v>42960</v>
      </c>
      <c r="B75" s="1">
        <v>42948</v>
      </c>
      <c r="C75">
        <v>2017</v>
      </c>
      <c r="D75" t="s">
        <v>90</v>
      </c>
      <c r="E75" t="s">
        <v>91</v>
      </c>
    </row>
    <row r="76" spans="1:5" x14ac:dyDescent="0.3">
      <c r="A76" s="1">
        <v>42961</v>
      </c>
      <c r="B76" s="1">
        <v>42948</v>
      </c>
      <c r="C76">
        <v>2017</v>
      </c>
      <c r="D76" t="s">
        <v>90</v>
      </c>
      <c r="E76" t="s">
        <v>91</v>
      </c>
    </row>
    <row r="77" spans="1:5" x14ac:dyDescent="0.3">
      <c r="A77" s="1">
        <v>42962</v>
      </c>
      <c r="B77" s="1">
        <v>42948</v>
      </c>
      <c r="C77">
        <v>2017</v>
      </c>
      <c r="D77" t="s">
        <v>90</v>
      </c>
      <c r="E77" t="s">
        <v>91</v>
      </c>
    </row>
    <row r="78" spans="1:5" x14ac:dyDescent="0.3">
      <c r="A78" s="1">
        <v>42963</v>
      </c>
      <c r="B78" s="1">
        <v>42948</v>
      </c>
      <c r="C78">
        <v>2017</v>
      </c>
      <c r="D78" t="s">
        <v>90</v>
      </c>
      <c r="E78" t="s">
        <v>91</v>
      </c>
    </row>
    <row r="79" spans="1:5" x14ac:dyDescent="0.3">
      <c r="A79" s="1">
        <v>42964</v>
      </c>
      <c r="B79" s="1">
        <v>42948</v>
      </c>
      <c r="C79">
        <v>2017</v>
      </c>
      <c r="D79" t="s">
        <v>90</v>
      </c>
      <c r="E79" t="s">
        <v>91</v>
      </c>
    </row>
    <row r="80" spans="1:5" x14ac:dyDescent="0.3">
      <c r="A80" s="1">
        <v>42965</v>
      </c>
      <c r="B80" s="1">
        <v>42948</v>
      </c>
      <c r="C80">
        <v>2017</v>
      </c>
      <c r="D80" t="s">
        <v>90</v>
      </c>
      <c r="E80" t="s">
        <v>91</v>
      </c>
    </row>
    <row r="81" spans="1:5" x14ac:dyDescent="0.3">
      <c r="A81" s="1">
        <v>42966</v>
      </c>
      <c r="B81" s="1">
        <v>42948</v>
      </c>
      <c r="C81">
        <v>2017</v>
      </c>
      <c r="D81" t="s">
        <v>90</v>
      </c>
      <c r="E81" t="s">
        <v>91</v>
      </c>
    </row>
    <row r="82" spans="1:5" x14ac:dyDescent="0.3">
      <c r="A82" s="1">
        <v>42967</v>
      </c>
      <c r="B82" s="1">
        <v>42948</v>
      </c>
      <c r="C82">
        <v>2017</v>
      </c>
      <c r="D82" t="s">
        <v>90</v>
      </c>
      <c r="E82" t="s">
        <v>91</v>
      </c>
    </row>
    <row r="83" spans="1:5" x14ac:dyDescent="0.3">
      <c r="A83" s="1">
        <v>42968</v>
      </c>
      <c r="B83" s="1">
        <v>42948</v>
      </c>
      <c r="C83">
        <v>2017</v>
      </c>
      <c r="D83" t="s">
        <v>90</v>
      </c>
      <c r="E83" t="s">
        <v>91</v>
      </c>
    </row>
    <row r="84" spans="1:5" x14ac:dyDescent="0.3">
      <c r="A84" s="1">
        <v>42969</v>
      </c>
      <c r="B84" s="1">
        <v>42948</v>
      </c>
      <c r="C84">
        <v>2017</v>
      </c>
      <c r="D84" t="s">
        <v>90</v>
      </c>
      <c r="E84" t="s">
        <v>91</v>
      </c>
    </row>
    <row r="85" spans="1:5" x14ac:dyDescent="0.3">
      <c r="A85" s="1">
        <v>42970</v>
      </c>
      <c r="B85" s="1">
        <v>42948</v>
      </c>
      <c r="C85">
        <v>2017</v>
      </c>
      <c r="D85" t="s">
        <v>90</v>
      </c>
      <c r="E85" t="s">
        <v>91</v>
      </c>
    </row>
    <row r="86" spans="1:5" x14ac:dyDescent="0.3">
      <c r="A86" s="1">
        <v>42971</v>
      </c>
      <c r="B86" s="1">
        <v>42948</v>
      </c>
      <c r="C86">
        <v>2017</v>
      </c>
      <c r="D86" t="s">
        <v>90</v>
      </c>
      <c r="E86" t="s">
        <v>91</v>
      </c>
    </row>
    <row r="87" spans="1:5" x14ac:dyDescent="0.3">
      <c r="A87" s="1">
        <v>42972</v>
      </c>
      <c r="B87" s="1">
        <v>42948</v>
      </c>
      <c r="C87">
        <v>2017</v>
      </c>
      <c r="D87" t="s">
        <v>90</v>
      </c>
      <c r="E87" t="s">
        <v>91</v>
      </c>
    </row>
    <row r="88" spans="1:5" x14ac:dyDescent="0.3">
      <c r="A88" s="1">
        <v>42973</v>
      </c>
      <c r="B88" s="1">
        <v>42948</v>
      </c>
      <c r="C88">
        <v>2017</v>
      </c>
      <c r="D88" t="s">
        <v>90</v>
      </c>
      <c r="E88" t="s">
        <v>91</v>
      </c>
    </row>
    <row r="89" spans="1:5" x14ac:dyDescent="0.3">
      <c r="A89" s="1">
        <v>42974</v>
      </c>
      <c r="B89" s="1">
        <v>42948</v>
      </c>
      <c r="C89">
        <v>2017</v>
      </c>
      <c r="D89" t="s">
        <v>90</v>
      </c>
      <c r="E89" t="s">
        <v>91</v>
      </c>
    </row>
    <row r="90" spans="1:5" x14ac:dyDescent="0.3">
      <c r="A90" s="1">
        <v>42975</v>
      </c>
      <c r="B90" s="1">
        <v>42948</v>
      </c>
      <c r="C90">
        <v>2017</v>
      </c>
      <c r="D90" t="s">
        <v>90</v>
      </c>
      <c r="E90" t="s">
        <v>91</v>
      </c>
    </row>
    <row r="91" spans="1:5" x14ac:dyDescent="0.3">
      <c r="A91" s="1">
        <v>42976</v>
      </c>
      <c r="B91" s="1">
        <v>42948</v>
      </c>
      <c r="C91">
        <v>2017</v>
      </c>
      <c r="D91" t="s">
        <v>90</v>
      </c>
      <c r="E91" t="s">
        <v>91</v>
      </c>
    </row>
    <row r="92" spans="1:5" x14ac:dyDescent="0.3">
      <c r="A92" s="1">
        <v>42977</v>
      </c>
      <c r="B92" s="1">
        <v>42948</v>
      </c>
      <c r="C92">
        <v>2017</v>
      </c>
      <c r="D92" t="s">
        <v>90</v>
      </c>
      <c r="E92" t="s">
        <v>91</v>
      </c>
    </row>
    <row r="93" spans="1:5" x14ac:dyDescent="0.3">
      <c r="A93" s="1">
        <v>42978</v>
      </c>
      <c r="B93" s="1">
        <v>42948</v>
      </c>
      <c r="C93">
        <v>2017</v>
      </c>
      <c r="D93" t="s">
        <v>90</v>
      </c>
      <c r="E93" t="s">
        <v>91</v>
      </c>
    </row>
    <row r="94" spans="1:5" x14ac:dyDescent="0.3">
      <c r="A94" s="1">
        <v>42979</v>
      </c>
      <c r="B94" s="1">
        <v>42979</v>
      </c>
      <c r="C94">
        <v>2017</v>
      </c>
      <c r="D94" t="s">
        <v>92</v>
      </c>
      <c r="E94" t="s">
        <v>93</v>
      </c>
    </row>
    <row r="95" spans="1:5" x14ac:dyDescent="0.3">
      <c r="A95" s="1">
        <v>42980</v>
      </c>
      <c r="B95" s="1">
        <v>42979</v>
      </c>
      <c r="C95">
        <v>2017</v>
      </c>
      <c r="D95" t="s">
        <v>92</v>
      </c>
      <c r="E95" t="s">
        <v>93</v>
      </c>
    </row>
    <row r="96" spans="1:5" x14ac:dyDescent="0.3">
      <c r="A96" s="1">
        <v>42981</v>
      </c>
      <c r="B96" s="1">
        <v>42979</v>
      </c>
      <c r="C96">
        <v>2017</v>
      </c>
      <c r="D96" t="s">
        <v>92</v>
      </c>
      <c r="E96" t="s">
        <v>93</v>
      </c>
    </row>
    <row r="97" spans="1:5" x14ac:dyDescent="0.3">
      <c r="A97" s="1">
        <v>42982</v>
      </c>
      <c r="B97" s="1">
        <v>42979</v>
      </c>
      <c r="C97">
        <v>2017</v>
      </c>
      <c r="D97" t="s">
        <v>92</v>
      </c>
      <c r="E97" t="s">
        <v>93</v>
      </c>
    </row>
    <row r="98" spans="1:5" x14ac:dyDescent="0.3">
      <c r="A98" s="1">
        <v>42983</v>
      </c>
      <c r="B98" s="1">
        <v>42979</v>
      </c>
      <c r="C98">
        <v>2017</v>
      </c>
      <c r="D98" t="s">
        <v>92</v>
      </c>
      <c r="E98" t="s">
        <v>93</v>
      </c>
    </row>
    <row r="99" spans="1:5" x14ac:dyDescent="0.3">
      <c r="A99" s="1">
        <v>42984</v>
      </c>
      <c r="B99" s="1">
        <v>42979</v>
      </c>
      <c r="C99">
        <v>2017</v>
      </c>
      <c r="D99" t="s">
        <v>92</v>
      </c>
      <c r="E99" t="s">
        <v>93</v>
      </c>
    </row>
    <row r="100" spans="1:5" x14ac:dyDescent="0.3">
      <c r="A100" s="1">
        <v>42985</v>
      </c>
      <c r="B100" s="1">
        <v>42979</v>
      </c>
      <c r="C100">
        <v>2017</v>
      </c>
      <c r="D100" t="s">
        <v>92</v>
      </c>
      <c r="E100" t="s">
        <v>93</v>
      </c>
    </row>
    <row r="101" spans="1:5" x14ac:dyDescent="0.3">
      <c r="A101" s="1">
        <v>42986</v>
      </c>
      <c r="B101" s="1">
        <v>42979</v>
      </c>
      <c r="C101">
        <v>2017</v>
      </c>
      <c r="D101" t="s">
        <v>92</v>
      </c>
      <c r="E101" t="s">
        <v>93</v>
      </c>
    </row>
    <row r="102" spans="1:5" x14ac:dyDescent="0.3">
      <c r="A102" s="1">
        <v>42987</v>
      </c>
      <c r="B102" s="1">
        <v>42979</v>
      </c>
      <c r="C102">
        <v>2017</v>
      </c>
      <c r="D102" t="s">
        <v>92</v>
      </c>
      <c r="E102" t="s">
        <v>93</v>
      </c>
    </row>
    <row r="103" spans="1:5" x14ac:dyDescent="0.3">
      <c r="A103" s="1">
        <v>42988</v>
      </c>
      <c r="B103" s="1">
        <v>42979</v>
      </c>
      <c r="C103">
        <v>2017</v>
      </c>
      <c r="D103" t="s">
        <v>92</v>
      </c>
      <c r="E103" t="s">
        <v>93</v>
      </c>
    </row>
    <row r="104" spans="1:5" x14ac:dyDescent="0.3">
      <c r="A104" s="1">
        <v>42989</v>
      </c>
      <c r="B104" s="1">
        <v>42979</v>
      </c>
      <c r="C104">
        <v>2017</v>
      </c>
      <c r="D104" t="s">
        <v>92</v>
      </c>
      <c r="E104" t="s">
        <v>93</v>
      </c>
    </row>
    <row r="105" spans="1:5" x14ac:dyDescent="0.3">
      <c r="A105" s="1">
        <v>42990</v>
      </c>
      <c r="B105" s="1">
        <v>42979</v>
      </c>
      <c r="C105">
        <v>2017</v>
      </c>
      <c r="D105" t="s">
        <v>92</v>
      </c>
      <c r="E105" t="s">
        <v>93</v>
      </c>
    </row>
    <row r="106" spans="1:5" x14ac:dyDescent="0.3">
      <c r="A106" s="1">
        <v>42991</v>
      </c>
      <c r="B106" s="1">
        <v>42979</v>
      </c>
      <c r="C106">
        <v>2017</v>
      </c>
      <c r="D106" t="s">
        <v>92</v>
      </c>
      <c r="E106" t="s">
        <v>93</v>
      </c>
    </row>
    <row r="107" spans="1:5" x14ac:dyDescent="0.3">
      <c r="A107" s="1">
        <v>42992</v>
      </c>
      <c r="B107" s="1">
        <v>42979</v>
      </c>
      <c r="C107">
        <v>2017</v>
      </c>
      <c r="D107" t="s">
        <v>92</v>
      </c>
      <c r="E107" t="s">
        <v>93</v>
      </c>
    </row>
    <row r="108" spans="1:5" x14ac:dyDescent="0.3">
      <c r="A108" s="1">
        <v>42993</v>
      </c>
      <c r="B108" s="1">
        <v>42979</v>
      </c>
      <c r="C108">
        <v>2017</v>
      </c>
      <c r="D108" t="s">
        <v>92</v>
      </c>
      <c r="E108" t="s">
        <v>93</v>
      </c>
    </row>
    <row r="109" spans="1:5" x14ac:dyDescent="0.3">
      <c r="A109" s="1">
        <v>42994</v>
      </c>
      <c r="B109" s="1">
        <v>42979</v>
      </c>
      <c r="C109">
        <v>2017</v>
      </c>
      <c r="D109" t="s">
        <v>92</v>
      </c>
      <c r="E109" t="s">
        <v>93</v>
      </c>
    </row>
    <row r="110" spans="1:5" x14ac:dyDescent="0.3">
      <c r="A110" s="1">
        <v>42995</v>
      </c>
      <c r="B110" s="1">
        <v>42979</v>
      </c>
      <c r="C110">
        <v>2017</v>
      </c>
      <c r="D110" t="s">
        <v>92</v>
      </c>
      <c r="E110" t="s">
        <v>93</v>
      </c>
    </row>
    <row r="111" spans="1:5" x14ac:dyDescent="0.3">
      <c r="A111" s="1">
        <v>42996</v>
      </c>
      <c r="B111" s="1">
        <v>42979</v>
      </c>
      <c r="C111">
        <v>2017</v>
      </c>
      <c r="D111" t="s">
        <v>92</v>
      </c>
      <c r="E111" t="s">
        <v>93</v>
      </c>
    </row>
    <row r="112" spans="1:5" x14ac:dyDescent="0.3">
      <c r="A112" s="1">
        <v>42997</v>
      </c>
      <c r="B112" s="1">
        <v>42979</v>
      </c>
      <c r="C112">
        <v>2017</v>
      </c>
      <c r="D112" t="s">
        <v>92</v>
      </c>
      <c r="E112" t="s">
        <v>93</v>
      </c>
    </row>
    <row r="113" spans="1:5" x14ac:dyDescent="0.3">
      <c r="A113" s="1">
        <v>42998</v>
      </c>
      <c r="B113" s="1">
        <v>42979</v>
      </c>
      <c r="C113">
        <v>2017</v>
      </c>
      <c r="D113" t="s">
        <v>92</v>
      </c>
      <c r="E113" t="s">
        <v>93</v>
      </c>
    </row>
    <row r="114" spans="1:5" x14ac:dyDescent="0.3">
      <c r="A114" s="1">
        <v>42999</v>
      </c>
      <c r="B114" s="1">
        <v>42979</v>
      </c>
      <c r="C114">
        <v>2017</v>
      </c>
      <c r="D114" t="s">
        <v>92</v>
      </c>
      <c r="E114" t="s">
        <v>93</v>
      </c>
    </row>
    <row r="115" spans="1:5" x14ac:dyDescent="0.3">
      <c r="A115" s="1">
        <v>43000</v>
      </c>
      <c r="B115" s="1">
        <v>42979</v>
      </c>
      <c r="C115">
        <v>2017</v>
      </c>
      <c r="D115" t="s">
        <v>92</v>
      </c>
      <c r="E115" t="s">
        <v>93</v>
      </c>
    </row>
    <row r="116" spans="1:5" x14ac:dyDescent="0.3">
      <c r="A116" s="1">
        <v>43001</v>
      </c>
      <c r="B116" s="1">
        <v>42979</v>
      </c>
      <c r="C116">
        <v>2017</v>
      </c>
      <c r="D116" t="s">
        <v>92</v>
      </c>
      <c r="E116" t="s">
        <v>93</v>
      </c>
    </row>
    <row r="117" spans="1:5" x14ac:dyDescent="0.3">
      <c r="A117" s="1">
        <v>43002</v>
      </c>
      <c r="B117" s="1">
        <v>42979</v>
      </c>
      <c r="C117">
        <v>2017</v>
      </c>
      <c r="D117" t="s">
        <v>92</v>
      </c>
      <c r="E117" t="s">
        <v>93</v>
      </c>
    </row>
    <row r="118" spans="1:5" x14ac:dyDescent="0.3">
      <c r="A118" s="1">
        <v>43003</v>
      </c>
      <c r="B118" s="1">
        <v>42979</v>
      </c>
      <c r="C118">
        <v>2017</v>
      </c>
      <c r="D118" t="s">
        <v>92</v>
      </c>
      <c r="E118" t="s">
        <v>93</v>
      </c>
    </row>
    <row r="119" spans="1:5" x14ac:dyDescent="0.3">
      <c r="A119" s="1">
        <v>43004</v>
      </c>
      <c r="B119" s="1">
        <v>42979</v>
      </c>
      <c r="C119">
        <v>2017</v>
      </c>
      <c r="D119" t="s">
        <v>92</v>
      </c>
      <c r="E119" t="s">
        <v>93</v>
      </c>
    </row>
    <row r="120" spans="1:5" x14ac:dyDescent="0.3">
      <c r="A120" s="1">
        <v>43005</v>
      </c>
      <c r="B120" s="1">
        <v>42979</v>
      </c>
      <c r="C120">
        <v>2017</v>
      </c>
      <c r="D120" t="s">
        <v>92</v>
      </c>
      <c r="E120" t="s">
        <v>93</v>
      </c>
    </row>
    <row r="121" spans="1:5" x14ac:dyDescent="0.3">
      <c r="A121" s="1">
        <v>43006</v>
      </c>
      <c r="B121" s="1">
        <v>42979</v>
      </c>
      <c r="C121">
        <v>2017</v>
      </c>
      <c r="D121" t="s">
        <v>92</v>
      </c>
      <c r="E121" t="s">
        <v>93</v>
      </c>
    </row>
    <row r="122" spans="1:5" x14ac:dyDescent="0.3">
      <c r="A122" s="1">
        <v>43007</v>
      </c>
      <c r="B122" s="1">
        <v>42979</v>
      </c>
      <c r="C122">
        <v>2017</v>
      </c>
      <c r="D122" t="s">
        <v>92</v>
      </c>
      <c r="E122" t="s">
        <v>93</v>
      </c>
    </row>
    <row r="123" spans="1:5" x14ac:dyDescent="0.3">
      <c r="A123" s="1">
        <v>43008</v>
      </c>
      <c r="B123" s="1">
        <v>42979</v>
      </c>
      <c r="C123">
        <v>2017</v>
      </c>
      <c r="D123" t="s">
        <v>92</v>
      </c>
      <c r="E123" t="s">
        <v>93</v>
      </c>
    </row>
    <row r="124" spans="1:5" x14ac:dyDescent="0.3">
      <c r="A124" s="1">
        <v>43009</v>
      </c>
      <c r="B124" s="1">
        <v>43009</v>
      </c>
      <c r="C124">
        <v>2017</v>
      </c>
      <c r="D124" t="s">
        <v>94</v>
      </c>
      <c r="E124" t="s">
        <v>95</v>
      </c>
    </row>
    <row r="125" spans="1:5" x14ac:dyDescent="0.3">
      <c r="A125" s="1">
        <v>43010</v>
      </c>
      <c r="B125" s="1">
        <v>43009</v>
      </c>
      <c r="C125">
        <v>2017</v>
      </c>
      <c r="D125" t="s">
        <v>94</v>
      </c>
      <c r="E125" t="s">
        <v>95</v>
      </c>
    </row>
    <row r="126" spans="1:5" x14ac:dyDescent="0.3">
      <c r="A126" s="1">
        <v>43011</v>
      </c>
      <c r="B126" s="1">
        <v>43009</v>
      </c>
      <c r="C126">
        <v>2017</v>
      </c>
      <c r="D126" t="s">
        <v>94</v>
      </c>
      <c r="E126" t="s">
        <v>95</v>
      </c>
    </row>
    <row r="127" spans="1:5" x14ac:dyDescent="0.3">
      <c r="A127" s="1">
        <v>43012</v>
      </c>
      <c r="B127" s="1">
        <v>43009</v>
      </c>
      <c r="C127">
        <v>2017</v>
      </c>
      <c r="D127" t="s">
        <v>94</v>
      </c>
      <c r="E127" t="s">
        <v>95</v>
      </c>
    </row>
    <row r="128" spans="1:5" x14ac:dyDescent="0.3">
      <c r="A128" s="1">
        <v>43013</v>
      </c>
      <c r="B128" s="1">
        <v>43009</v>
      </c>
      <c r="C128">
        <v>2017</v>
      </c>
      <c r="D128" t="s">
        <v>94</v>
      </c>
      <c r="E128" t="s">
        <v>95</v>
      </c>
    </row>
    <row r="129" spans="1:5" x14ac:dyDescent="0.3">
      <c r="A129" s="1">
        <v>43014</v>
      </c>
      <c r="B129" s="1">
        <v>43009</v>
      </c>
      <c r="C129">
        <v>2017</v>
      </c>
      <c r="D129" t="s">
        <v>94</v>
      </c>
      <c r="E129" t="s">
        <v>95</v>
      </c>
    </row>
    <row r="130" spans="1:5" x14ac:dyDescent="0.3">
      <c r="A130" s="1">
        <v>43015</v>
      </c>
      <c r="B130" s="1">
        <v>43009</v>
      </c>
      <c r="C130">
        <v>2017</v>
      </c>
      <c r="D130" t="s">
        <v>94</v>
      </c>
      <c r="E130" t="s">
        <v>95</v>
      </c>
    </row>
    <row r="131" spans="1:5" x14ac:dyDescent="0.3">
      <c r="A131" s="1">
        <v>43016</v>
      </c>
      <c r="B131" s="1">
        <v>43009</v>
      </c>
      <c r="C131">
        <v>2017</v>
      </c>
      <c r="D131" t="s">
        <v>94</v>
      </c>
      <c r="E131" t="s">
        <v>95</v>
      </c>
    </row>
    <row r="132" spans="1:5" x14ac:dyDescent="0.3">
      <c r="A132" s="1">
        <v>43017</v>
      </c>
      <c r="B132" s="1">
        <v>43009</v>
      </c>
      <c r="C132">
        <v>2017</v>
      </c>
      <c r="D132" t="s">
        <v>94</v>
      </c>
      <c r="E132" t="s">
        <v>95</v>
      </c>
    </row>
    <row r="133" spans="1:5" x14ac:dyDescent="0.3">
      <c r="A133" s="1">
        <v>43018</v>
      </c>
      <c r="B133" s="1">
        <v>43009</v>
      </c>
      <c r="C133">
        <v>2017</v>
      </c>
      <c r="D133" t="s">
        <v>94</v>
      </c>
      <c r="E133" t="s">
        <v>95</v>
      </c>
    </row>
    <row r="134" spans="1:5" x14ac:dyDescent="0.3">
      <c r="A134" s="1">
        <v>43019</v>
      </c>
      <c r="B134" s="1">
        <v>43009</v>
      </c>
      <c r="C134">
        <v>2017</v>
      </c>
      <c r="D134" t="s">
        <v>94</v>
      </c>
      <c r="E134" t="s">
        <v>95</v>
      </c>
    </row>
    <row r="135" spans="1:5" x14ac:dyDescent="0.3">
      <c r="A135" s="1">
        <v>43020</v>
      </c>
      <c r="B135" s="1">
        <v>43009</v>
      </c>
      <c r="C135">
        <v>2017</v>
      </c>
      <c r="D135" t="s">
        <v>94</v>
      </c>
      <c r="E135" t="s">
        <v>95</v>
      </c>
    </row>
    <row r="136" spans="1:5" x14ac:dyDescent="0.3">
      <c r="A136" s="1">
        <v>43021</v>
      </c>
      <c r="B136" s="1">
        <v>43009</v>
      </c>
      <c r="C136">
        <v>2017</v>
      </c>
      <c r="D136" t="s">
        <v>94</v>
      </c>
      <c r="E136" t="s">
        <v>95</v>
      </c>
    </row>
    <row r="137" spans="1:5" x14ac:dyDescent="0.3">
      <c r="A137" s="1">
        <v>43022</v>
      </c>
      <c r="B137" s="1">
        <v>43009</v>
      </c>
      <c r="C137">
        <v>2017</v>
      </c>
      <c r="D137" t="s">
        <v>94</v>
      </c>
      <c r="E137" t="s">
        <v>95</v>
      </c>
    </row>
    <row r="138" spans="1:5" x14ac:dyDescent="0.3">
      <c r="A138" s="1">
        <v>43023</v>
      </c>
      <c r="B138" s="1">
        <v>43009</v>
      </c>
      <c r="C138">
        <v>2017</v>
      </c>
      <c r="D138" t="s">
        <v>94</v>
      </c>
      <c r="E138" t="s">
        <v>95</v>
      </c>
    </row>
    <row r="139" spans="1:5" x14ac:dyDescent="0.3">
      <c r="A139" s="1">
        <v>43024</v>
      </c>
      <c r="B139" s="1">
        <v>43009</v>
      </c>
      <c r="C139">
        <v>2017</v>
      </c>
      <c r="D139" t="s">
        <v>94</v>
      </c>
      <c r="E139" t="s">
        <v>95</v>
      </c>
    </row>
    <row r="140" spans="1:5" x14ac:dyDescent="0.3">
      <c r="A140" s="1">
        <v>43025</v>
      </c>
      <c r="B140" s="1">
        <v>43009</v>
      </c>
      <c r="C140">
        <v>2017</v>
      </c>
      <c r="D140" t="s">
        <v>94</v>
      </c>
      <c r="E140" t="s">
        <v>95</v>
      </c>
    </row>
    <row r="141" spans="1:5" x14ac:dyDescent="0.3">
      <c r="A141" s="1">
        <v>43026</v>
      </c>
      <c r="B141" s="1">
        <v>43009</v>
      </c>
      <c r="C141">
        <v>2017</v>
      </c>
      <c r="D141" t="s">
        <v>94</v>
      </c>
      <c r="E141" t="s">
        <v>95</v>
      </c>
    </row>
    <row r="142" spans="1:5" x14ac:dyDescent="0.3">
      <c r="A142" s="1">
        <v>43027</v>
      </c>
      <c r="B142" s="1">
        <v>43009</v>
      </c>
      <c r="C142">
        <v>2017</v>
      </c>
      <c r="D142" t="s">
        <v>94</v>
      </c>
      <c r="E142" t="s">
        <v>95</v>
      </c>
    </row>
    <row r="143" spans="1:5" x14ac:dyDescent="0.3">
      <c r="A143" s="1">
        <v>43028</v>
      </c>
      <c r="B143" s="1">
        <v>43009</v>
      </c>
      <c r="C143">
        <v>2017</v>
      </c>
      <c r="D143" t="s">
        <v>94</v>
      </c>
      <c r="E143" t="s">
        <v>95</v>
      </c>
    </row>
    <row r="144" spans="1:5" x14ac:dyDescent="0.3">
      <c r="A144" s="1">
        <v>43029</v>
      </c>
      <c r="B144" s="1">
        <v>43009</v>
      </c>
      <c r="C144">
        <v>2017</v>
      </c>
      <c r="D144" t="s">
        <v>94</v>
      </c>
      <c r="E144" t="s">
        <v>95</v>
      </c>
    </row>
    <row r="145" spans="1:5" x14ac:dyDescent="0.3">
      <c r="A145" s="1">
        <v>43030</v>
      </c>
      <c r="B145" s="1">
        <v>43009</v>
      </c>
      <c r="C145">
        <v>2017</v>
      </c>
      <c r="D145" t="s">
        <v>94</v>
      </c>
      <c r="E145" t="s">
        <v>95</v>
      </c>
    </row>
    <row r="146" spans="1:5" x14ac:dyDescent="0.3">
      <c r="A146" s="1">
        <v>43031</v>
      </c>
      <c r="B146" s="1">
        <v>43009</v>
      </c>
      <c r="C146">
        <v>2017</v>
      </c>
      <c r="D146" t="s">
        <v>94</v>
      </c>
      <c r="E146" t="s">
        <v>95</v>
      </c>
    </row>
    <row r="147" spans="1:5" x14ac:dyDescent="0.3">
      <c r="A147" s="1">
        <v>43032</v>
      </c>
      <c r="B147" s="1">
        <v>43009</v>
      </c>
      <c r="C147">
        <v>2017</v>
      </c>
      <c r="D147" t="s">
        <v>94</v>
      </c>
      <c r="E147" t="s">
        <v>95</v>
      </c>
    </row>
    <row r="148" spans="1:5" x14ac:dyDescent="0.3">
      <c r="A148" s="1">
        <v>43033</v>
      </c>
      <c r="B148" s="1">
        <v>43009</v>
      </c>
      <c r="C148">
        <v>2017</v>
      </c>
      <c r="D148" t="s">
        <v>94</v>
      </c>
      <c r="E148" t="s">
        <v>95</v>
      </c>
    </row>
    <row r="149" spans="1:5" x14ac:dyDescent="0.3">
      <c r="A149" s="1">
        <v>43034</v>
      </c>
      <c r="B149" s="1">
        <v>43009</v>
      </c>
      <c r="C149">
        <v>2017</v>
      </c>
      <c r="D149" t="s">
        <v>94</v>
      </c>
      <c r="E149" t="s">
        <v>95</v>
      </c>
    </row>
    <row r="150" spans="1:5" x14ac:dyDescent="0.3">
      <c r="A150" s="1">
        <v>43035</v>
      </c>
      <c r="B150" s="1">
        <v>43009</v>
      </c>
      <c r="C150">
        <v>2017</v>
      </c>
      <c r="D150" t="s">
        <v>94</v>
      </c>
      <c r="E150" t="s">
        <v>95</v>
      </c>
    </row>
    <row r="151" spans="1:5" x14ac:dyDescent="0.3">
      <c r="A151" s="1">
        <v>43036</v>
      </c>
      <c r="B151" s="1">
        <v>43009</v>
      </c>
      <c r="C151">
        <v>2017</v>
      </c>
      <c r="D151" t="s">
        <v>94</v>
      </c>
      <c r="E151" t="s">
        <v>95</v>
      </c>
    </row>
    <row r="152" spans="1:5" x14ac:dyDescent="0.3">
      <c r="A152" s="1">
        <v>43037</v>
      </c>
      <c r="B152" s="1">
        <v>43009</v>
      </c>
      <c r="C152">
        <v>2017</v>
      </c>
      <c r="D152" t="s">
        <v>94</v>
      </c>
      <c r="E152" t="s">
        <v>95</v>
      </c>
    </row>
    <row r="153" spans="1:5" x14ac:dyDescent="0.3">
      <c r="A153" s="1">
        <v>43038</v>
      </c>
      <c r="B153" s="1">
        <v>43009</v>
      </c>
      <c r="C153">
        <v>2017</v>
      </c>
      <c r="D153" t="s">
        <v>94</v>
      </c>
      <c r="E153" t="s">
        <v>95</v>
      </c>
    </row>
    <row r="154" spans="1:5" x14ac:dyDescent="0.3">
      <c r="A154" s="1">
        <v>43039</v>
      </c>
      <c r="B154" s="1">
        <v>43009</v>
      </c>
      <c r="C154">
        <v>2017</v>
      </c>
      <c r="D154" t="s">
        <v>94</v>
      </c>
      <c r="E154" t="s">
        <v>95</v>
      </c>
    </row>
    <row r="155" spans="1:5" x14ac:dyDescent="0.3">
      <c r="A155" s="1">
        <v>43040</v>
      </c>
      <c r="B155" s="1">
        <v>43040</v>
      </c>
      <c r="C155">
        <v>2017</v>
      </c>
      <c r="D155" t="s">
        <v>96</v>
      </c>
      <c r="E155" t="s">
        <v>97</v>
      </c>
    </row>
    <row r="156" spans="1:5" x14ac:dyDescent="0.3">
      <c r="A156" s="1">
        <v>43041</v>
      </c>
      <c r="B156" s="1">
        <v>43040</v>
      </c>
      <c r="C156">
        <v>2017</v>
      </c>
      <c r="D156" t="s">
        <v>96</v>
      </c>
      <c r="E156" t="s">
        <v>97</v>
      </c>
    </row>
    <row r="157" spans="1:5" x14ac:dyDescent="0.3">
      <c r="A157" s="1">
        <v>43042</v>
      </c>
      <c r="B157" s="1">
        <v>43040</v>
      </c>
      <c r="C157">
        <v>2017</v>
      </c>
      <c r="D157" t="s">
        <v>96</v>
      </c>
      <c r="E157" t="s">
        <v>97</v>
      </c>
    </row>
    <row r="158" spans="1:5" x14ac:dyDescent="0.3">
      <c r="A158" s="1">
        <v>43043</v>
      </c>
      <c r="B158" s="1">
        <v>43040</v>
      </c>
      <c r="C158">
        <v>2017</v>
      </c>
      <c r="D158" t="s">
        <v>96</v>
      </c>
      <c r="E158" t="s">
        <v>97</v>
      </c>
    </row>
    <row r="159" spans="1:5" x14ac:dyDescent="0.3">
      <c r="A159" s="1">
        <v>43044</v>
      </c>
      <c r="B159" s="1">
        <v>43040</v>
      </c>
      <c r="C159">
        <v>2017</v>
      </c>
      <c r="D159" t="s">
        <v>96</v>
      </c>
      <c r="E159" t="s">
        <v>97</v>
      </c>
    </row>
    <row r="160" spans="1:5" x14ac:dyDescent="0.3">
      <c r="A160" s="1">
        <v>43045</v>
      </c>
      <c r="B160" s="1">
        <v>43040</v>
      </c>
      <c r="C160">
        <v>2017</v>
      </c>
      <c r="D160" t="s">
        <v>96</v>
      </c>
      <c r="E160" t="s">
        <v>97</v>
      </c>
    </row>
    <row r="161" spans="1:5" x14ac:dyDescent="0.3">
      <c r="A161" s="1">
        <v>43046</v>
      </c>
      <c r="B161" s="1">
        <v>43040</v>
      </c>
      <c r="C161">
        <v>2017</v>
      </c>
      <c r="D161" t="s">
        <v>96</v>
      </c>
      <c r="E161" t="s">
        <v>97</v>
      </c>
    </row>
    <row r="162" spans="1:5" x14ac:dyDescent="0.3">
      <c r="A162" s="1">
        <v>43047</v>
      </c>
      <c r="B162" s="1">
        <v>43040</v>
      </c>
      <c r="C162">
        <v>2017</v>
      </c>
      <c r="D162" t="s">
        <v>96</v>
      </c>
      <c r="E162" t="s">
        <v>97</v>
      </c>
    </row>
    <row r="163" spans="1:5" x14ac:dyDescent="0.3">
      <c r="A163" s="1">
        <v>43048</v>
      </c>
      <c r="B163" s="1">
        <v>43040</v>
      </c>
      <c r="C163">
        <v>2017</v>
      </c>
      <c r="D163" t="s">
        <v>96</v>
      </c>
      <c r="E163" t="s">
        <v>97</v>
      </c>
    </row>
    <row r="164" spans="1:5" x14ac:dyDescent="0.3">
      <c r="A164" s="1">
        <v>43049</v>
      </c>
      <c r="B164" s="1">
        <v>43040</v>
      </c>
      <c r="C164">
        <v>2017</v>
      </c>
      <c r="D164" t="s">
        <v>96</v>
      </c>
      <c r="E164" t="s">
        <v>97</v>
      </c>
    </row>
    <row r="165" spans="1:5" x14ac:dyDescent="0.3">
      <c r="A165" s="1">
        <v>43050</v>
      </c>
      <c r="B165" s="1">
        <v>43040</v>
      </c>
      <c r="C165">
        <v>2017</v>
      </c>
      <c r="D165" t="s">
        <v>96</v>
      </c>
      <c r="E165" t="s">
        <v>97</v>
      </c>
    </row>
    <row r="166" spans="1:5" x14ac:dyDescent="0.3">
      <c r="A166" s="1">
        <v>43051</v>
      </c>
      <c r="B166" s="1">
        <v>43040</v>
      </c>
      <c r="C166">
        <v>2017</v>
      </c>
      <c r="D166" t="s">
        <v>96</v>
      </c>
      <c r="E166" t="s">
        <v>97</v>
      </c>
    </row>
    <row r="167" spans="1:5" x14ac:dyDescent="0.3">
      <c r="A167" s="1">
        <v>43052</v>
      </c>
      <c r="B167" s="1">
        <v>43040</v>
      </c>
      <c r="C167">
        <v>2017</v>
      </c>
      <c r="D167" t="s">
        <v>96</v>
      </c>
      <c r="E167" t="s">
        <v>97</v>
      </c>
    </row>
    <row r="168" spans="1:5" x14ac:dyDescent="0.3">
      <c r="A168" s="1">
        <v>43053</v>
      </c>
      <c r="B168" s="1">
        <v>43040</v>
      </c>
      <c r="C168">
        <v>2017</v>
      </c>
      <c r="D168" t="s">
        <v>96</v>
      </c>
      <c r="E168" t="s">
        <v>97</v>
      </c>
    </row>
    <row r="169" spans="1:5" x14ac:dyDescent="0.3">
      <c r="A169" s="1">
        <v>43054</v>
      </c>
      <c r="B169" s="1">
        <v>43040</v>
      </c>
      <c r="C169">
        <v>2017</v>
      </c>
      <c r="D169" t="s">
        <v>96</v>
      </c>
      <c r="E169" t="s">
        <v>97</v>
      </c>
    </row>
    <row r="170" spans="1:5" x14ac:dyDescent="0.3">
      <c r="A170" s="1">
        <v>43055</v>
      </c>
      <c r="B170" s="1">
        <v>43040</v>
      </c>
      <c r="C170">
        <v>2017</v>
      </c>
      <c r="D170" t="s">
        <v>96</v>
      </c>
      <c r="E170" t="s">
        <v>97</v>
      </c>
    </row>
    <row r="171" spans="1:5" x14ac:dyDescent="0.3">
      <c r="A171" s="1">
        <v>43056</v>
      </c>
      <c r="B171" s="1">
        <v>43040</v>
      </c>
      <c r="C171">
        <v>2017</v>
      </c>
      <c r="D171" t="s">
        <v>96</v>
      </c>
      <c r="E171" t="s">
        <v>97</v>
      </c>
    </row>
    <row r="172" spans="1:5" x14ac:dyDescent="0.3">
      <c r="A172" s="1">
        <v>43057</v>
      </c>
      <c r="B172" s="1">
        <v>43040</v>
      </c>
      <c r="C172">
        <v>2017</v>
      </c>
      <c r="D172" t="s">
        <v>96</v>
      </c>
      <c r="E172" t="s">
        <v>97</v>
      </c>
    </row>
    <row r="173" spans="1:5" x14ac:dyDescent="0.3">
      <c r="A173" s="1">
        <v>43058</v>
      </c>
      <c r="B173" s="1">
        <v>43040</v>
      </c>
      <c r="C173">
        <v>2017</v>
      </c>
      <c r="D173" t="s">
        <v>96</v>
      </c>
      <c r="E173" t="s">
        <v>97</v>
      </c>
    </row>
    <row r="174" spans="1:5" x14ac:dyDescent="0.3">
      <c r="A174" s="1">
        <v>43059</v>
      </c>
      <c r="B174" s="1">
        <v>43040</v>
      </c>
      <c r="C174">
        <v>2017</v>
      </c>
      <c r="D174" t="s">
        <v>96</v>
      </c>
      <c r="E174" t="s">
        <v>97</v>
      </c>
    </row>
    <row r="175" spans="1:5" x14ac:dyDescent="0.3">
      <c r="A175" s="1">
        <v>43060</v>
      </c>
      <c r="B175" s="1">
        <v>43040</v>
      </c>
      <c r="C175">
        <v>2017</v>
      </c>
      <c r="D175" t="s">
        <v>96</v>
      </c>
      <c r="E175" t="s">
        <v>97</v>
      </c>
    </row>
    <row r="176" spans="1:5" x14ac:dyDescent="0.3">
      <c r="A176" s="1">
        <v>43061</v>
      </c>
      <c r="B176" s="1">
        <v>43040</v>
      </c>
      <c r="C176">
        <v>2017</v>
      </c>
      <c r="D176" t="s">
        <v>96</v>
      </c>
      <c r="E176" t="s">
        <v>97</v>
      </c>
    </row>
    <row r="177" spans="1:5" x14ac:dyDescent="0.3">
      <c r="A177" s="1">
        <v>43062</v>
      </c>
      <c r="B177" s="1">
        <v>43040</v>
      </c>
      <c r="C177">
        <v>2017</v>
      </c>
      <c r="D177" t="s">
        <v>96</v>
      </c>
      <c r="E177" t="s">
        <v>97</v>
      </c>
    </row>
    <row r="178" spans="1:5" x14ac:dyDescent="0.3">
      <c r="A178" s="1">
        <v>43063</v>
      </c>
      <c r="B178" s="1">
        <v>43040</v>
      </c>
      <c r="C178">
        <v>2017</v>
      </c>
      <c r="D178" t="s">
        <v>96</v>
      </c>
      <c r="E178" t="s">
        <v>97</v>
      </c>
    </row>
    <row r="179" spans="1:5" x14ac:dyDescent="0.3">
      <c r="A179" s="1">
        <v>43064</v>
      </c>
      <c r="B179" s="1">
        <v>43040</v>
      </c>
      <c r="C179">
        <v>2017</v>
      </c>
      <c r="D179" t="s">
        <v>96</v>
      </c>
      <c r="E179" t="s">
        <v>97</v>
      </c>
    </row>
    <row r="180" spans="1:5" x14ac:dyDescent="0.3">
      <c r="A180" s="1">
        <v>43065</v>
      </c>
      <c r="B180" s="1">
        <v>43040</v>
      </c>
      <c r="C180">
        <v>2017</v>
      </c>
      <c r="D180" t="s">
        <v>96</v>
      </c>
      <c r="E180" t="s">
        <v>97</v>
      </c>
    </row>
    <row r="181" spans="1:5" x14ac:dyDescent="0.3">
      <c r="A181" s="1">
        <v>43066</v>
      </c>
      <c r="B181" s="1">
        <v>43040</v>
      </c>
      <c r="C181">
        <v>2017</v>
      </c>
      <c r="D181" t="s">
        <v>96</v>
      </c>
      <c r="E181" t="s">
        <v>97</v>
      </c>
    </row>
    <row r="182" spans="1:5" x14ac:dyDescent="0.3">
      <c r="A182" s="1">
        <v>43067</v>
      </c>
      <c r="B182" s="1">
        <v>43040</v>
      </c>
      <c r="C182">
        <v>2017</v>
      </c>
      <c r="D182" t="s">
        <v>96</v>
      </c>
      <c r="E182" t="s">
        <v>97</v>
      </c>
    </row>
    <row r="183" spans="1:5" x14ac:dyDescent="0.3">
      <c r="A183" s="1">
        <v>43068</v>
      </c>
      <c r="B183" s="1">
        <v>43040</v>
      </c>
      <c r="C183">
        <v>2017</v>
      </c>
      <c r="D183" t="s">
        <v>96</v>
      </c>
      <c r="E183" t="s">
        <v>97</v>
      </c>
    </row>
    <row r="184" spans="1:5" x14ac:dyDescent="0.3">
      <c r="A184" s="1">
        <v>43069</v>
      </c>
      <c r="B184" s="1">
        <v>43040</v>
      </c>
      <c r="C184">
        <v>2017</v>
      </c>
      <c r="D184" t="s">
        <v>96</v>
      </c>
      <c r="E184" t="s">
        <v>97</v>
      </c>
    </row>
    <row r="185" spans="1:5" x14ac:dyDescent="0.3">
      <c r="A185" s="1">
        <v>43070</v>
      </c>
      <c r="B185" s="1">
        <v>43070</v>
      </c>
      <c r="C185">
        <v>2017</v>
      </c>
      <c r="D185" t="s">
        <v>98</v>
      </c>
      <c r="E185" t="s">
        <v>99</v>
      </c>
    </row>
    <row r="186" spans="1:5" x14ac:dyDescent="0.3">
      <c r="A186" s="1">
        <v>43071</v>
      </c>
      <c r="B186" s="1">
        <v>43070</v>
      </c>
      <c r="C186">
        <v>2017</v>
      </c>
      <c r="D186" t="s">
        <v>98</v>
      </c>
      <c r="E186" t="s">
        <v>99</v>
      </c>
    </row>
    <row r="187" spans="1:5" x14ac:dyDescent="0.3">
      <c r="A187" s="1">
        <v>43072</v>
      </c>
      <c r="B187" s="1">
        <v>43070</v>
      </c>
      <c r="C187">
        <v>2017</v>
      </c>
      <c r="D187" t="s">
        <v>98</v>
      </c>
      <c r="E187" t="s">
        <v>99</v>
      </c>
    </row>
    <row r="188" spans="1:5" x14ac:dyDescent="0.3">
      <c r="A188" s="1">
        <v>43073</v>
      </c>
      <c r="B188" s="1">
        <v>43070</v>
      </c>
      <c r="C188">
        <v>2017</v>
      </c>
      <c r="D188" t="s">
        <v>98</v>
      </c>
      <c r="E188" t="s">
        <v>99</v>
      </c>
    </row>
    <row r="189" spans="1:5" x14ac:dyDescent="0.3">
      <c r="A189" s="1">
        <v>43074</v>
      </c>
      <c r="B189" s="1">
        <v>43070</v>
      </c>
      <c r="C189">
        <v>2017</v>
      </c>
      <c r="D189" t="s">
        <v>98</v>
      </c>
      <c r="E189" t="s">
        <v>99</v>
      </c>
    </row>
    <row r="190" spans="1:5" x14ac:dyDescent="0.3">
      <c r="A190" s="1">
        <v>43075</v>
      </c>
      <c r="B190" s="1">
        <v>43070</v>
      </c>
      <c r="C190">
        <v>2017</v>
      </c>
      <c r="D190" t="s">
        <v>98</v>
      </c>
      <c r="E190" t="s">
        <v>99</v>
      </c>
    </row>
    <row r="191" spans="1:5" x14ac:dyDescent="0.3">
      <c r="A191" s="1">
        <v>43076</v>
      </c>
      <c r="B191" s="1">
        <v>43070</v>
      </c>
      <c r="C191">
        <v>2017</v>
      </c>
      <c r="D191" t="s">
        <v>98</v>
      </c>
      <c r="E191" t="s">
        <v>99</v>
      </c>
    </row>
    <row r="192" spans="1:5" x14ac:dyDescent="0.3">
      <c r="A192" s="1">
        <v>43077</v>
      </c>
      <c r="B192" s="1">
        <v>43070</v>
      </c>
      <c r="C192">
        <v>2017</v>
      </c>
      <c r="D192" t="s">
        <v>98</v>
      </c>
      <c r="E192" t="s">
        <v>99</v>
      </c>
    </row>
    <row r="193" spans="1:5" x14ac:dyDescent="0.3">
      <c r="A193" s="1">
        <v>43078</v>
      </c>
      <c r="B193" s="1">
        <v>43070</v>
      </c>
      <c r="C193">
        <v>2017</v>
      </c>
      <c r="D193" t="s">
        <v>98</v>
      </c>
      <c r="E193" t="s">
        <v>99</v>
      </c>
    </row>
    <row r="194" spans="1:5" x14ac:dyDescent="0.3">
      <c r="A194" s="1">
        <v>43079</v>
      </c>
      <c r="B194" s="1">
        <v>43070</v>
      </c>
      <c r="C194">
        <v>2017</v>
      </c>
      <c r="D194" t="s">
        <v>98</v>
      </c>
      <c r="E194" t="s">
        <v>99</v>
      </c>
    </row>
    <row r="195" spans="1:5" x14ac:dyDescent="0.3">
      <c r="A195" s="1">
        <v>43080</v>
      </c>
      <c r="B195" s="1">
        <v>43070</v>
      </c>
      <c r="C195">
        <v>2017</v>
      </c>
      <c r="D195" t="s">
        <v>98</v>
      </c>
      <c r="E195" t="s">
        <v>99</v>
      </c>
    </row>
    <row r="196" spans="1:5" x14ac:dyDescent="0.3">
      <c r="A196" s="1">
        <v>43081</v>
      </c>
      <c r="B196" s="1">
        <v>43070</v>
      </c>
      <c r="C196">
        <v>2017</v>
      </c>
      <c r="D196" t="s">
        <v>98</v>
      </c>
      <c r="E196" t="s">
        <v>99</v>
      </c>
    </row>
    <row r="197" spans="1:5" x14ac:dyDescent="0.3">
      <c r="A197" s="1">
        <v>43082</v>
      </c>
      <c r="B197" s="1">
        <v>43070</v>
      </c>
      <c r="C197">
        <v>2017</v>
      </c>
      <c r="D197" t="s">
        <v>98</v>
      </c>
      <c r="E197" t="s">
        <v>99</v>
      </c>
    </row>
    <row r="198" spans="1:5" x14ac:dyDescent="0.3">
      <c r="A198" s="1">
        <v>43083</v>
      </c>
      <c r="B198" s="1">
        <v>43070</v>
      </c>
      <c r="C198">
        <v>2017</v>
      </c>
      <c r="D198" t="s">
        <v>98</v>
      </c>
      <c r="E198" t="s">
        <v>99</v>
      </c>
    </row>
    <row r="199" spans="1:5" x14ac:dyDescent="0.3">
      <c r="A199" s="1">
        <v>43084</v>
      </c>
      <c r="B199" s="1">
        <v>43070</v>
      </c>
      <c r="C199">
        <v>2017</v>
      </c>
      <c r="D199" t="s">
        <v>98</v>
      </c>
      <c r="E199" t="s">
        <v>99</v>
      </c>
    </row>
    <row r="200" spans="1:5" x14ac:dyDescent="0.3">
      <c r="A200" s="1">
        <v>43085</v>
      </c>
      <c r="B200" s="1">
        <v>43070</v>
      </c>
      <c r="C200">
        <v>2017</v>
      </c>
      <c r="D200" t="s">
        <v>98</v>
      </c>
      <c r="E200" t="s">
        <v>99</v>
      </c>
    </row>
    <row r="201" spans="1:5" x14ac:dyDescent="0.3">
      <c r="A201" s="1">
        <v>43086</v>
      </c>
      <c r="B201" s="1">
        <v>43070</v>
      </c>
      <c r="C201">
        <v>2017</v>
      </c>
      <c r="D201" t="s">
        <v>98</v>
      </c>
      <c r="E201" t="s">
        <v>99</v>
      </c>
    </row>
    <row r="202" spans="1:5" x14ac:dyDescent="0.3">
      <c r="A202" s="1">
        <v>43087</v>
      </c>
      <c r="B202" s="1">
        <v>43070</v>
      </c>
      <c r="C202">
        <v>2017</v>
      </c>
      <c r="D202" t="s">
        <v>98</v>
      </c>
      <c r="E202" t="s">
        <v>99</v>
      </c>
    </row>
    <row r="203" spans="1:5" x14ac:dyDescent="0.3">
      <c r="A203" s="1">
        <v>43088</v>
      </c>
      <c r="B203" s="1">
        <v>43070</v>
      </c>
      <c r="C203">
        <v>2017</v>
      </c>
      <c r="D203" t="s">
        <v>98</v>
      </c>
      <c r="E203" t="s">
        <v>99</v>
      </c>
    </row>
    <row r="204" spans="1:5" x14ac:dyDescent="0.3">
      <c r="A204" s="1">
        <v>43089</v>
      </c>
      <c r="B204" s="1">
        <v>43070</v>
      </c>
      <c r="C204">
        <v>2017</v>
      </c>
      <c r="D204" t="s">
        <v>98</v>
      </c>
      <c r="E204" t="s">
        <v>99</v>
      </c>
    </row>
    <row r="205" spans="1:5" x14ac:dyDescent="0.3">
      <c r="A205" s="1">
        <v>43090</v>
      </c>
      <c r="B205" s="1">
        <v>43070</v>
      </c>
      <c r="C205">
        <v>2017</v>
      </c>
      <c r="D205" t="s">
        <v>98</v>
      </c>
      <c r="E205" t="s">
        <v>99</v>
      </c>
    </row>
    <row r="206" spans="1:5" x14ac:dyDescent="0.3">
      <c r="A206" s="1">
        <v>43091</v>
      </c>
      <c r="B206" s="1">
        <v>43070</v>
      </c>
      <c r="C206">
        <v>2017</v>
      </c>
      <c r="D206" t="s">
        <v>98</v>
      </c>
      <c r="E206" t="s">
        <v>99</v>
      </c>
    </row>
    <row r="207" spans="1:5" x14ac:dyDescent="0.3">
      <c r="A207" s="1">
        <v>43092</v>
      </c>
      <c r="B207" s="1">
        <v>43070</v>
      </c>
      <c r="C207">
        <v>2017</v>
      </c>
      <c r="D207" t="s">
        <v>98</v>
      </c>
      <c r="E207" t="s">
        <v>99</v>
      </c>
    </row>
    <row r="208" spans="1:5" x14ac:dyDescent="0.3">
      <c r="A208" s="1">
        <v>43093</v>
      </c>
      <c r="B208" s="1">
        <v>43070</v>
      </c>
      <c r="C208">
        <v>2017</v>
      </c>
      <c r="D208" t="s">
        <v>98</v>
      </c>
      <c r="E208" t="s">
        <v>99</v>
      </c>
    </row>
    <row r="209" spans="1:5" x14ac:dyDescent="0.3">
      <c r="A209" s="1">
        <v>43094</v>
      </c>
      <c r="B209" s="1">
        <v>43070</v>
      </c>
      <c r="C209">
        <v>2017</v>
      </c>
      <c r="D209" t="s">
        <v>98</v>
      </c>
      <c r="E209" t="s">
        <v>99</v>
      </c>
    </row>
    <row r="210" spans="1:5" x14ac:dyDescent="0.3">
      <c r="A210" s="1">
        <v>43095</v>
      </c>
      <c r="B210" s="1">
        <v>43070</v>
      </c>
      <c r="C210">
        <v>2017</v>
      </c>
      <c r="D210" t="s">
        <v>98</v>
      </c>
      <c r="E210" t="s">
        <v>99</v>
      </c>
    </row>
    <row r="211" spans="1:5" x14ac:dyDescent="0.3">
      <c r="A211" s="1">
        <v>43096</v>
      </c>
      <c r="B211" s="1">
        <v>43070</v>
      </c>
      <c r="C211">
        <v>2017</v>
      </c>
      <c r="D211" t="s">
        <v>98</v>
      </c>
      <c r="E211" t="s">
        <v>99</v>
      </c>
    </row>
    <row r="212" spans="1:5" x14ac:dyDescent="0.3">
      <c r="A212" s="1">
        <v>43097</v>
      </c>
      <c r="B212" s="1">
        <v>43070</v>
      </c>
      <c r="C212">
        <v>2017</v>
      </c>
      <c r="D212" t="s">
        <v>98</v>
      </c>
      <c r="E212" t="s">
        <v>99</v>
      </c>
    </row>
    <row r="213" spans="1:5" x14ac:dyDescent="0.3">
      <c r="A213" s="1">
        <v>43098</v>
      </c>
      <c r="B213" s="1">
        <v>43070</v>
      </c>
      <c r="C213">
        <v>2017</v>
      </c>
      <c r="D213" t="s">
        <v>98</v>
      </c>
      <c r="E213" t="s">
        <v>99</v>
      </c>
    </row>
    <row r="214" spans="1:5" x14ac:dyDescent="0.3">
      <c r="A214" s="1">
        <v>43099</v>
      </c>
      <c r="B214" s="1">
        <v>43070</v>
      </c>
      <c r="C214">
        <v>2017</v>
      </c>
      <c r="D214" t="s">
        <v>98</v>
      </c>
      <c r="E214" t="s">
        <v>99</v>
      </c>
    </row>
    <row r="215" spans="1:5" x14ac:dyDescent="0.3">
      <c r="A215" s="1">
        <v>43100</v>
      </c>
      <c r="B215" s="1">
        <v>43070</v>
      </c>
      <c r="C215">
        <v>2017</v>
      </c>
      <c r="D215" t="s">
        <v>98</v>
      </c>
      <c r="E215" t="s">
        <v>99</v>
      </c>
    </row>
    <row r="216" spans="1:5" x14ac:dyDescent="0.3">
      <c r="A216" s="1">
        <v>43101</v>
      </c>
      <c r="B216" s="1">
        <v>43101</v>
      </c>
      <c r="C216">
        <v>2018</v>
      </c>
      <c r="D216" t="s">
        <v>100</v>
      </c>
      <c r="E216" t="s">
        <v>101</v>
      </c>
    </row>
    <row r="217" spans="1:5" x14ac:dyDescent="0.3">
      <c r="A217" s="1">
        <v>43102</v>
      </c>
      <c r="B217" s="1">
        <v>43101</v>
      </c>
      <c r="C217">
        <v>2018</v>
      </c>
      <c r="D217" t="s">
        <v>100</v>
      </c>
      <c r="E217" t="s">
        <v>101</v>
      </c>
    </row>
    <row r="218" spans="1:5" x14ac:dyDescent="0.3">
      <c r="A218" s="1">
        <v>43103</v>
      </c>
      <c r="B218" s="1">
        <v>43101</v>
      </c>
      <c r="C218">
        <v>2018</v>
      </c>
      <c r="D218" t="s">
        <v>100</v>
      </c>
      <c r="E218" t="s">
        <v>101</v>
      </c>
    </row>
    <row r="219" spans="1:5" x14ac:dyDescent="0.3">
      <c r="A219" s="1">
        <v>43104</v>
      </c>
      <c r="B219" s="1">
        <v>43101</v>
      </c>
      <c r="C219">
        <v>2018</v>
      </c>
      <c r="D219" t="s">
        <v>100</v>
      </c>
      <c r="E219" t="s">
        <v>101</v>
      </c>
    </row>
    <row r="220" spans="1:5" x14ac:dyDescent="0.3">
      <c r="A220" s="1">
        <v>43105</v>
      </c>
      <c r="B220" s="1">
        <v>43101</v>
      </c>
      <c r="C220">
        <v>2018</v>
      </c>
      <c r="D220" t="s">
        <v>100</v>
      </c>
      <c r="E220" t="s">
        <v>101</v>
      </c>
    </row>
    <row r="221" spans="1:5" x14ac:dyDescent="0.3">
      <c r="A221" s="1">
        <v>43106</v>
      </c>
      <c r="B221" s="1">
        <v>43101</v>
      </c>
      <c r="C221">
        <v>2018</v>
      </c>
      <c r="D221" t="s">
        <v>100</v>
      </c>
      <c r="E221" t="s">
        <v>101</v>
      </c>
    </row>
    <row r="222" spans="1:5" x14ac:dyDescent="0.3">
      <c r="A222" s="1">
        <v>43107</v>
      </c>
      <c r="B222" s="1">
        <v>43101</v>
      </c>
      <c r="C222">
        <v>2018</v>
      </c>
      <c r="D222" t="s">
        <v>100</v>
      </c>
      <c r="E222" t="s">
        <v>101</v>
      </c>
    </row>
    <row r="223" spans="1:5" x14ac:dyDescent="0.3">
      <c r="A223" s="1">
        <v>43108</v>
      </c>
      <c r="B223" s="1">
        <v>43101</v>
      </c>
      <c r="C223">
        <v>2018</v>
      </c>
      <c r="D223" t="s">
        <v>100</v>
      </c>
      <c r="E223" t="s">
        <v>101</v>
      </c>
    </row>
    <row r="224" spans="1:5" x14ac:dyDescent="0.3">
      <c r="A224" s="1">
        <v>43109</v>
      </c>
      <c r="B224" s="1">
        <v>43101</v>
      </c>
      <c r="C224">
        <v>2018</v>
      </c>
      <c r="D224" t="s">
        <v>100</v>
      </c>
      <c r="E224" t="s">
        <v>101</v>
      </c>
    </row>
    <row r="225" spans="1:5" x14ac:dyDescent="0.3">
      <c r="A225" s="1">
        <v>43110</v>
      </c>
      <c r="B225" s="1">
        <v>43101</v>
      </c>
      <c r="C225">
        <v>2018</v>
      </c>
      <c r="D225" t="s">
        <v>100</v>
      </c>
      <c r="E225" t="s">
        <v>101</v>
      </c>
    </row>
    <row r="226" spans="1:5" x14ac:dyDescent="0.3">
      <c r="A226" s="1">
        <v>43111</v>
      </c>
      <c r="B226" s="1">
        <v>43101</v>
      </c>
      <c r="C226">
        <v>2018</v>
      </c>
      <c r="D226" t="s">
        <v>100</v>
      </c>
      <c r="E226" t="s">
        <v>101</v>
      </c>
    </row>
    <row r="227" spans="1:5" x14ac:dyDescent="0.3">
      <c r="A227" s="1">
        <v>43112</v>
      </c>
      <c r="B227" s="1">
        <v>43101</v>
      </c>
      <c r="C227">
        <v>2018</v>
      </c>
      <c r="D227" t="s">
        <v>100</v>
      </c>
      <c r="E227" t="s">
        <v>101</v>
      </c>
    </row>
    <row r="228" spans="1:5" x14ac:dyDescent="0.3">
      <c r="A228" s="1">
        <v>43113</v>
      </c>
      <c r="B228" s="1">
        <v>43101</v>
      </c>
      <c r="C228">
        <v>2018</v>
      </c>
      <c r="D228" t="s">
        <v>100</v>
      </c>
      <c r="E228" t="s">
        <v>101</v>
      </c>
    </row>
    <row r="229" spans="1:5" x14ac:dyDescent="0.3">
      <c r="A229" s="1">
        <v>43114</v>
      </c>
      <c r="B229" s="1">
        <v>43101</v>
      </c>
      <c r="C229">
        <v>2018</v>
      </c>
      <c r="D229" t="s">
        <v>100</v>
      </c>
      <c r="E229" t="s">
        <v>101</v>
      </c>
    </row>
    <row r="230" spans="1:5" x14ac:dyDescent="0.3">
      <c r="A230" s="1">
        <v>43115</v>
      </c>
      <c r="B230" s="1">
        <v>43101</v>
      </c>
      <c r="C230">
        <v>2018</v>
      </c>
      <c r="D230" t="s">
        <v>100</v>
      </c>
      <c r="E230" t="s">
        <v>101</v>
      </c>
    </row>
    <row r="231" spans="1:5" x14ac:dyDescent="0.3">
      <c r="A231" s="1">
        <v>43116</v>
      </c>
      <c r="B231" s="1">
        <v>43101</v>
      </c>
      <c r="C231">
        <v>2018</v>
      </c>
      <c r="D231" t="s">
        <v>100</v>
      </c>
      <c r="E231" t="s">
        <v>101</v>
      </c>
    </row>
    <row r="232" spans="1:5" x14ac:dyDescent="0.3">
      <c r="A232" s="1">
        <v>43117</v>
      </c>
      <c r="B232" s="1">
        <v>43101</v>
      </c>
      <c r="C232">
        <v>2018</v>
      </c>
      <c r="D232" t="s">
        <v>100</v>
      </c>
      <c r="E232" t="s">
        <v>101</v>
      </c>
    </row>
    <row r="233" spans="1:5" x14ac:dyDescent="0.3">
      <c r="A233" s="1">
        <v>43118</v>
      </c>
      <c r="B233" s="1">
        <v>43101</v>
      </c>
      <c r="C233">
        <v>2018</v>
      </c>
      <c r="D233" t="s">
        <v>100</v>
      </c>
      <c r="E233" t="s">
        <v>101</v>
      </c>
    </row>
    <row r="234" spans="1:5" x14ac:dyDescent="0.3">
      <c r="A234" s="1">
        <v>43119</v>
      </c>
      <c r="B234" s="1">
        <v>43101</v>
      </c>
      <c r="C234">
        <v>2018</v>
      </c>
      <c r="D234" t="s">
        <v>100</v>
      </c>
      <c r="E234" t="s">
        <v>101</v>
      </c>
    </row>
    <row r="235" spans="1:5" x14ac:dyDescent="0.3">
      <c r="A235" s="1">
        <v>43120</v>
      </c>
      <c r="B235" s="1">
        <v>43101</v>
      </c>
      <c r="C235">
        <v>2018</v>
      </c>
      <c r="D235" t="s">
        <v>100</v>
      </c>
      <c r="E235" t="s">
        <v>101</v>
      </c>
    </row>
    <row r="236" spans="1:5" x14ac:dyDescent="0.3">
      <c r="A236" s="1">
        <v>43121</v>
      </c>
      <c r="B236" s="1">
        <v>43101</v>
      </c>
      <c r="C236">
        <v>2018</v>
      </c>
      <c r="D236" t="s">
        <v>100</v>
      </c>
      <c r="E236" t="s">
        <v>101</v>
      </c>
    </row>
    <row r="237" spans="1:5" x14ac:dyDescent="0.3">
      <c r="A237" s="1">
        <v>43122</v>
      </c>
      <c r="B237" s="1">
        <v>43101</v>
      </c>
      <c r="C237">
        <v>2018</v>
      </c>
      <c r="D237" t="s">
        <v>100</v>
      </c>
      <c r="E237" t="s">
        <v>101</v>
      </c>
    </row>
    <row r="238" spans="1:5" x14ac:dyDescent="0.3">
      <c r="A238" s="1">
        <v>43123</v>
      </c>
      <c r="B238" s="1">
        <v>43101</v>
      </c>
      <c r="C238">
        <v>2018</v>
      </c>
      <c r="D238" t="s">
        <v>100</v>
      </c>
      <c r="E238" t="s">
        <v>101</v>
      </c>
    </row>
    <row r="239" spans="1:5" x14ac:dyDescent="0.3">
      <c r="A239" s="1">
        <v>43124</v>
      </c>
      <c r="B239" s="1">
        <v>43101</v>
      </c>
      <c r="C239">
        <v>2018</v>
      </c>
      <c r="D239" t="s">
        <v>100</v>
      </c>
      <c r="E239" t="s">
        <v>101</v>
      </c>
    </row>
    <row r="240" spans="1:5" x14ac:dyDescent="0.3">
      <c r="A240" s="1">
        <v>43125</v>
      </c>
      <c r="B240" s="1">
        <v>43101</v>
      </c>
      <c r="C240">
        <v>2018</v>
      </c>
      <c r="D240" t="s">
        <v>100</v>
      </c>
      <c r="E240" t="s">
        <v>101</v>
      </c>
    </row>
    <row r="241" spans="1:5" x14ac:dyDescent="0.3">
      <c r="A241" s="1">
        <v>43126</v>
      </c>
      <c r="B241" s="1">
        <v>43101</v>
      </c>
      <c r="C241">
        <v>2018</v>
      </c>
      <c r="D241" t="s">
        <v>100</v>
      </c>
      <c r="E241" t="s">
        <v>101</v>
      </c>
    </row>
    <row r="242" spans="1:5" x14ac:dyDescent="0.3">
      <c r="A242" s="1">
        <v>43127</v>
      </c>
      <c r="B242" s="1">
        <v>43101</v>
      </c>
      <c r="C242">
        <v>2018</v>
      </c>
      <c r="D242" t="s">
        <v>100</v>
      </c>
      <c r="E242" t="s">
        <v>101</v>
      </c>
    </row>
    <row r="243" spans="1:5" x14ac:dyDescent="0.3">
      <c r="A243" s="1">
        <v>43128</v>
      </c>
      <c r="B243" s="1">
        <v>43101</v>
      </c>
      <c r="C243">
        <v>2018</v>
      </c>
      <c r="D243" t="s">
        <v>100</v>
      </c>
      <c r="E243" t="s">
        <v>101</v>
      </c>
    </row>
    <row r="244" spans="1:5" x14ac:dyDescent="0.3">
      <c r="A244" s="1">
        <v>43129</v>
      </c>
      <c r="B244" s="1">
        <v>43101</v>
      </c>
      <c r="C244">
        <v>2018</v>
      </c>
      <c r="D244" t="s">
        <v>100</v>
      </c>
      <c r="E244" t="s">
        <v>101</v>
      </c>
    </row>
    <row r="245" spans="1:5" x14ac:dyDescent="0.3">
      <c r="A245" s="1">
        <v>43130</v>
      </c>
      <c r="B245" s="1">
        <v>43101</v>
      </c>
      <c r="C245">
        <v>2018</v>
      </c>
      <c r="D245" t="s">
        <v>100</v>
      </c>
      <c r="E245" t="s">
        <v>101</v>
      </c>
    </row>
    <row r="246" spans="1:5" x14ac:dyDescent="0.3">
      <c r="A246" s="1">
        <v>43131</v>
      </c>
      <c r="B246" s="1">
        <v>43101</v>
      </c>
      <c r="C246">
        <v>2018</v>
      </c>
      <c r="D246" t="s">
        <v>100</v>
      </c>
      <c r="E246" t="s">
        <v>101</v>
      </c>
    </row>
    <row r="247" spans="1:5" x14ac:dyDescent="0.3">
      <c r="A247" s="1">
        <v>43132</v>
      </c>
      <c r="B247" s="1">
        <v>43132</v>
      </c>
      <c r="C247">
        <v>2018</v>
      </c>
      <c r="D247" t="s">
        <v>102</v>
      </c>
      <c r="E247" t="s">
        <v>103</v>
      </c>
    </row>
    <row r="248" spans="1:5" x14ac:dyDescent="0.3">
      <c r="A248" s="1">
        <v>43133</v>
      </c>
      <c r="B248" s="1">
        <v>43132</v>
      </c>
      <c r="C248">
        <v>2018</v>
      </c>
      <c r="D248" t="s">
        <v>102</v>
      </c>
      <c r="E248" t="s">
        <v>103</v>
      </c>
    </row>
    <row r="249" spans="1:5" x14ac:dyDescent="0.3">
      <c r="A249" s="1">
        <v>43134</v>
      </c>
      <c r="B249" s="1">
        <v>43132</v>
      </c>
      <c r="C249">
        <v>2018</v>
      </c>
      <c r="D249" t="s">
        <v>102</v>
      </c>
      <c r="E249" t="s">
        <v>103</v>
      </c>
    </row>
    <row r="250" spans="1:5" x14ac:dyDescent="0.3">
      <c r="A250" s="1">
        <v>43135</v>
      </c>
      <c r="B250" s="1">
        <v>43132</v>
      </c>
      <c r="C250">
        <v>2018</v>
      </c>
      <c r="D250" t="s">
        <v>102</v>
      </c>
      <c r="E250" t="s">
        <v>103</v>
      </c>
    </row>
    <row r="251" spans="1:5" x14ac:dyDescent="0.3">
      <c r="A251" s="1">
        <v>43136</v>
      </c>
      <c r="B251" s="1">
        <v>43132</v>
      </c>
      <c r="C251">
        <v>2018</v>
      </c>
      <c r="D251" t="s">
        <v>102</v>
      </c>
      <c r="E251" t="s">
        <v>103</v>
      </c>
    </row>
    <row r="252" spans="1:5" x14ac:dyDescent="0.3">
      <c r="A252" s="1">
        <v>43137</v>
      </c>
      <c r="B252" s="1">
        <v>43132</v>
      </c>
      <c r="C252">
        <v>2018</v>
      </c>
      <c r="D252" t="s">
        <v>102</v>
      </c>
      <c r="E252" t="s">
        <v>103</v>
      </c>
    </row>
    <row r="253" spans="1:5" x14ac:dyDescent="0.3">
      <c r="A253" s="1">
        <v>43138</v>
      </c>
      <c r="B253" s="1">
        <v>43132</v>
      </c>
      <c r="C253">
        <v>2018</v>
      </c>
      <c r="D253" t="s">
        <v>102</v>
      </c>
      <c r="E253" t="s">
        <v>103</v>
      </c>
    </row>
    <row r="254" spans="1:5" x14ac:dyDescent="0.3">
      <c r="A254" s="1">
        <v>43139</v>
      </c>
      <c r="B254" s="1">
        <v>43132</v>
      </c>
      <c r="C254">
        <v>2018</v>
      </c>
      <c r="D254" t="s">
        <v>102</v>
      </c>
      <c r="E254" t="s">
        <v>103</v>
      </c>
    </row>
    <row r="255" spans="1:5" x14ac:dyDescent="0.3">
      <c r="A255" s="1">
        <v>43140</v>
      </c>
      <c r="B255" s="1">
        <v>43132</v>
      </c>
      <c r="C255">
        <v>2018</v>
      </c>
      <c r="D255" t="s">
        <v>102</v>
      </c>
      <c r="E255" t="s">
        <v>103</v>
      </c>
    </row>
    <row r="256" spans="1:5" x14ac:dyDescent="0.3">
      <c r="A256" s="1">
        <v>43141</v>
      </c>
      <c r="B256" s="1">
        <v>43132</v>
      </c>
      <c r="C256">
        <v>2018</v>
      </c>
      <c r="D256" t="s">
        <v>102</v>
      </c>
      <c r="E256" t="s">
        <v>103</v>
      </c>
    </row>
    <row r="257" spans="1:5" x14ac:dyDescent="0.3">
      <c r="A257" s="1">
        <v>43142</v>
      </c>
      <c r="B257" s="1">
        <v>43132</v>
      </c>
      <c r="C257">
        <v>2018</v>
      </c>
      <c r="D257" t="s">
        <v>102</v>
      </c>
      <c r="E257" t="s">
        <v>103</v>
      </c>
    </row>
    <row r="258" spans="1:5" x14ac:dyDescent="0.3">
      <c r="A258" s="1">
        <v>43143</v>
      </c>
      <c r="B258" s="1">
        <v>43132</v>
      </c>
      <c r="C258">
        <v>2018</v>
      </c>
      <c r="D258" t="s">
        <v>102</v>
      </c>
      <c r="E258" t="s">
        <v>103</v>
      </c>
    </row>
    <row r="259" spans="1:5" x14ac:dyDescent="0.3">
      <c r="A259" s="1">
        <v>43144</v>
      </c>
      <c r="B259" s="1">
        <v>43132</v>
      </c>
      <c r="C259">
        <v>2018</v>
      </c>
      <c r="D259" t="s">
        <v>102</v>
      </c>
      <c r="E259" t="s">
        <v>103</v>
      </c>
    </row>
    <row r="260" spans="1:5" x14ac:dyDescent="0.3">
      <c r="A260" s="1">
        <v>43145</v>
      </c>
      <c r="B260" s="1">
        <v>43132</v>
      </c>
      <c r="C260">
        <v>2018</v>
      </c>
      <c r="D260" t="s">
        <v>102</v>
      </c>
      <c r="E260" t="s">
        <v>103</v>
      </c>
    </row>
    <row r="261" spans="1:5" x14ac:dyDescent="0.3">
      <c r="A261" s="1">
        <v>43146</v>
      </c>
      <c r="B261" s="1">
        <v>43132</v>
      </c>
      <c r="C261">
        <v>2018</v>
      </c>
      <c r="D261" t="s">
        <v>102</v>
      </c>
      <c r="E261" t="s">
        <v>103</v>
      </c>
    </row>
    <row r="262" spans="1:5" x14ac:dyDescent="0.3">
      <c r="A262" s="1">
        <v>43147</v>
      </c>
      <c r="B262" s="1">
        <v>43132</v>
      </c>
      <c r="C262">
        <v>2018</v>
      </c>
      <c r="D262" t="s">
        <v>102</v>
      </c>
      <c r="E262" t="s">
        <v>103</v>
      </c>
    </row>
    <row r="263" spans="1:5" x14ac:dyDescent="0.3">
      <c r="A263" s="1">
        <v>43148</v>
      </c>
      <c r="B263" s="1">
        <v>43132</v>
      </c>
      <c r="C263">
        <v>2018</v>
      </c>
      <c r="D263" t="s">
        <v>102</v>
      </c>
      <c r="E263" t="s">
        <v>103</v>
      </c>
    </row>
    <row r="264" spans="1:5" x14ac:dyDescent="0.3">
      <c r="A264" s="1">
        <v>43149</v>
      </c>
      <c r="B264" s="1">
        <v>43132</v>
      </c>
      <c r="C264">
        <v>2018</v>
      </c>
      <c r="D264" t="s">
        <v>102</v>
      </c>
      <c r="E264" t="s">
        <v>103</v>
      </c>
    </row>
    <row r="265" spans="1:5" x14ac:dyDescent="0.3">
      <c r="A265" s="1">
        <v>43150</v>
      </c>
      <c r="B265" s="1">
        <v>43132</v>
      </c>
      <c r="C265">
        <v>2018</v>
      </c>
      <c r="D265" t="s">
        <v>102</v>
      </c>
      <c r="E265" t="s">
        <v>103</v>
      </c>
    </row>
    <row r="266" spans="1:5" x14ac:dyDescent="0.3">
      <c r="A266" s="1">
        <v>43151</v>
      </c>
      <c r="B266" s="1">
        <v>43132</v>
      </c>
      <c r="C266">
        <v>2018</v>
      </c>
      <c r="D266" t="s">
        <v>102</v>
      </c>
      <c r="E266" t="s">
        <v>103</v>
      </c>
    </row>
    <row r="267" spans="1:5" x14ac:dyDescent="0.3">
      <c r="A267" s="1">
        <v>43152</v>
      </c>
      <c r="B267" s="1">
        <v>43132</v>
      </c>
      <c r="C267">
        <v>2018</v>
      </c>
      <c r="D267" t="s">
        <v>102</v>
      </c>
      <c r="E267" t="s">
        <v>103</v>
      </c>
    </row>
    <row r="268" spans="1:5" x14ac:dyDescent="0.3">
      <c r="A268" s="1">
        <v>43153</v>
      </c>
      <c r="B268" s="1">
        <v>43132</v>
      </c>
      <c r="C268">
        <v>2018</v>
      </c>
      <c r="D268" t="s">
        <v>102</v>
      </c>
      <c r="E268" t="s">
        <v>103</v>
      </c>
    </row>
    <row r="269" spans="1:5" x14ac:dyDescent="0.3">
      <c r="A269" s="1">
        <v>43154</v>
      </c>
      <c r="B269" s="1">
        <v>43132</v>
      </c>
      <c r="C269">
        <v>2018</v>
      </c>
      <c r="D269" t="s">
        <v>102</v>
      </c>
      <c r="E269" t="s">
        <v>103</v>
      </c>
    </row>
    <row r="270" spans="1:5" x14ac:dyDescent="0.3">
      <c r="A270" s="1">
        <v>43155</v>
      </c>
      <c r="B270" s="1">
        <v>43132</v>
      </c>
      <c r="C270">
        <v>2018</v>
      </c>
      <c r="D270" t="s">
        <v>102</v>
      </c>
      <c r="E270" t="s">
        <v>103</v>
      </c>
    </row>
    <row r="271" spans="1:5" x14ac:dyDescent="0.3">
      <c r="A271" s="1">
        <v>43156</v>
      </c>
      <c r="B271" s="1">
        <v>43132</v>
      </c>
      <c r="C271">
        <v>2018</v>
      </c>
      <c r="D271" t="s">
        <v>102</v>
      </c>
      <c r="E271" t="s">
        <v>103</v>
      </c>
    </row>
    <row r="272" spans="1:5" x14ac:dyDescent="0.3">
      <c r="A272" s="1">
        <v>43157</v>
      </c>
      <c r="B272" s="1">
        <v>43132</v>
      </c>
      <c r="C272">
        <v>2018</v>
      </c>
      <c r="D272" t="s">
        <v>102</v>
      </c>
      <c r="E272" t="s">
        <v>103</v>
      </c>
    </row>
    <row r="273" spans="1:5" x14ac:dyDescent="0.3">
      <c r="A273" s="1">
        <v>43158</v>
      </c>
      <c r="B273" s="1">
        <v>43132</v>
      </c>
      <c r="C273">
        <v>2018</v>
      </c>
      <c r="D273" t="s">
        <v>102</v>
      </c>
      <c r="E273" t="s">
        <v>103</v>
      </c>
    </row>
    <row r="274" spans="1:5" x14ac:dyDescent="0.3">
      <c r="A274" s="1">
        <v>43159</v>
      </c>
      <c r="B274" s="1">
        <v>43132</v>
      </c>
      <c r="C274">
        <v>2018</v>
      </c>
      <c r="D274" t="s">
        <v>102</v>
      </c>
      <c r="E274" t="s">
        <v>103</v>
      </c>
    </row>
    <row r="275" spans="1:5" x14ac:dyDescent="0.3">
      <c r="A275" s="1">
        <v>43160</v>
      </c>
      <c r="B275" s="1">
        <v>43160</v>
      </c>
      <c r="C275">
        <v>2018</v>
      </c>
      <c r="D275" t="s">
        <v>104</v>
      </c>
      <c r="E275" t="s">
        <v>105</v>
      </c>
    </row>
    <row r="276" spans="1:5" x14ac:dyDescent="0.3">
      <c r="A276" s="1">
        <v>43161</v>
      </c>
      <c r="B276" s="1">
        <v>43160</v>
      </c>
      <c r="C276">
        <v>2018</v>
      </c>
      <c r="D276" t="s">
        <v>104</v>
      </c>
      <c r="E276" t="s">
        <v>105</v>
      </c>
    </row>
    <row r="277" spans="1:5" x14ac:dyDescent="0.3">
      <c r="A277" s="1">
        <v>43162</v>
      </c>
      <c r="B277" s="1">
        <v>43160</v>
      </c>
      <c r="C277">
        <v>2018</v>
      </c>
      <c r="D277" t="s">
        <v>104</v>
      </c>
      <c r="E277" t="s">
        <v>105</v>
      </c>
    </row>
    <row r="278" spans="1:5" x14ac:dyDescent="0.3">
      <c r="A278" s="1">
        <v>43163</v>
      </c>
      <c r="B278" s="1">
        <v>43160</v>
      </c>
      <c r="C278">
        <v>2018</v>
      </c>
      <c r="D278" t="s">
        <v>104</v>
      </c>
      <c r="E278" t="s">
        <v>105</v>
      </c>
    </row>
    <row r="279" spans="1:5" x14ac:dyDescent="0.3">
      <c r="A279" s="1">
        <v>43164</v>
      </c>
      <c r="B279" s="1">
        <v>43160</v>
      </c>
      <c r="C279">
        <v>2018</v>
      </c>
      <c r="D279" t="s">
        <v>104</v>
      </c>
      <c r="E279" t="s">
        <v>105</v>
      </c>
    </row>
    <row r="280" spans="1:5" x14ac:dyDescent="0.3">
      <c r="A280" s="1">
        <v>43165</v>
      </c>
      <c r="B280" s="1">
        <v>43160</v>
      </c>
      <c r="C280">
        <v>2018</v>
      </c>
      <c r="D280" t="s">
        <v>104</v>
      </c>
      <c r="E280" t="s">
        <v>105</v>
      </c>
    </row>
    <row r="281" spans="1:5" x14ac:dyDescent="0.3">
      <c r="A281" s="1">
        <v>43166</v>
      </c>
      <c r="B281" s="1">
        <v>43160</v>
      </c>
      <c r="C281">
        <v>2018</v>
      </c>
      <c r="D281" t="s">
        <v>104</v>
      </c>
      <c r="E281" t="s">
        <v>105</v>
      </c>
    </row>
    <row r="282" spans="1:5" x14ac:dyDescent="0.3">
      <c r="A282" s="1">
        <v>43167</v>
      </c>
      <c r="B282" s="1">
        <v>43160</v>
      </c>
      <c r="C282">
        <v>2018</v>
      </c>
      <c r="D282" t="s">
        <v>104</v>
      </c>
      <c r="E282" t="s">
        <v>105</v>
      </c>
    </row>
    <row r="283" spans="1:5" x14ac:dyDescent="0.3">
      <c r="A283" s="1">
        <v>43168</v>
      </c>
      <c r="B283" s="1">
        <v>43160</v>
      </c>
      <c r="C283">
        <v>2018</v>
      </c>
      <c r="D283" t="s">
        <v>104</v>
      </c>
      <c r="E283" t="s">
        <v>105</v>
      </c>
    </row>
    <row r="284" spans="1:5" x14ac:dyDescent="0.3">
      <c r="A284" s="1">
        <v>43169</v>
      </c>
      <c r="B284" s="1">
        <v>43160</v>
      </c>
      <c r="C284">
        <v>2018</v>
      </c>
      <c r="D284" t="s">
        <v>104</v>
      </c>
      <c r="E284" t="s">
        <v>105</v>
      </c>
    </row>
    <row r="285" spans="1:5" x14ac:dyDescent="0.3">
      <c r="A285" s="1">
        <v>43170</v>
      </c>
      <c r="B285" s="1">
        <v>43160</v>
      </c>
      <c r="C285">
        <v>2018</v>
      </c>
      <c r="D285" t="s">
        <v>104</v>
      </c>
      <c r="E285" t="s">
        <v>105</v>
      </c>
    </row>
    <row r="286" spans="1:5" x14ac:dyDescent="0.3">
      <c r="A286" s="1">
        <v>43171</v>
      </c>
      <c r="B286" s="1">
        <v>43160</v>
      </c>
      <c r="C286">
        <v>2018</v>
      </c>
      <c r="D286" t="s">
        <v>104</v>
      </c>
      <c r="E286" t="s">
        <v>105</v>
      </c>
    </row>
    <row r="287" spans="1:5" x14ac:dyDescent="0.3">
      <c r="A287" s="1">
        <v>43172</v>
      </c>
      <c r="B287" s="1">
        <v>43160</v>
      </c>
      <c r="C287">
        <v>2018</v>
      </c>
      <c r="D287" t="s">
        <v>104</v>
      </c>
      <c r="E287" t="s">
        <v>105</v>
      </c>
    </row>
    <row r="288" spans="1:5" x14ac:dyDescent="0.3">
      <c r="A288" s="1">
        <v>43173</v>
      </c>
      <c r="B288" s="1">
        <v>43160</v>
      </c>
      <c r="C288">
        <v>2018</v>
      </c>
      <c r="D288" t="s">
        <v>104</v>
      </c>
      <c r="E288" t="s">
        <v>105</v>
      </c>
    </row>
    <row r="289" spans="1:5" x14ac:dyDescent="0.3">
      <c r="A289" s="1">
        <v>43174</v>
      </c>
      <c r="B289" s="1">
        <v>43160</v>
      </c>
      <c r="C289">
        <v>2018</v>
      </c>
      <c r="D289" t="s">
        <v>104</v>
      </c>
      <c r="E289" t="s">
        <v>105</v>
      </c>
    </row>
    <row r="290" spans="1:5" x14ac:dyDescent="0.3">
      <c r="A290" s="1">
        <v>43175</v>
      </c>
      <c r="B290" s="1">
        <v>43160</v>
      </c>
      <c r="C290">
        <v>2018</v>
      </c>
      <c r="D290" t="s">
        <v>104</v>
      </c>
      <c r="E290" t="s">
        <v>105</v>
      </c>
    </row>
    <row r="291" spans="1:5" x14ac:dyDescent="0.3">
      <c r="A291" s="1">
        <v>43176</v>
      </c>
      <c r="B291" s="1">
        <v>43160</v>
      </c>
      <c r="C291">
        <v>2018</v>
      </c>
      <c r="D291" t="s">
        <v>104</v>
      </c>
      <c r="E291" t="s">
        <v>105</v>
      </c>
    </row>
    <row r="292" spans="1:5" x14ac:dyDescent="0.3">
      <c r="A292" s="1">
        <v>43177</v>
      </c>
      <c r="B292" s="1">
        <v>43160</v>
      </c>
      <c r="C292">
        <v>2018</v>
      </c>
      <c r="D292" t="s">
        <v>104</v>
      </c>
      <c r="E292" t="s">
        <v>105</v>
      </c>
    </row>
    <row r="293" spans="1:5" x14ac:dyDescent="0.3">
      <c r="A293" s="1">
        <v>43178</v>
      </c>
      <c r="B293" s="1">
        <v>43160</v>
      </c>
      <c r="C293">
        <v>2018</v>
      </c>
      <c r="D293" t="s">
        <v>104</v>
      </c>
      <c r="E293" t="s">
        <v>105</v>
      </c>
    </row>
    <row r="294" spans="1:5" x14ac:dyDescent="0.3">
      <c r="A294" s="1">
        <v>43179</v>
      </c>
      <c r="B294" s="1">
        <v>43160</v>
      </c>
      <c r="C294">
        <v>2018</v>
      </c>
      <c r="D294" t="s">
        <v>104</v>
      </c>
      <c r="E294" t="s">
        <v>105</v>
      </c>
    </row>
    <row r="295" spans="1:5" x14ac:dyDescent="0.3">
      <c r="A295" s="1">
        <v>43180</v>
      </c>
      <c r="B295" s="1">
        <v>43160</v>
      </c>
      <c r="C295">
        <v>2018</v>
      </c>
      <c r="D295" t="s">
        <v>104</v>
      </c>
      <c r="E295" t="s">
        <v>105</v>
      </c>
    </row>
    <row r="296" spans="1:5" x14ac:dyDescent="0.3">
      <c r="A296" s="1">
        <v>43181</v>
      </c>
      <c r="B296" s="1">
        <v>43160</v>
      </c>
      <c r="C296">
        <v>2018</v>
      </c>
      <c r="D296" t="s">
        <v>104</v>
      </c>
      <c r="E296" t="s">
        <v>105</v>
      </c>
    </row>
    <row r="297" spans="1:5" x14ac:dyDescent="0.3">
      <c r="A297" s="1">
        <v>43182</v>
      </c>
      <c r="B297" s="1">
        <v>43160</v>
      </c>
      <c r="C297">
        <v>2018</v>
      </c>
      <c r="D297" t="s">
        <v>104</v>
      </c>
      <c r="E297" t="s">
        <v>105</v>
      </c>
    </row>
    <row r="298" spans="1:5" x14ac:dyDescent="0.3">
      <c r="A298" s="1">
        <v>43183</v>
      </c>
      <c r="B298" s="1">
        <v>43160</v>
      </c>
      <c r="C298">
        <v>2018</v>
      </c>
      <c r="D298" t="s">
        <v>104</v>
      </c>
      <c r="E298" t="s">
        <v>105</v>
      </c>
    </row>
    <row r="299" spans="1:5" x14ac:dyDescent="0.3">
      <c r="A299" s="1">
        <v>43184</v>
      </c>
      <c r="B299" s="1">
        <v>43160</v>
      </c>
      <c r="C299">
        <v>2018</v>
      </c>
      <c r="D299" t="s">
        <v>104</v>
      </c>
      <c r="E299" t="s">
        <v>105</v>
      </c>
    </row>
    <row r="300" spans="1:5" x14ac:dyDescent="0.3">
      <c r="A300" s="1">
        <v>43185</v>
      </c>
      <c r="B300" s="1">
        <v>43160</v>
      </c>
      <c r="C300">
        <v>2018</v>
      </c>
      <c r="D300" t="s">
        <v>104</v>
      </c>
      <c r="E300" t="s">
        <v>105</v>
      </c>
    </row>
    <row r="301" spans="1:5" x14ac:dyDescent="0.3">
      <c r="A301" s="1">
        <v>43186</v>
      </c>
      <c r="B301" s="1">
        <v>43160</v>
      </c>
      <c r="C301">
        <v>2018</v>
      </c>
      <c r="D301" t="s">
        <v>104</v>
      </c>
      <c r="E301" t="s">
        <v>105</v>
      </c>
    </row>
    <row r="302" spans="1:5" x14ac:dyDescent="0.3">
      <c r="A302" s="1">
        <v>43187</v>
      </c>
      <c r="B302" s="1">
        <v>43160</v>
      </c>
      <c r="C302">
        <v>2018</v>
      </c>
      <c r="D302" t="s">
        <v>104</v>
      </c>
      <c r="E302" t="s">
        <v>105</v>
      </c>
    </row>
    <row r="303" spans="1:5" x14ac:dyDescent="0.3">
      <c r="A303" s="1">
        <v>43188</v>
      </c>
      <c r="B303" s="1">
        <v>43160</v>
      </c>
      <c r="C303">
        <v>2018</v>
      </c>
      <c r="D303" t="s">
        <v>104</v>
      </c>
      <c r="E303" t="s">
        <v>105</v>
      </c>
    </row>
    <row r="304" spans="1:5" x14ac:dyDescent="0.3">
      <c r="A304" s="1">
        <v>43189</v>
      </c>
      <c r="B304" s="1">
        <v>43160</v>
      </c>
      <c r="C304">
        <v>2018</v>
      </c>
      <c r="D304" t="s">
        <v>104</v>
      </c>
      <c r="E304" t="s">
        <v>105</v>
      </c>
    </row>
    <row r="305" spans="1:5" x14ac:dyDescent="0.3">
      <c r="A305" s="1">
        <v>43190</v>
      </c>
      <c r="B305" s="1">
        <v>43160</v>
      </c>
      <c r="C305">
        <v>2018</v>
      </c>
      <c r="D305" t="s">
        <v>104</v>
      </c>
      <c r="E305" t="s">
        <v>105</v>
      </c>
    </row>
    <row r="306" spans="1:5" x14ac:dyDescent="0.3">
      <c r="A306" s="1">
        <v>43191</v>
      </c>
      <c r="B306" s="1">
        <v>43191</v>
      </c>
      <c r="C306">
        <v>2018</v>
      </c>
      <c r="D306" t="s">
        <v>106</v>
      </c>
      <c r="E306" t="s">
        <v>107</v>
      </c>
    </row>
    <row r="307" spans="1:5" x14ac:dyDescent="0.3">
      <c r="A307" s="1">
        <v>43192</v>
      </c>
      <c r="B307" s="1">
        <v>43191</v>
      </c>
      <c r="C307">
        <v>2018</v>
      </c>
      <c r="D307" t="s">
        <v>106</v>
      </c>
      <c r="E307" t="s">
        <v>107</v>
      </c>
    </row>
    <row r="308" spans="1:5" x14ac:dyDescent="0.3">
      <c r="A308" s="1">
        <v>43193</v>
      </c>
      <c r="B308" s="1">
        <v>43191</v>
      </c>
      <c r="C308">
        <v>2018</v>
      </c>
      <c r="D308" t="s">
        <v>106</v>
      </c>
      <c r="E308" t="s">
        <v>107</v>
      </c>
    </row>
    <row r="309" spans="1:5" x14ac:dyDescent="0.3">
      <c r="A309" s="1">
        <v>43194</v>
      </c>
      <c r="B309" s="1">
        <v>43191</v>
      </c>
      <c r="C309">
        <v>2018</v>
      </c>
      <c r="D309" t="s">
        <v>106</v>
      </c>
      <c r="E309" t="s">
        <v>107</v>
      </c>
    </row>
    <row r="310" spans="1:5" x14ac:dyDescent="0.3">
      <c r="A310" s="1">
        <v>43195</v>
      </c>
      <c r="B310" s="1">
        <v>43191</v>
      </c>
      <c r="C310">
        <v>2018</v>
      </c>
      <c r="D310" t="s">
        <v>106</v>
      </c>
      <c r="E310" t="s">
        <v>107</v>
      </c>
    </row>
    <row r="311" spans="1:5" x14ac:dyDescent="0.3">
      <c r="A311" s="1">
        <v>43196</v>
      </c>
      <c r="B311" s="1">
        <v>43191</v>
      </c>
      <c r="C311">
        <v>2018</v>
      </c>
      <c r="D311" t="s">
        <v>106</v>
      </c>
      <c r="E311" t="s">
        <v>107</v>
      </c>
    </row>
    <row r="312" spans="1:5" x14ac:dyDescent="0.3">
      <c r="A312" s="1">
        <v>43197</v>
      </c>
      <c r="B312" s="1">
        <v>43191</v>
      </c>
      <c r="C312">
        <v>2018</v>
      </c>
      <c r="D312" t="s">
        <v>106</v>
      </c>
      <c r="E312" t="s">
        <v>107</v>
      </c>
    </row>
    <row r="313" spans="1:5" x14ac:dyDescent="0.3">
      <c r="A313" s="1">
        <v>43198</v>
      </c>
      <c r="B313" s="1">
        <v>43191</v>
      </c>
      <c r="C313">
        <v>2018</v>
      </c>
      <c r="D313" t="s">
        <v>106</v>
      </c>
      <c r="E313" t="s">
        <v>107</v>
      </c>
    </row>
    <row r="314" spans="1:5" x14ac:dyDescent="0.3">
      <c r="A314" s="1">
        <v>43199</v>
      </c>
      <c r="B314" s="1">
        <v>43191</v>
      </c>
      <c r="C314">
        <v>2018</v>
      </c>
      <c r="D314" t="s">
        <v>106</v>
      </c>
      <c r="E314" t="s">
        <v>107</v>
      </c>
    </row>
    <row r="315" spans="1:5" x14ac:dyDescent="0.3">
      <c r="A315" s="1">
        <v>43200</v>
      </c>
      <c r="B315" s="1">
        <v>43191</v>
      </c>
      <c r="C315">
        <v>2018</v>
      </c>
      <c r="D315" t="s">
        <v>106</v>
      </c>
      <c r="E315" t="s">
        <v>107</v>
      </c>
    </row>
    <row r="316" spans="1:5" x14ac:dyDescent="0.3">
      <c r="A316" s="1">
        <v>43201</v>
      </c>
      <c r="B316" s="1">
        <v>43191</v>
      </c>
      <c r="C316">
        <v>2018</v>
      </c>
      <c r="D316" t="s">
        <v>106</v>
      </c>
      <c r="E316" t="s">
        <v>107</v>
      </c>
    </row>
    <row r="317" spans="1:5" x14ac:dyDescent="0.3">
      <c r="A317" s="1">
        <v>43202</v>
      </c>
      <c r="B317" s="1">
        <v>43191</v>
      </c>
      <c r="C317">
        <v>2018</v>
      </c>
      <c r="D317" t="s">
        <v>106</v>
      </c>
      <c r="E317" t="s">
        <v>107</v>
      </c>
    </row>
    <row r="318" spans="1:5" x14ac:dyDescent="0.3">
      <c r="A318" s="1">
        <v>43203</v>
      </c>
      <c r="B318" s="1">
        <v>43191</v>
      </c>
      <c r="C318">
        <v>2018</v>
      </c>
      <c r="D318" t="s">
        <v>106</v>
      </c>
      <c r="E318" t="s">
        <v>107</v>
      </c>
    </row>
    <row r="319" spans="1:5" x14ac:dyDescent="0.3">
      <c r="A319" s="1">
        <v>43204</v>
      </c>
      <c r="B319" s="1">
        <v>43191</v>
      </c>
      <c r="C319">
        <v>2018</v>
      </c>
      <c r="D319" t="s">
        <v>106</v>
      </c>
      <c r="E319" t="s">
        <v>107</v>
      </c>
    </row>
    <row r="320" spans="1:5" x14ac:dyDescent="0.3">
      <c r="A320" s="1">
        <v>43205</v>
      </c>
      <c r="B320" s="1">
        <v>43191</v>
      </c>
      <c r="C320">
        <v>2018</v>
      </c>
      <c r="D320" t="s">
        <v>106</v>
      </c>
      <c r="E320" t="s">
        <v>107</v>
      </c>
    </row>
    <row r="321" spans="1:5" x14ac:dyDescent="0.3">
      <c r="A321" s="1">
        <v>43206</v>
      </c>
      <c r="B321" s="1">
        <v>43191</v>
      </c>
      <c r="C321">
        <v>2018</v>
      </c>
      <c r="D321" t="s">
        <v>106</v>
      </c>
      <c r="E321" t="s">
        <v>107</v>
      </c>
    </row>
    <row r="322" spans="1:5" x14ac:dyDescent="0.3">
      <c r="A322" s="1">
        <v>43207</v>
      </c>
      <c r="B322" s="1">
        <v>43191</v>
      </c>
      <c r="C322">
        <v>2018</v>
      </c>
      <c r="D322" t="s">
        <v>106</v>
      </c>
      <c r="E322" t="s">
        <v>107</v>
      </c>
    </row>
    <row r="323" spans="1:5" x14ac:dyDescent="0.3">
      <c r="A323" s="1">
        <v>43208</v>
      </c>
      <c r="B323" s="1">
        <v>43191</v>
      </c>
      <c r="C323">
        <v>2018</v>
      </c>
      <c r="D323" t="s">
        <v>106</v>
      </c>
      <c r="E323" t="s">
        <v>107</v>
      </c>
    </row>
    <row r="324" spans="1:5" x14ac:dyDescent="0.3">
      <c r="A324" s="1">
        <v>43209</v>
      </c>
      <c r="B324" s="1">
        <v>43191</v>
      </c>
      <c r="C324">
        <v>2018</v>
      </c>
      <c r="D324" t="s">
        <v>106</v>
      </c>
      <c r="E324" t="s">
        <v>107</v>
      </c>
    </row>
    <row r="325" spans="1:5" x14ac:dyDescent="0.3">
      <c r="A325" s="1">
        <v>43210</v>
      </c>
      <c r="B325" s="1">
        <v>43191</v>
      </c>
      <c r="C325">
        <v>2018</v>
      </c>
      <c r="D325" t="s">
        <v>106</v>
      </c>
      <c r="E325" t="s">
        <v>107</v>
      </c>
    </row>
    <row r="326" spans="1:5" x14ac:dyDescent="0.3">
      <c r="A326" s="1">
        <v>43211</v>
      </c>
      <c r="B326" s="1">
        <v>43191</v>
      </c>
      <c r="C326">
        <v>2018</v>
      </c>
      <c r="D326" t="s">
        <v>106</v>
      </c>
      <c r="E326" t="s">
        <v>107</v>
      </c>
    </row>
    <row r="327" spans="1:5" x14ac:dyDescent="0.3">
      <c r="A327" s="1">
        <v>43212</v>
      </c>
      <c r="B327" s="1">
        <v>43191</v>
      </c>
      <c r="C327">
        <v>2018</v>
      </c>
      <c r="D327" t="s">
        <v>106</v>
      </c>
      <c r="E327" t="s">
        <v>107</v>
      </c>
    </row>
    <row r="328" spans="1:5" x14ac:dyDescent="0.3">
      <c r="A328" s="1">
        <v>43213</v>
      </c>
      <c r="B328" s="1">
        <v>43191</v>
      </c>
      <c r="C328">
        <v>2018</v>
      </c>
      <c r="D328" t="s">
        <v>106</v>
      </c>
      <c r="E328" t="s">
        <v>107</v>
      </c>
    </row>
    <row r="329" spans="1:5" x14ac:dyDescent="0.3">
      <c r="A329" s="1">
        <v>43214</v>
      </c>
      <c r="B329" s="1">
        <v>43191</v>
      </c>
      <c r="C329">
        <v>2018</v>
      </c>
      <c r="D329" t="s">
        <v>106</v>
      </c>
      <c r="E329" t="s">
        <v>107</v>
      </c>
    </row>
    <row r="330" spans="1:5" x14ac:dyDescent="0.3">
      <c r="A330" s="1">
        <v>43215</v>
      </c>
      <c r="B330" s="1">
        <v>43191</v>
      </c>
      <c r="C330">
        <v>2018</v>
      </c>
      <c r="D330" t="s">
        <v>106</v>
      </c>
      <c r="E330" t="s">
        <v>107</v>
      </c>
    </row>
    <row r="331" spans="1:5" x14ac:dyDescent="0.3">
      <c r="A331" s="1">
        <v>43216</v>
      </c>
      <c r="B331" s="1">
        <v>43191</v>
      </c>
      <c r="C331">
        <v>2018</v>
      </c>
      <c r="D331" t="s">
        <v>106</v>
      </c>
      <c r="E331" t="s">
        <v>107</v>
      </c>
    </row>
    <row r="332" spans="1:5" x14ac:dyDescent="0.3">
      <c r="A332" s="1">
        <v>43217</v>
      </c>
      <c r="B332" s="1">
        <v>43191</v>
      </c>
      <c r="C332">
        <v>2018</v>
      </c>
      <c r="D332" t="s">
        <v>106</v>
      </c>
      <c r="E332" t="s">
        <v>107</v>
      </c>
    </row>
    <row r="333" spans="1:5" x14ac:dyDescent="0.3">
      <c r="A333" s="1">
        <v>43218</v>
      </c>
      <c r="B333" s="1">
        <v>43191</v>
      </c>
      <c r="C333">
        <v>2018</v>
      </c>
      <c r="D333" t="s">
        <v>106</v>
      </c>
      <c r="E333" t="s">
        <v>107</v>
      </c>
    </row>
    <row r="334" spans="1:5" x14ac:dyDescent="0.3">
      <c r="A334" s="1">
        <v>43219</v>
      </c>
      <c r="B334" s="1">
        <v>43191</v>
      </c>
      <c r="C334">
        <v>2018</v>
      </c>
      <c r="D334" t="s">
        <v>106</v>
      </c>
      <c r="E334" t="s">
        <v>107</v>
      </c>
    </row>
    <row r="335" spans="1:5" x14ac:dyDescent="0.3">
      <c r="A335" s="1">
        <v>43220</v>
      </c>
      <c r="B335" s="1">
        <v>43191</v>
      </c>
      <c r="C335">
        <v>2018</v>
      </c>
      <c r="D335" t="s">
        <v>106</v>
      </c>
      <c r="E335" t="s">
        <v>107</v>
      </c>
    </row>
    <row r="336" spans="1:5" x14ac:dyDescent="0.3">
      <c r="A336" s="1">
        <v>43221</v>
      </c>
      <c r="B336" s="1">
        <v>43221</v>
      </c>
      <c r="C336">
        <v>2018</v>
      </c>
      <c r="D336" t="s">
        <v>108</v>
      </c>
      <c r="E336" t="s">
        <v>109</v>
      </c>
    </row>
    <row r="337" spans="1:5" x14ac:dyDescent="0.3">
      <c r="A337" s="1">
        <v>43222</v>
      </c>
      <c r="B337" s="1">
        <v>43221</v>
      </c>
      <c r="C337">
        <v>2018</v>
      </c>
      <c r="D337" t="s">
        <v>108</v>
      </c>
      <c r="E337" t="s">
        <v>109</v>
      </c>
    </row>
    <row r="338" spans="1:5" x14ac:dyDescent="0.3">
      <c r="A338" s="1">
        <v>43223</v>
      </c>
      <c r="B338" s="1">
        <v>43221</v>
      </c>
      <c r="C338">
        <v>2018</v>
      </c>
      <c r="D338" t="s">
        <v>108</v>
      </c>
      <c r="E338" t="s">
        <v>109</v>
      </c>
    </row>
    <row r="339" spans="1:5" x14ac:dyDescent="0.3">
      <c r="A339" s="1">
        <v>43224</v>
      </c>
      <c r="B339" s="1">
        <v>43221</v>
      </c>
      <c r="C339">
        <v>2018</v>
      </c>
      <c r="D339" t="s">
        <v>108</v>
      </c>
      <c r="E339" t="s">
        <v>109</v>
      </c>
    </row>
    <row r="340" spans="1:5" x14ac:dyDescent="0.3">
      <c r="A340" s="1">
        <v>43225</v>
      </c>
      <c r="B340" s="1">
        <v>43221</v>
      </c>
      <c r="C340">
        <v>2018</v>
      </c>
      <c r="D340" t="s">
        <v>108</v>
      </c>
      <c r="E340" t="s">
        <v>109</v>
      </c>
    </row>
    <row r="341" spans="1:5" x14ac:dyDescent="0.3">
      <c r="A341" s="1">
        <v>43226</v>
      </c>
      <c r="B341" s="1">
        <v>43221</v>
      </c>
      <c r="C341">
        <v>2018</v>
      </c>
      <c r="D341" t="s">
        <v>108</v>
      </c>
      <c r="E341" t="s">
        <v>109</v>
      </c>
    </row>
    <row r="342" spans="1:5" x14ac:dyDescent="0.3">
      <c r="A342" s="1">
        <v>43227</v>
      </c>
      <c r="B342" s="1">
        <v>43221</v>
      </c>
      <c r="C342">
        <v>2018</v>
      </c>
      <c r="D342" t="s">
        <v>108</v>
      </c>
      <c r="E342" t="s">
        <v>109</v>
      </c>
    </row>
    <row r="343" spans="1:5" x14ac:dyDescent="0.3">
      <c r="A343" s="1">
        <v>43228</v>
      </c>
      <c r="B343" s="1">
        <v>43221</v>
      </c>
      <c r="C343">
        <v>2018</v>
      </c>
      <c r="D343" t="s">
        <v>108</v>
      </c>
      <c r="E343" t="s">
        <v>109</v>
      </c>
    </row>
    <row r="344" spans="1:5" x14ac:dyDescent="0.3">
      <c r="A344" s="1">
        <v>43229</v>
      </c>
      <c r="B344" s="1">
        <v>43221</v>
      </c>
      <c r="C344">
        <v>2018</v>
      </c>
      <c r="D344" t="s">
        <v>108</v>
      </c>
      <c r="E344" t="s">
        <v>109</v>
      </c>
    </row>
    <row r="345" spans="1:5" x14ac:dyDescent="0.3">
      <c r="A345" s="1">
        <v>43230</v>
      </c>
      <c r="B345" s="1">
        <v>43221</v>
      </c>
      <c r="C345">
        <v>2018</v>
      </c>
      <c r="D345" t="s">
        <v>108</v>
      </c>
      <c r="E345" t="s">
        <v>109</v>
      </c>
    </row>
    <row r="346" spans="1:5" x14ac:dyDescent="0.3">
      <c r="A346" s="1">
        <v>43231</v>
      </c>
      <c r="B346" s="1">
        <v>43221</v>
      </c>
      <c r="C346">
        <v>2018</v>
      </c>
      <c r="D346" t="s">
        <v>108</v>
      </c>
      <c r="E346" t="s">
        <v>109</v>
      </c>
    </row>
    <row r="347" spans="1:5" x14ac:dyDescent="0.3">
      <c r="A347" s="1">
        <v>43232</v>
      </c>
      <c r="B347" s="1">
        <v>43221</v>
      </c>
      <c r="C347">
        <v>2018</v>
      </c>
      <c r="D347" t="s">
        <v>108</v>
      </c>
      <c r="E347" t="s">
        <v>109</v>
      </c>
    </row>
    <row r="348" spans="1:5" x14ac:dyDescent="0.3">
      <c r="A348" s="1">
        <v>43233</v>
      </c>
      <c r="B348" s="1">
        <v>43221</v>
      </c>
      <c r="C348">
        <v>2018</v>
      </c>
      <c r="D348" t="s">
        <v>108</v>
      </c>
      <c r="E348" t="s">
        <v>109</v>
      </c>
    </row>
    <row r="349" spans="1:5" x14ac:dyDescent="0.3">
      <c r="A349" s="1">
        <v>43234</v>
      </c>
      <c r="B349" s="1">
        <v>43221</v>
      </c>
      <c r="C349">
        <v>2018</v>
      </c>
      <c r="D349" t="s">
        <v>108</v>
      </c>
      <c r="E349" t="s">
        <v>109</v>
      </c>
    </row>
    <row r="350" spans="1:5" x14ac:dyDescent="0.3">
      <c r="A350" s="1">
        <v>43235</v>
      </c>
      <c r="B350" s="1">
        <v>43221</v>
      </c>
      <c r="C350">
        <v>2018</v>
      </c>
      <c r="D350" t="s">
        <v>108</v>
      </c>
      <c r="E350" t="s">
        <v>109</v>
      </c>
    </row>
    <row r="351" spans="1:5" x14ac:dyDescent="0.3">
      <c r="A351" s="1">
        <v>43236</v>
      </c>
      <c r="B351" s="1">
        <v>43221</v>
      </c>
      <c r="C351">
        <v>2018</v>
      </c>
      <c r="D351" t="s">
        <v>108</v>
      </c>
      <c r="E351" t="s">
        <v>109</v>
      </c>
    </row>
    <row r="352" spans="1:5" x14ac:dyDescent="0.3">
      <c r="A352" s="1">
        <v>43237</v>
      </c>
      <c r="B352" s="1">
        <v>43221</v>
      </c>
      <c r="C352">
        <v>2018</v>
      </c>
      <c r="D352" t="s">
        <v>108</v>
      </c>
      <c r="E352" t="s">
        <v>109</v>
      </c>
    </row>
    <row r="353" spans="1:5" x14ac:dyDescent="0.3">
      <c r="A353" s="1">
        <v>43238</v>
      </c>
      <c r="B353" s="1">
        <v>43221</v>
      </c>
      <c r="C353">
        <v>2018</v>
      </c>
      <c r="D353" t="s">
        <v>108</v>
      </c>
      <c r="E353" t="s">
        <v>109</v>
      </c>
    </row>
    <row r="354" spans="1:5" x14ac:dyDescent="0.3">
      <c r="A354" s="1">
        <v>43239</v>
      </c>
      <c r="B354" s="1">
        <v>43221</v>
      </c>
      <c r="C354">
        <v>2018</v>
      </c>
      <c r="D354" t="s">
        <v>108</v>
      </c>
      <c r="E354" t="s">
        <v>109</v>
      </c>
    </row>
    <row r="355" spans="1:5" x14ac:dyDescent="0.3">
      <c r="A355" s="1">
        <v>43240</v>
      </c>
      <c r="B355" s="1">
        <v>43221</v>
      </c>
      <c r="C355">
        <v>2018</v>
      </c>
      <c r="D355" t="s">
        <v>108</v>
      </c>
      <c r="E355" t="s">
        <v>109</v>
      </c>
    </row>
    <row r="356" spans="1:5" x14ac:dyDescent="0.3">
      <c r="A356" s="1">
        <v>43241</v>
      </c>
      <c r="B356" s="1">
        <v>43221</v>
      </c>
      <c r="C356">
        <v>2018</v>
      </c>
      <c r="D356" t="s">
        <v>108</v>
      </c>
      <c r="E356" t="s">
        <v>109</v>
      </c>
    </row>
    <row r="357" spans="1:5" x14ac:dyDescent="0.3">
      <c r="A357" s="1">
        <v>43242</v>
      </c>
      <c r="B357" s="1">
        <v>43221</v>
      </c>
      <c r="C357">
        <v>2018</v>
      </c>
      <c r="D357" t="s">
        <v>108</v>
      </c>
      <c r="E357" t="s">
        <v>109</v>
      </c>
    </row>
    <row r="358" spans="1:5" x14ac:dyDescent="0.3">
      <c r="A358" s="1">
        <v>43243</v>
      </c>
      <c r="B358" s="1">
        <v>43221</v>
      </c>
      <c r="C358">
        <v>2018</v>
      </c>
      <c r="D358" t="s">
        <v>108</v>
      </c>
      <c r="E358" t="s">
        <v>109</v>
      </c>
    </row>
    <row r="359" spans="1:5" x14ac:dyDescent="0.3">
      <c r="A359" s="1">
        <v>43244</v>
      </c>
      <c r="B359" s="1">
        <v>43221</v>
      </c>
      <c r="C359">
        <v>2018</v>
      </c>
      <c r="D359" t="s">
        <v>108</v>
      </c>
      <c r="E359" t="s">
        <v>109</v>
      </c>
    </row>
    <row r="360" spans="1:5" x14ac:dyDescent="0.3">
      <c r="A360" s="1">
        <v>43245</v>
      </c>
      <c r="B360" s="1">
        <v>43221</v>
      </c>
      <c r="C360">
        <v>2018</v>
      </c>
      <c r="D360" t="s">
        <v>108</v>
      </c>
      <c r="E360" t="s">
        <v>109</v>
      </c>
    </row>
    <row r="361" spans="1:5" x14ac:dyDescent="0.3">
      <c r="A361" s="1">
        <v>43246</v>
      </c>
      <c r="B361" s="1">
        <v>43221</v>
      </c>
      <c r="C361">
        <v>2018</v>
      </c>
      <c r="D361" t="s">
        <v>108</v>
      </c>
      <c r="E361" t="s">
        <v>109</v>
      </c>
    </row>
    <row r="362" spans="1:5" x14ac:dyDescent="0.3">
      <c r="A362" s="1">
        <v>43247</v>
      </c>
      <c r="B362" s="1">
        <v>43221</v>
      </c>
      <c r="C362">
        <v>2018</v>
      </c>
      <c r="D362" t="s">
        <v>108</v>
      </c>
      <c r="E362" t="s">
        <v>109</v>
      </c>
    </row>
    <row r="363" spans="1:5" x14ac:dyDescent="0.3">
      <c r="A363" s="1">
        <v>43248</v>
      </c>
      <c r="B363" s="1">
        <v>43221</v>
      </c>
      <c r="C363">
        <v>2018</v>
      </c>
      <c r="D363" t="s">
        <v>108</v>
      </c>
      <c r="E363" t="s">
        <v>109</v>
      </c>
    </row>
    <row r="364" spans="1:5" x14ac:dyDescent="0.3">
      <c r="A364" s="1">
        <v>43249</v>
      </c>
      <c r="B364" s="1">
        <v>43221</v>
      </c>
      <c r="C364">
        <v>2018</v>
      </c>
      <c r="D364" t="s">
        <v>108</v>
      </c>
      <c r="E364" t="s">
        <v>109</v>
      </c>
    </row>
    <row r="365" spans="1:5" x14ac:dyDescent="0.3">
      <c r="A365" s="1">
        <v>43250</v>
      </c>
      <c r="B365" s="1">
        <v>43221</v>
      </c>
      <c r="C365">
        <v>2018</v>
      </c>
      <c r="D365" t="s">
        <v>108</v>
      </c>
      <c r="E365" t="s">
        <v>109</v>
      </c>
    </row>
    <row r="366" spans="1:5" x14ac:dyDescent="0.3">
      <c r="A366" s="1">
        <v>43251</v>
      </c>
      <c r="B366" s="1">
        <v>43221</v>
      </c>
      <c r="C366">
        <v>2018</v>
      </c>
      <c r="D366" t="s">
        <v>108</v>
      </c>
      <c r="E366" t="s">
        <v>109</v>
      </c>
    </row>
    <row r="367" spans="1:5" x14ac:dyDescent="0.3">
      <c r="A367" s="1">
        <v>43252</v>
      </c>
      <c r="B367" s="1">
        <v>43252</v>
      </c>
      <c r="C367">
        <v>2018</v>
      </c>
      <c r="D367" t="s">
        <v>86</v>
      </c>
      <c r="E367" t="s">
        <v>110</v>
      </c>
    </row>
    <row r="368" spans="1:5" x14ac:dyDescent="0.3">
      <c r="A368" s="1">
        <v>43253</v>
      </c>
      <c r="B368" s="1">
        <v>43252</v>
      </c>
      <c r="C368">
        <v>2018</v>
      </c>
      <c r="D368" t="s">
        <v>86</v>
      </c>
      <c r="E368" t="s">
        <v>110</v>
      </c>
    </row>
    <row r="369" spans="1:5" x14ac:dyDescent="0.3">
      <c r="A369" s="1">
        <v>43254</v>
      </c>
      <c r="B369" s="1">
        <v>43252</v>
      </c>
      <c r="C369">
        <v>2018</v>
      </c>
      <c r="D369" t="s">
        <v>86</v>
      </c>
      <c r="E369" t="s">
        <v>110</v>
      </c>
    </row>
    <row r="370" spans="1:5" x14ac:dyDescent="0.3">
      <c r="A370" s="1">
        <v>43255</v>
      </c>
      <c r="B370" s="1">
        <v>43252</v>
      </c>
      <c r="C370">
        <v>2018</v>
      </c>
      <c r="D370" t="s">
        <v>86</v>
      </c>
      <c r="E370" t="s">
        <v>110</v>
      </c>
    </row>
    <row r="371" spans="1:5" x14ac:dyDescent="0.3">
      <c r="A371" s="1">
        <v>43256</v>
      </c>
      <c r="B371" s="1">
        <v>43252</v>
      </c>
      <c r="C371">
        <v>2018</v>
      </c>
      <c r="D371" t="s">
        <v>86</v>
      </c>
      <c r="E371" t="s">
        <v>110</v>
      </c>
    </row>
    <row r="372" spans="1:5" x14ac:dyDescent="0.3">
      <c r="A372" s="1">
        <v>43257</v>
      </c>
      <c r="B372" s="1">
        <v>43252</v>
      </c>
      <c r="C372">
        <v>2018</v>
      </c>
      <c r="D372" t="s">
        <v>86</v>
      </c>
      <c r="E372" t="s">
        <v>110</v>
      </c>
    </row>
    <row r="373" spans="1:5" x14ac:dyDescent="0.3">
      <c r="A373" s="1">
        <v>43258</v>
      </c>
      <c r="B373" s="1">
        <v>43252</v>
      </c>
      <c r="C373">
        <v>2018</v>
      </c>
      <c r="D373" t="s">
        <v>86</v>
      </c>
      <c r="E373" t="s">
        <v>110</v>
      </c>
    </row>
    <row r="374" spans="1:5" x14ac:dyDescent="0.3">
      <c r="A374" s="1">
        <v>43259</v>
      </c>
      <c r="B374" s="1">
        <v>43252</v>
      </c>
      <c r="C374">
        <v>2018</v>
      </c>
      <c r="D374" t="s">
        <v>86</v>
      </c>
      <c r="E374" t="s">
        <v>110</v>
      </c>
    </row>
    <row r="375" spans="1:5" x14ac:dyDescent="0.3">
      <c r="A375" s="1">
        <v>43260</v>
      </c>
      <c r="B375" s="1">
        <v>43252</v>
      </c>
      <c r="C375">
        <v>2018</v>
      </c>
      <c r="D375" t="s">
        <v>86</v>
      </c>
      <c r="E375" t="s">
        <v>110</v>
      </c>
    </row>
    <row r="376" spans="1:5" x14ac:dyDescent="0.3">
      <c r="A376" s="1">
        <v>43261</v>
      </c>
      <c r="B376" s="1">
        <v>43252</v>
      </c>
      <c r="C376">
        <v>2018</v>
      </c>
      <c r="D376" t="s">
        <v>86</v>
      </c>
      <c r="E376" t="s">
        <v>110</v>
      </c>
    </row>
    <row r="377" spans="1:5" x14ac:dyDescent="0.3">
      <c r="A377" s="1">
        <v>43262</v>
      </c>
      <c r="B377" s="1">
        <v>43252</v>
      </c>
      <c r="C377">
        <v>2018</v>
      </c>
      <c r="D377" t="s">
        <v>86</v>
      </c>
      <c r="E377" t="s">
        <v>110</v>
      </c>
    </row>
    <row r="378" spans="1:5" x14ac:dyDescent="0.3">
      <c r="A378" s="1">
        <v>43263</v>
      </c>
      <c r="B378" s="1">
        <v>43252</v>
      </c>
      <c r="C378">
        <v>2018</v>
      </c>
      <c r="D378" t="s">
        <v>86</v>
      </c>
      <c r="E378" t="s">
        <v>110</v>
      </c>
    </row>
    <row r="379" spans="1:5" x14ac:dyDescent="0.3">
      <c r="A379" s="1">
        <v>43264</v>
      </c>
      <c r="B379" s="1">
        <v>43252</v>
      </c>
      <c r="C379">
        <v>2018</v>
      </c>
      <c r="D379" t="s">
        <v>86</v>
      </c>
      <c r="E379" t="s">
        <v>110</v>
      </c>
    </row>
    <row r="380" spans="1:5" x14ac:dyDescent="0.3">
      <c r="A380" s="1">
        <v>43265</v>
      </c>
      <c r="B380" s="1">
        <v>43252</v>
      </c>
      <c r="C380">
        <v>2018</v>
      </c>
      <c r="D380" t="s">
        <v>86</v>
      </c>
      <c r="E380" t="s">
        <v>110</v>
      </c>
    </row>
    <row r="381" spans="1:5" x14ac:dyDescent="0.3">
      <c r="A381" s="1">
        <v>43266</v>
      </c>
      <c r="B381" s="1">
        <v>43252</v>
      </c>
      <c r="C381">
        <v>2018</v>
      </c>
      <c r="D381" t="s">
        <v>86</v>
      </c>
      <c r="E381" t="s">
        <v>110</v>
      </c>
    </row>
    <row r="382" spans="1:5" x14ac:dyDescent="0.3">
      <c r="A382" s="1">
        <v>43267</v>
      </c>
      <c r="B382" s="1">
        <v>43252</v>
      </c>
      <c r="C382">
        <v>2018</v>
      </c>
      <c r="D382" t="s">
        <v>86</v>
      </c>
      <c r="E382" t="s">
        <v>110</v>
      </c>
    </row>
    <row r="383" spans="1:5" x14ac:dyDescent="0.3">
      <c r="A383" s="1">
        <v>43268</v>
      </c>
      <c r="B383" s="1">
        <v>43252</v>
      </c>
      <c r="C383">
        <v>2018</v>
      </c>
      <c r="D383" t="s">
        <v>86</v>
      </c>
      <c r="E383" t="s">
        <v>110</v>
      </c>
    </row>
    <row r="384" spans="1:5" x14ac:dyDescent="0.3">
      <c r="A384" s="1">
        <v>43269</v>
      </c>
      <c r="B384" s="1">
        <v>43252</v>
      </c>
      <c r="C384">
        <v>2018</v>
      </c>
      <c r="D384" t="s">
        <v>86</v>
      </c>
      <c r="E384" t="s">
        <v>110</v>
      </c>
    </row>
    <row r="385" spans="1:5" x14ac:dyDescent="0.3">
      <c r="A385" s="1">
        <v>43270</v>
      </c>
      <c r="B385" s="1">
        <v>43252</v>
      </c>
      <c r="C385">
        <v>2018</v>
      </c>
      <c r="D385" t="s">
        <v>86</v>
      </c>
      <c r="E385" t="s">
        <v>110</v>
      </c>
    </row>
    <row r="386" spans="1:5" x14ac:dyDescent="0.3">
      <c r="A386" s="1">
        <v>43271</v>
      </c>
      <c r="B386" s="1">
        <v>43252</v>
      </c>
      <c r="C386">
        <v>2018</v>
      </c>
      <c r="D386" t="s">
        <v>86</v>
      </c>
      <c r="E386" t="s">
        <v>110</v>
      </c>
    </row>
    <row r="387" spans="1:5" x14ac:dyDescent="0.3">
      <c r="A387" s="1">
        <v>43272</v>
      </c>
      <c r="B387" s="1">
        <v>43252</v>
      </c>
      <c r="C387">
        <v>2018</v>
      </c>
      <c r="D387" t="s">
        <v>86</v>
      </c>
      <c r="E387" t="s">
        <v>110</v>
      </c>
    </row>
    <row r="388" spans="1:5" x14ac:dyDescent="0.3">
      <c r="A388" s="1">
        <v>43273</v>
      </c>
      <c r="B388" s="1">
        <v>43252</v>
      </c>
      <c r="C388">
        <v>2018</v>
      </c>
      <c r="D388" t="s">
        <v>86</v>
      </c>
      <c r="E388" t="s">
        <v>110</v>
      </c>
    </row>
    <row r="389" spans="1:5" x14ac:dyDescent="0.3">
      <c r="A389" s="1">
        <v>43274</v>
      </c>
      <c r="B389" s="1">
        <v>43252</v>
      </c>
      <c r="C389">
        <v>2018</v>
      </c>
      <c r="D389" t="s">
        <v>86</v>
      </c>
      <c r="E389" t="s">
        <v>110</v>
      </c>
    </row>
    <row r="390" spans="1:5" x14ac:dyDescent="0.3">
      <c r="A390" s="1">
        <v>43275</v>
      </c>
      <c r="B390" s="1">
        <v>43252</v>
      </c>
      <c r="C390">
        <v>2018</v>
      </c>
      <c r="D390" t="s">
        <v>86</v>
      </c>
      <c r="E390" t="s">
        <v>110</v>
      </c>
    </row>
    <row r="391" spans="1:5" x14ac:dyDescent="0.3">
      <c r="A391" s="1">
        <v>43276</v>
      </c>
      <c r="B391" s="1">
        <v>43252</v>
      </c>
      <c r="C391">
        <v>2018</v>
      </c>
      <c r="D391" t="s">
        <v>86</v>
      </c>
      <c r="E391" t="s">
        <v>110</v>
      </c>
    </row>
    <row r="392" spans="1:5" x14ac:dyDescent="0.3">
      <c r="A392" s="1">
        <v>43277</v>
      </c>
      <c r="B392" s="1">
        <v>43252</v>
      </c>
      <c r="C392">
        <v>2018</v>
      </c>
      <c r="D392" t="s">
        <v>86</v>
      </c>
      <c r="E392" t="s">
        <v>110</v>
      </c>
    </row>
    <row r="393" spans="1:5" x14ac:dyDescent="0.3">
      <c r="A393" s="1">
        <v>43278</v>
      </c>
      <c r="B393" s="1">
        <v>43252</v>
      </c>
      <c r="C393">
        <v>2018</v>
      </c>
      <c r="D393" t="s">
        <v>86</v>
      </c>
      <c r="E393" t="s">
        <v>110</v>
      </c>
    </row>
    <row r="394" spans="1:5" x14ac:dyDescent="0.3">
      <c r="A394" s="1">
        <v>43279</v>
      </c>
      <c r="B394" s="1">
        <v>43252</v>
      </c>
      <c r="C394">
        <v>2018</v>
      </c>
      <c r="D394" t="s">
        <v>86</v>
      </c>
      <c r="E394" t="s">
        <v>110</v>
      </c>
    </row>
    <row r="395" spans="1:5" x14ac:dyDescent="0.3">
      <c r="A395" s="1">
        <v>43280</v>
      </c>
      <c r="B395" s="1">
        <v>43252</v>
      </c>
      <c r="C395">
        <v>2018</v>
      </c>
      <c r="D395" t="s">
        <v>86</v>
      </c>
      <c r="E395" t="s">
        <v>110</v>
      </c>
    </row>
    <row r="396" spans="1:5" x14ac:dyDescent="0.3">
      <c r="A396" s="1">
        <v>43281</v>
      </c>
      <c r="B396" s="1">
        <v>43252</v>
      </c>
      <c r="C396">
        <v>2018</v>
      </c>
      <c r="D396" t="s">
        <v>86</v>
      </c>
      <c r="E396" t="s">
        <v>110</v>
      </c>
    </row>
    <row r="397" spans="1:5" x14ac:dyDescent="0.3">
      <c r="A397" s="1">
        <v>43282</v>
      </c>
      <c r="B397" s="1">
        <v>43282</v>
      </c>
      <c r="C397">
        <v>2018</v>
      </c>
      <c r="D397" t="s">
        <v>88</v>
      </c>
      <c r="E397" t="s">
        <v>111</v>
      </c>
    </row>
    <row r="398" spans="1:5" x14ac:dyDescent="0.3">
      <c r="A398" s="1">
        <v>43283</v>
      </c>
      <c r="B398" s="1">
        <v>43282</v>
      </c>
      <c r="C398">
        <v>2018</v>
      </c>
      <c r="D398" t="s">
        <v>88</v>
      </c>
      <c r="E398" t="s">
        <v>111</v>
      </c>
    </row>
    <row r="399" spans="1:5" x14ac:dyDescent="0.3">
      <c r="A399" s="1">
        <v>43284</v>
      </c>
      <c r="B399" s="1">
        <v>43282</v>
      </c>
      <c r="C399">
        <v>2018</v>
      </c>
      <c r="D399" t="s">
        <v>88</v>
      </c>
      <c r="E399" t="s">
        <v>111</v>
      </c>
    </row>
    <row r="400" spans="1:5" x14ac:dyDescent="0.3">
      <c r="A400" s="1">
        <v>43285</v>
      </c>
      <c r="B400" s="1">
        <v>43282</v>
      </c>
      <c r="C400">
        <v>2018</v>
      </c>
      <c r="D400" t="s">
        <v>88</v>
      </c>
      <c r="E400" t="s">
        <v>111</v>
      </c>
    </row>
    <row r="401" spans="1:5" x14ac:dyDescent="0.3">
      <c r="A401" s="1">
        <v>43286</v>
      </c>
      <c r="B401" s="1">
        <v>43282</v>
      </c>
      <c r="C401">
        <v>2018</v>
      </c>
      <c r="D401" t="s">
        <v>88</v>
      </c>
      <c r="E401" t="s">
        <v>111</v>
      </c>
    </row>
    <row r="402" spans="1:5" x14ac:dyDescent="0.3">
      <c r="A402" s="1">
        <v>43287</v>
      </c>
      <c r="B402" s="1">
        <v>43282</v>
      </c>
      <c r="C402">
        <v>2018</v>
      </c>
      <c r="D402" t="s">
        <v>88</v>
      </c>
      <c r="E402" t="s">
        <v>111</v>
      </c>
    </row>
    <row r="403" spans="1:5" x14ac:dyDescent="0.3">
      <c r="A403" s="1">
        <v>43288</v>
      </c>
      <c r="B403" s="1">
        <v>43282</v>
      </c>
      <c r="C403">
        <v>2018</v>
      </c>
      <c r="D403" t="s">
        <v>88</v>
      </c>
      <c r="E403" t="s">
        <v>111</v>
      </c>
    </row>
    <row r="404" spans="1:5" x14ac:dyDescent="0.3">
      <c r="A404" s="1">
        <v>43289</v>
      </c>
      <c r="B404" s="1">
        <v>43282</v>
      </c>
      <c r="C404">
        <v>2018</v>
      </c>
      <c r="D404" t="s">
        <v>88</v>
      </c>
      <c r="E404" t="s">
        <v>111</v>
      </c>
    </row>
    <row r="405" spans="1:5" x14ac:dyDescent="0.3">
      <c r="A405" s="1">
        <v>43290</v>
      </c>
      <c r="B405" s="1">
        <v>43282</v>
      </c>
      <c r="C405">
        <v>2018</v>
      </c>
      <c r="D405" t="s">
        <v>88</v>
      </c>
      <c r="E405" t="s">
        <v>111</v>
      </c>
    </row>
    <row r="406" spans="1:5" x14ac:dyDescent="0.3">
      <c r="A406" s="1">
        <v>43291</v>
      </c>
      <c r="B406" s="1">
        <v>43282</v>
      </c>
      <c r="C406">
        <v>2018</v>
      </c>
      <c r="D406" t="s">
        <v>88</v>
      </c>
      <c r="E406" t="s">
        <v>111</v>
      </c>
    </row>
    <row r="407" spans="1:5" x14ac:dyDescent="0.3">
      <c r="A407" s="1">
        <v>43292</v>
      </c>
      <c r="B407" s="1">
        <v>43282</v>
      </c>
      <c r="C407">
        <v>2018</v>
      </c>
      <c r="D407" t="s">
        <v>88</v>
      </c>
      <c r="E407" t="s">
        <v>111</v>
      </c>
    </row>
    <row r="408" spans="1:5" x14ac:dyDescent="0.3">
      <c r="A408" s="1">
        <v>43293</v>
      </c>
      <c r="B408" s="1">
        <v>43282</v>
      </c>
      <c r="C408">
        <v>2018</v>
      </c>
      <c r="D408" t="s">
        <v>88</v>
      </c>
      <c r="E408" t="s">
        <v>111</v>
      </c>
    </row>
    <row r="409" spans="1:5" x14ac:dyDescent="0.3">
      <c r="A409" s="1">
        <v>43294</v>
      </c>
      <c r="B409" s="1">
        <v>43282</v>
      </c>
      <c r="C409">
        <v>2018</v>
      </c>
      <c r="D409" t="s">
        <v>88</v>
      </c>
      <c r="E409" t="s">
        <v>111</v>
      </c>
    </row>
    <row r="410" spans="1:5" x14ac:dyDescent="0.3">
      <c r="A410" s="1">
        <v>43295</v>
      </c>
      <c r="B410" s="1">
        <v>43282</v>
      </c>
      <c r="C410">
        <v>2018</v>
      </c>
      <c r="D410" t="s">
        <v>88</v>
      </c>
      <c r="E410" t="s">
        <v>111</v>
      </c>
    </row>
    <row r="411" spans="1:5" x14ac:dyDescent="0.3">
      <c r="A411" s="1">
        <v>43296</v>
      </c>
      <c r="B411" s="1">
        <v>43282</v>
      </c>
      <c r="C411">
        <v>2018</v>
      </c>
      <c r="D411" t="s">
        <v>88</v>
      </c>
      <c r="E411" t="s">
        <v>111</v>
      </c>
    </row>
    <row r="412" spans="1:5" x14ac:dyDescent="0.3">
      <c r="A412" s="1">
        <v>43297</v>
      </c>
      <c r="B412" s="1">
        <v>43282</v>
      </c>
      <c r="C412">
        <v>2018</v>
      </c>
      <c r="D412" t="s">
        <v>88</v>
      </c>
      <c r="E412" t="s">
        <v>111</v>
      </c>
    </row>
    <row r="413" spans="1:5" x14ac:dyDescent="0.3">
      <c r="A413" s="1">
        <v>43298</v>
      </c>
      <c r="B413" s="1">
        <v>43282</v>
      </c>
      <c r="C413">
        <v>2018</v>
      </c>
      <c r="D413" t="s">
        <v>88</v>
      </c>
      <c r="E413" t="s">
        <v>111</v>
      </c>
    </row>
    <row r="414" spans="1:5" x14ac:dyDescent="0.3">
      <c r="A414" s="1">
        <v>43299</v>
      </c>
      <c r="B414" s="1">
        <v>43282</v>
      </c>
      <c r="C414">
        <v>2018</v>
      </c>
      <c r="D414" t="s">
        <v>88</v>
      </c>
      <c r="E414" t="s">
        <v>111</v>
      </c>
    </row>
    <row r="415" spans="1:5" x14ac:dyDescent="0.3">
      <c r="A415" s="1">
        <v>43300</v>
      </c>
      <c r="B415" s="1">
        <v>43282</v>
      </c>
      <c r="C415">
        <v>2018</v>
      </c>
      <c r="D415" t="s">
        <v>88</v>
      </c>
      <c r="E415" t="s">
        <v>111</v>
      </c>
    </row>
    <row r="416" spans="1:5" x14ac:dyDescent="0.3">
      <c r="A416" s="1">
        <v>43301</v>
      </c>
      <c r="B416" s="1">
        <v>43282</v>
      </c>
      <c r="C416">
        <v>2018</v>
      </c>
      <c r="D416" t="s">
        <v>88</v>
      </c>
      <c r="E416" t="s">
        <v>111</v>
      </c>
    </row>
    <row r="417" spans="1:5" x14ac:dyDescent="0.3">
      <c r="A417" s="1">
        <v>43302</v>
      </c>
      <c r="B417" s="1">
        <v>43282</v>
      </c>
      <c r="C417">
        <v>2018</v>
      </c>
      <c r="D417" t="s">
        <v>88</v>
      </c>
      <c r="E417" t="s">
        <v>111</v>
      </c>
    </row>
    <row r="418" spans="1:5" x14ac:dyDescent="0.3">
      <c r="A418" s="1">
        <v>43303</v>
      </c>
      <c r="B418" s="1">
        <v>43282</v>
      </c>
      <c r="C418">
        <v>2018</v>
      </c>
      <c r="D418" t="s">
        <v>88</v>
      </c>
      <c r="E418" t="s">
        <v>111</v>
      </c>
    </row>
    <row r="419" spans="1:5" x14ac:dyDescent="0.3">
      <c r="A419" s="1">
        <v>43304</v>
      </c>
      <c r="B419" s="1">
        <v>43282</v>
      </c>
      <c r="C419">
        <v>2018</v>
      </c>
      <c r="D419" t="s">
        <v>88</v>
      </c>
      <c r="E419" t="s">
        <v>111</v>
      </c>
    </row>
    <row r="420" spans="1:5" x14ac:dyDescent="0.3">
      <c r="A420" s="1">
        <v>43305</v>
      </c>
      <c r="B420" s="1">
        <v>43282</v>
      </c>
      <c r="C420">
        <v>2018</v>
      </c>
      <c r="D420" t="s">
        <v>88</v>
      </c>
      <c r="E420" t="s">
        <v>111</v>
      </c>
    </row>
    <row r="421" spans="1:5" x14ac:dyDescent="0.3">
      <c r="A421" s="1">
        <v>43306</v>
      </c>
      <c r="B421" s="1">
        <v>43282</v>
      </c>
      <c r="C421">
        <v>2018</v>
      </c>
      <c r="D421" t="s">
        <v>88</v>
      </c>
      <c r="E421" t="s">
        <v>111</v>
      </c>
    </row>
    <row r="422" spans="1:5" x14ac:dyDescent="0.3">
      <c r="A422" s="1">
        <v>43307</v>
      </c>
      <c r="B422" s="1">
        <v>43282</v>
      </c>
      <c r="C422">
        <v>2018</v>
      </c>
      <c r="D422" t="s">
        <v>88</v>
      </c>
      <c r="E422" t="s">
        <v>111</v>
      </c>
    </row>
    <row r="423" spans="1:5" x14ac:dyDescent="0.3">
      <c r="A423" s="1">
        <v>43308</v>
      </c>
      <c r="B423" s="1">
        <v>43282</v>
      </c>
      <c r="C423">
        <v>2018</v>
      </c>
      <c r="D423" t="s">
        <v>88</v>
      </c>
      <c r="E423" t="s">
        <v>111</v>
      </c>
    </row>
    <row r="424" spans="1:5" x14ac:dyDescent="0.3">
      <c r="A424" s="1">
        <v>43309</v>
      </c>
      <c r="B424" s="1">
        <v>43282</v>
      </c>
      <c r="C424">
        <v>2018</v>
      </c>
      <c r="D424" t="s">
        <v>88</v>
      </c>
      <c r="E424" t="s">
        <v>111</v>
      </c>
    </row>
    <row r="425" spans="1:5" x14ac:dyDescent="0.3">
      <c r="A425" s="1">
        <v>43310</v>
      </c>
      <c r="B425" s="1">
        <v>43282</v>
      </c>
      <c r="C425">
        <v>2018</v>
      </c>
      <c r="D425" t="s">
        <v>88</v>
      </c>
      <c r="E425" t="s">
        <v>111</v>
      </c>
    </row>
    <row r="426" spans="1:5" x14ac:dyDescent="0.3">
      <c r="A426" s="1">
        <v>43311</v>
      </c>
      <c r="B426" s="1">
        <v>43282</v>
      </c>
      <c r="C426">
        <v>2018</v>
      </c>
      <c r="D426" t="s">
        <v>88</v>
      </c>
      <c r="E426" t="s">
        <v>111</v>
      </c>
    </row>
    <row r="427" spans="1:5" x14ac:dyDescent="0.3">
      <c r="A427" s="1">
        <v>43312</v>
      </c>
      <c r="B427" s="1">
        <v>43282</v>
      </c>
      <c r="C427">
        <v>2018</v>
      </c>
      <c r="D427" t="s">
        <v>88</v>
      </c>
      <c r="E427" t="s">
        <v>111</v>
      </c>
    </row>
    <row r="428" spans="1:5" x14ac:dyDescent="0.3">
      <c r="A428" s="1">
        <v>43313</v>
      </c>
      <c r="B428" s="1">
        <v>43313</v>
      </c>
      <c r="C428">
        <v>2018</v>
      </c>
      <c r="D428" t="s">
        <v>90</v>
      </c>
      <c r="E428" t="s">
        <v>112</v>
      </c>
    </row>
    <row r="429" spans="1:5" x14ac:dyDescent="0.3">
      <c r="A429" s="1">
        <v>43314</v>
      </c>
      <c r="B429" s="1">
        <v>43313</v>
      </c>
      <c r="C429">
        <v>2018</v>
      </c>
      <c r="D429" t="s">
        <v>90</v>
      </c>
      <c r="E429" t="s">
        <v>112</v>
      </c>
    </row>
    <row r="430" spans="1:5" x14ac:dyDescent="0.3">
      <c r="A430" s="1">
        <v>43315</v>
      </c>
      <c r="B430" s="1">
        <v>43313</v>
      </c>
      <c r="C430">
        <v>2018</v>
      </c>
      <c r="D430" t="s">
        <v>90</v>
      </c>
      <c r="E430" t="s">
        <v>112</v>
      </c>
    </row>
    <row r="431" spans="1:5" x14ac:dyDescent="0.3">
      <c r="A431" s="1">
        <v>43316</v>
      </c>
      <c r="B431" s="1">
        <v>43313</v>
      </c>
      <c r="C431">
        <v>2018</v>
      </c>
      <c r="D431" t="s">
        <v>90</v>
      </c>
      <c r="E431" t="s">
        <v>112</v>
      </c>
    </row>
    <row r="432" spans="1:5" x14ac:dyDescent="0.3">
      <c r="A432" s="1">
        <v>43317</v>
      </c>
      <c r="B432" s="1">
        <v>43313</v>
      </c>
      <c r="C432">
        <v>2018</v>
      </c>
      <c r="D432" t="s">
        <v>90</v>
      </c>
      <c r="E432" t="s">
        <v>112</v>
      </c>
    </row>
    <row r="433" spans="1:5" x14ac:dyDescent="0.3">
      <c r="A433" s="1">
        <v>43318</v>
      </c>
      <c r="B433" s="1">
        <v>43313</v>
      </c>
      <c r="C433">
        <v>2018</v>
      </c>
      <c r="D433" t="s">
        <v>90</v>
      </c>
      <c r="E433" t="s">
        <v>112</v>
      </c>
    </row>
    <row r="434" spans="1:5" x14ac:dyDescent="0.3">
      <c r="A434" s="1">
        <v>43319</v>
      </c>
      <c r="B434" s="1">
        <v>43313</v>
      </c>
      <c r="C434">
        <v>2018</v>
      </c>
      <c r="D434" t="s">
        <v>90</v>
      </c>
      <c r="E434" t="s">
        <v>112</v>
      </c>
    </row>
    <row r="435" spans="1:5" x14ac:dyDescent="0.3">
      <c r="A435" s="1">
        <v>43320</v>
      </c>
      <c r="B435" s="1">
        <v>43313</v>
      </c>
      <c r="C435">
        <v>2018</v>
      </c>
      <c r="D435" t="s">
        <v>90</v>
      </c>
      <c r="E435" t="s">
        <v>112</v>
      </c>
    </row>
    <row r="436" spans="1:5" x14ac:dyDescent="0.3">
      <c r="A436" s="1">
        <v>43321</v>
      </c>
      <c r="B436" s="1">
        <v>43313</v>
      </c>
      <c r="C436">
        <v>2018</v>
      </c>
      <c r="D436" t="s">
        <v>90</v>
      </c>
      <c r="E436" t="s">
        <v>112</v>
      </c>
    </row>
    <row r="437" spans="1:5" x14ac:dyDescent="0.3">
      <c r="A437" s="1">
        <v>43322</v>
      </c>
      <c r="B437" s="1">
        <v>43313</v>
      </c>
      <c r="C437">
        <v>2018</v>
      </c>
      <c r="D437" t="s">
        <v>90</v>
      </c>
      <c r="E437" t="s">
        <v>112</v>
      </c>
    </row>
    <row r="438" spans="1:5" x14ac:dyDescent="0.3">
      <c r="A438" s="1">
        <v>43323</v>
      </c>
      <c r="B438" s="1">
        <v>43313</v>
      </c>
      <c r="C438">
        <v>2018</v>
      </c>
      <c r="D438" t="s">
        <v>90</v>
      </c>
      <c r="E438" t="s">
        <v>112</v>
      </c>
    </row>
    <row r="439" spans="1:5" x14ac:dyDescent="0.3">
      <c r="A439" s="1">
        <v>43324</v>
      </c>
      <c r="B439" s="1">
        <v>43313</v>
      </c>
      <c r="C439">
        <v>2018</v>
      </c>
      <c r="D439" t="s">
        <v>90</v>
      </c>
      <c r="E439" t="s">
        <v>112</v>
      </c>
    </row>
    <row r="440" spans="1:5" x14ac:dyDescent="0.3">
      <c r="A440" s="1">
        <v>43325</v>
      </c>
      <c r="B440" s="1">
        <v>43313</v>
      </c>
      <c r="C440">
        <v>2018</v>
      </c>
      <c r="D440" t="s">
        <v>90</v>
      </c>
      <c r="E440" t="s">
        <v>112</v>
      </c>
    </row>
    <row r="441" spans="1:5" x14ac:dyDescent="0.3">
      <c r="A441" s="1">
        <v>43326</v>
      </c>
      <c r="B441" s="1">
        <v>43313</v>
      </c>
      <c r="C441">
        <v>2018</v>
      </c>
      <c r="D441" t="s">
        <v>90</v>
      </c>
      <c r="E441" t="s">
        <v>112</v>
      </c>
    </row>
    <row r="442" spans="1:5" x14ac:dyDescent="0.3">
      <c r="A442" s="1">
        <v>43327</v>
      </c>
      <c r="B442" s="1">
        <v>43313</v>
      </c>
      <c r="C442">
        <v>2018</v>
      </c>
      <c r="D442" t="s">
        <v>90</v>
      </c>
      <c r="E442" t="s">
        <v>112</v>
      </c>
    </row>
    <row r="443" spans="1:5" x14ac:dyDescent="0.3">
      <c r="A443" s="1">
        <v>43328</v>
      </c>
      <c r="B443" s="1">
        <v>43313</v>
      </c>
      <c r="C443">
        <v>2018</v>
      </c>
      <c r="D443" t="s">
        <v>90</v>
      </c>
      <c r="E443" t="s">
        <v>112</v>
      </c>
    </row>
    <row r="444" spans="1:5" x14ac:dyDescent="0.3">
      <c r="A444" s="1">
        <v>43329</v>
      </c>
      <c r="B444" s="1">
        <v>43313</v>
      </c>
      <c r="C444">
        <v>2018</v>
      </c>
      <c r="D444" t="s">
        <v>90</v>
      </c>
      <c r="E444" t="s">
        <v>112</v>
      </c>
    </row>
    <row r="445" spans="1:5" x14ac:dyDescent="0.3">
      <c r="A445" s="1">
        <v>43330</v>
      </c>
      <c r="B445" s="1">
        <v>43313</v>
      </c>
      <c r="C445">
        <v>2018</v>
      </c>
      <c r="D445" t="s">
        <v>90</v>
      </c>
      <c r="E445" t="s">
        <v>112</v>
      </c>
    </row>
    <row r="446" spans="1:5" x14ac:dyDescent="0.3">
      <c r="A446" s="1">
        <v>43331</v>
      </c>
      <c r="B446" s="1">
        <v>43313</v>
      </c>
      <c r="C446">
        <v>2018</v>
      </c>
      <c r="D446" t="s">
        <v>90</v>
      </c>
      <c r="E446" t="s">
        <v>112</v>
      </c>
    </row>
    <row r="447" spans="1:5" x14ac:dyDescent="0.3">
      <c r="A447" s="1">
        <v>43332</v>
      </c>
      <c r="B447" s="1">
        <v>43313</v>
      </c>
      <c r="C447">
        <v>2018</v>
      </c>
      <c r="D447" t="s">
        <v>90</v>
      </c>
      <c r="E447" t="s">
        <v>112</v>
      </c>
    </row>
    <row r="448" spans="1:5" x14ac:dyDescent="0.3">
      <c r="A448" s="1">
        <v>43333</v>
      </c>
      <c r="B448" s="1">
        <v>43313</v>
      </c>
      <c r="C448">
        <v>2018</v>
      </c>
      <c r="D448" t="s">
        <v>90</v>
      </c>
      <c r="E448" t="s">
        <v>112</v>
      </c>
    </row>
    <row r="449" spans="1:5" x14ac:dyDescent="0.3">
      <c r="A449" s="1">
        <v>43334</v>
      </c>
      <c r="B449" s="1">
        <v>43313</v>
      </c>
      <c r="C449">
        <v>2018</v>
      </c>
      <c r="D449" t="s">
        <v>90</v>
      </c>
      <c r="E449" t="s">
        <v>112</v>
      </c>
    </row>
    <row r="450" spans="1:5" x14ac:dyDescent="0.3">
      <c r="A450" s="1">
        <v>43335</v>
      </c>
      <c r="B450" s="1">
        <v>43313</v>
      </c>
      <c r="C450">
        <v>2018</v>
      </c>
      <c r="D450" t="s">
        <v>90</v>
      </c>
      <c r="E450" t="s">
        <v>112</v>
      </c>
    </row>
    <row r="451" spans="1:5" x14ac:dyDescent="0.3">
      <c r="A451" s="1">
        <v>43336</v>
      </c>
      <c r="B451" s="1">
        <v>43313</v>
      </c>
      <c r="C451">
        <v>2018</v>
      </c>
      <c r="D451" t="s">
        <v>90</v>
      </c>
      <c r="E451" t="s">
        <v>112</v>
      </c>
    </row>
    <row r="452" spans="1:5" x14ac:dyDescent="0.3">
      <c r="A452" s="1">
        <v>43337</v>
      </c>
      <c r="B452" s="1">
        <v>43313</v>
      </c>
      <c r="C452">
        <v>2018</v>
      </c>
      <c r="D452" t="s">
        <v>90</v>
      </c>
      <c r="E452" t="s">
        <v>112</v>
      </c>
    </row>
    <row r="453" spans="1:5" x14ac:dyDescent="0.3">
      <c r="A453" s="1">
        <v>43338</v>
      </c>
      <c r="B453" s="1">
        <v>43313</v>
      </c>
      <c r="C453">
        <v>2018</v>
      </c>
      <c r="D453" t="s">
        <v>90</v>
      </c>
      <c r="E453" t="s">
        <v>112</v>
      </c>
    </row>
    <row r="454" spans="1:5" x14ac:dyDescent="0.3">
      <c r="A454" s="1">
        <v>43339</v>
      </c>
      <c r="B454" s="1">
        <v>43313</v>
      </c>
      <c r="C454">
        <v>2018</v>
      </c>
      <c r="D454" t="s">
        <v>90</v>
      </c>
      <c r="E454" t="s">
        <v>112</v>
      </c>
    </row>
    <row r="455" spans="1:5" x14ac:dyDescent="0.3">
      <c r="A455" s="1">
        <v>43340</v>
      </c>
      <c r="B455" s="1">
        <v>43313</v>
      </c>
      <c r="C455">
        <v>2018</v>
      </c>
      <c r="D455" t="s">
        <v>90</v>
      </c>
      <c r="E455" t="s">
        <v>112</v>
      </c>
    </row>
    <row r="456" spans="1:5" x14ac:dyDescent="0.3">
      <c r="A456" s="1">
        <v>43341</v>
      </c>
      <c r="B456" s="1">
        <v>43313</v>
      </c>
      <c r="C456">
        <v>2018</v>
      </c>
      <c r="D456" t="s">
        <v>90</v>
      </c>
      <c r="E456" t="s">
        <v>112</v>
      </c>
    </row>
    <row r="457" spans="1:5" x14ac:dyDescent="0.3">
      <c r="A457" s="1">
        <v>43342</v>
      </c>
      <c r="B457" s="1">
        <v>43313</v>
      </c>
      <c r="C457">
        <v>2018</v>
      </c>
      <c r="D457" t="s">
        <v>90</v>
      </c>
      <c r="E457" t="s">
        <v>112</v>
      </c>
    </row>
    <row r="458" spans="1:5" x14ac:dyDescent="0.3">
      <c r="A458" s="1">
        <v>43343</v>
      </c>
      <c r="B458" s="1">
        <v>43313</v>
      </c>
      <c r="C458">
        <v>2018</v>
      </c>
      <c r="D458" t="s">
        <v>90</v>
      </c>
      <c r="E458" t="s">
        <v>112</v>
      </c>
    </row>
    <row r="459" spans="1:5" x14ac:dyDescent="0.3">
      <c r="A459" s="1">
        <v>43344</v>
      </c>
      <c r="B459" s="1">
        <v>43344</v>
      </c>
      <c r="C459">
        <v>2018</v>
      </c>
      <c r="D459" t="s">
        <v>92</v>
      </c>
      <c r="E459" t="s">
        <v>113</v>
      </c>
    </row>
    <row r="460" spans="1:5" x14ac:dyDescent="0.3">
      <c r="A460" s="1">
        <v>43345</v>
      </c>
      <c r="B460" s="1">
        <v>43344</v>
      </c>
      <c r="C460">
        <v>2018</v>
      </c>
      <c r="D460" t="s">
        <v>92</v>
      </c>
      <c r="E460" t="s">
        <v>113</v>
      </c>
    </row>
    <row r="461" spans="1:5" x14ac:dyDescent="0.3">
      <c r="A461" s="1">
        <v>43346</v>
      </c>
      <c r="B461" s="1">
        <v>43344</v>
      </c>
      <c r="C461">
        <v>2018</v>
      </c>
      <c r="D461" t="s">
        <v>92</v>
      </c>
      <c r="E461" t="s">
        <v>113</v>
      </c>
    </row>
    <row r="462" spans="1:5" x14ac:dyDescent="0.3">
      <c r="A462" s="1">
        <v>43347</v>
      </c>
      <c r="B462" s="1">
        <v>43344</v>
      </c>
      <c r="C462">
        <v>2018</v>
      </c>
      <c r="D462" t="s">
        <v>92</v>
      </c>
      <c r="E462" t="s">
        <v>113</v>
      </c>
    </row>
    <row r="463" spans="1:5" x14ac:dyDescent="0.3">
      <c r="A463" s="1">
        <v>43348</v>
      </c>
      <c r="B463" s="1">
        <v>43344</v>
      </c>
      <c r="C463">
        <v>2018</v>
      </c>
      <c r="D463" t="s">
        <v>92</v>
      </c>
      <c r="E463" t="s">
        <v>113</v>
      </c>
    </row>
    <row r="464" spans="1:5" x14ac:dyDescent="0.3">
      <c r="A464" s="1">
        <v>43349</v>
      </c>
      <c r="B464" s="1">
        <v>43344</v>
      </c>
      <c r="C464">
        <v>2018</v>
      </c>
      <c r="D464" t="s">
        <v>92</v>
      </c>
      <c r="E464" t="s">
        <v>113</v>
      </c>
    </row>
    <row r="465" spans="1:5" x14ac:dyDescent="0.3">
      <c r="A465" s="1">
        <v>43350</v>
      </c>
      <c r="B465" s="1">
        <v>43344</v>
      </c>
      <c r="C465">
        <v>2018</v>
      </c>
      <c r="D465" t="s">
        <v>92</v>
      </c>
      <c r="E465" t="s">
        <v>113</v>
      </c>
    </row>
    <row r="466" spans="1:5" x14ac:dyDescent="0.3">
      <c r="A466" s="1">
        <v>43351</v>
      </c>
      <c r="B466" s="1">
        <v>43344</v>
      </c>
      <c r="C466">
        <v>2018</v>
      </c>
      <c r="D466" t="s">
        <v>92</v>
      </c>
      <c r="E466" t="s">
        <v>113</v>
      </c>
    </row>
    <row r="467" spans="1:5" x14ac:dyDescent="0.3">
      <c r="A467" s="1">
        <v>43352</v>
      </c>
      <c r="B467" s="1">
        <v>43344</v>
      </c>
      <c r="C467">
        <v>2018</v>
      </c>
      <c r="D467" t="s">
        <v>92</v>
      </c>
      <c r="E467" t="s">
        <v>113</v>
      </c>
    </row>
    <row r="468" spans="1:5" x14ac:dyDescent="0.3">
      <c r="A468" s="1">
        <v>43353</v>
      </c>
      <c r="B468" s="1">
        <v>43344</v>
      </c>
      <c r="C468">
        <v>2018</v>
      </c>
      <c r="D468" t="s">
        <v>92</v>
      </c>
      <c r="E468" t="s">
        <v>113</v>
      </c>
    </row>
    <row r="469" spans="1:5" x14ac:dyDescent="0.3">
      <c r="A469" s="1">
        <v>43354</v>
      </c>
      <c r="B469" s="1">
        <v>43344</v>
      </c>
      <c r="C469">
        <v>2018</v>
      </c>
      <c r="D469" t="s">
        <v>92</v>
      </c>
      <c r="E469" t="s">
        <v>113</v>
      </c>
    </row>
    <row r="470" spans="1:5" x14ac:dyDescent="0.3">
      <c r="A470" s="1">
        <v>43355</v>
      </c>
      <c r="B470" s="1">
        <v>43344</v>
      </c>
      <c r="C470">
        <v>2018</v>
      </c>
      <c r="D470" t="s">
        <v>92</v>
      </c>
      <c r="E470" t="s">
        <v>113</v>
      </c>
    </row>
    <row r="471" spans="1:5" x14ac:dyDescent="0.3">
      <c r="A471" s="1">
        <v>43356</v>
      </c>
      <c r="B471" s="1">
        <v>43344</v>
      </c>
      <c r="C471">
        <v>2018</v>
      </c>
      <c r="D471" t="s">
        <v>92</v>
      </c>
      <c r="E471" t="s">
        <v>113</v>
      </c>
    </row>
    <row r="472" spans="1:5" x14ac:dyDescent="0.3">
      <c r="A472" s="1">
        <v>43357</v>
      </c>
      <c r="B472" s="1">
        <v>43344</v>
      </c>
      <c r="C472">
        <v>2018</v>
      </c>
      <c r="D472" t="s">
        <v>92</v>
      </c>
      <c r="E472" t="s">
        <v>113</v>
      </c>
    </row>
    <row r="473" spans="1:5" x14ac:dyDescent="0.3">
      <c r="A473" s="1">
        <v>43358</v>
      </c>
      <c r="B473" s="1">
        <v>43344</v>
      </c>
      <c r="C473">
        <v>2018</v>
      </c>
      <c r="D473" t="s">
        <v>92</v>
      </c>
      <c r="E473" t="s">
        <v>113</v>
      </c>
    </row>
    <row r="474" spans="1:5" x14ac:dyDescent="0.3">
      <c r="A474" s="1">
        <v>43359</v>
      </c>
      <c r="B474" s="1">
        <v>43344</v>
      </c>
      <c r="C474">
        <v>2018</v>
      </c>
      <c r="D474" t="s">
        <v>92</v>
      </c>
      <c r="E474" t="s">
        <v>113</v>
      </c>
    </row>
    <row r="475" spans="1:5" x14ac:dyDescent="0.3">
      <c r="A475" s="1">
        <v>43360</v>
      </c>
      <c r="B475" s="1">
        <v>43344</v>
      </c>
      <c r="C475">
        <v>2018</v>
      </c>
      <c r="D475" t="s">
        <v>92</v>
      </c>
      <c r="E475" t="s">
        <v>113</v>
      </c>
    </row>
    <row r="476" spans="1:5" x14ac:dyDescent="0.3">
      <c r="A476" s="1">
        <v>43361</v>
      </c>
      <c r="B476" s="1">
        <v>43344</v>
      </c>
      <c r="C476">
        <v>2018</v>
      </c>
      <c r="D476" t="s">
        <v>92</v>
      </c>
      <c r="E476" t="s">
        <v>113</v>
      </c>
    </row>
    <row r="477" spans="1:5" x14ac:dyDescent="0.3">
      <c r="A477" s="1">
        <v>43362</v>
      </c>
      <c r="B477" s="1">
        <v>43344</v>
      </c>
      <c r="C477">
        <v>2018</v>
      </c>
      <c r="D477" t="s">
        <v>92</v>
      </c>
      <c r="E477" t="s">
        <v>113</v>
      </c>
    </row>
    <row r="478" spans="1:5" x14ac:dyDescent="0.3">
      <c r="A478" s="1">
        <v>43363</v>
      </c>
      <c r="B478" s="1">
        <v>43344</v>
      </c>
      <c r="C478">
        <v>2018</v>
      </c>
      <c r="D478" t="s">
        <v>92</v>
      </c>
      <c r="E478" t="s">
        <v>113</v>
      </c>
    </row>
    <row r="479" spans="1:5" x14ac:dyDescent="0.3">
      <c r="A479" s="1">
        <v>43364</v>
      </c>
      <c r="B479" s="1">
        <v>43344</v>
      </c>
      <c r="C479">
        <v>2018</v>
      </c>
      <c r="D479" t="s">
        <v>92</v>
      </c>
      <c r="E479" t="s">
        <v>113</v>
      </c>
    </row>
    <row r="480" spans="1:5" x14ac:dyDescent="0.3">
      <c r="A480" s="1">
        <v>43365</v>
      </c>
      <c r="B480" s="1">
        <v>43344</v>
      </c>
      <c r="C480">
        <v>2018</v>
      </c>
      <c r="D480" t="s">
        <v>92</v>
      </c>
      <c r="E480" t="s">
        <v>113</v>
      </c>
    </row>
    <row r="481" spans="1:5" x14ac:dyDescent="0.3">
      <c r="A481" s="1">
        <v>43366</v>
      </c>
      <c r="B481" s="1">
        <v>43344</v>
      </c>
      <c r="C481">
        <v>2018</v>
      </c>
      <c r="D481" t="s">
        <v>92</v>
      </c>
      <c r="E481" t="s">
        <v>113</v>
      </c>
    </row>
    <row r="482" spans="1:5" x14ac:dyDescent="0.3">
      <c r="A482" s="1">
        <v>43367</v>
      </c>
      <c r="B482" s="1">
        <v>43344</v>
      </c>
      <c r="C482">
        <v>2018</v>
      </c>
      <c r="D482" t="s">
        <v>92</v>
      </c>
      <c r="E482" t="s">
        <v>113</v>
      </c>
    </row>
    <row r="483" spans="1:5" x14ac:dyDescent="0.3">
      <c r="A483" s="1">
        <v>43368</v>
      </c>
      <c r="B483" s="1">
        <v>43344</v>
      </c>
      <c r="C483">
        <v>2018</v>
      </c>
      <c r="D483" t="s">
        <v>92</v>
      </c>
      <c r="E483" t="s">
        <v>113</v>
      </c>
    </row>
    <row r="484" spans="1:5" x14ac:dyDescent="0.3">
      <c r="A484" s="1">
        <v>43369</v>
      </c>
      <c r="B484" s="1">
        <v>43344</v>
      </c>
      <c r="C484">
        <v>2018</v>
      </c>
      <c r="D484" t="s">
        <v>92</v>
      </c>
      <c r="E484" t="s">
        <v>113</v>
      </c>
    </row>
    <row r="485" spans="1:5" x14ac:dyDescent="0.3">
      <c r="A485" s="1">
        <v>43370</v>
      </c>
      <c r="B485" s="1">
        <v>43344</v>
      </c>
      <c r="C485">
        <v>2018</v>
      </c>
      <c r="D485" t="s">
        <v>92</v>
      </c>
      <c r="E485" t="s">
        <v>113</v>
      </c>
    </row>
    <row r="486" spans="1:5" x14ac:dyDescent="0.3">
      <c r="A486" s="1">
        <v>43371</v>
      </c>
      <c r="B486" s="1">
        <v>43344</v>
      </c>
      <c r="C486">
        <v>2018</v>
      </c>
      <c r="D486" t="s">
        <v>92</v>
      </c>
      <c r="E486" t="s">
        <v>113</v>
      </c>
    </row>
    <row r="487" spans="1:5" x14ac:dyDescent="0.3">
      <c r="A487" s="1">
        <v>43372</v>
      </c>
      <c r="B487" s="1">
        <v>43344</v>
      </c>
      <c r="C487">
        <v>2018</v>
      </c>
      <c r="D487" t="s">
        <v>92</v>
      </c>
      <c r="E487" t="s">
        <v>113</v>
      </c>
    </row>
    <row r="488" spans="1:5" x14ac:dyDescent="0.3">
      <c r="A488" s="1">
        <v>43373</v>
      </c>
      <c r="B488" s="1">
        <v>43344</v>
      </c>
      <c r="C488">
        <v>2018</v>
      </c>
      <c r="D488" t="s">
        <v>92</v>
      </c>
      <c r="E488" t="s">
        <v>113</v>
      </c>
    </row>
    <row r="489" spans="1:5" x14ac:dyDescent="0.3">
      <c r="A489" s="1">
        <v>43374</v>
      </c>
      <c r="B489" s="1">
        <v>43374</v>
      </c>
      <c r="C489">
        <v>2018</v>
      </c>
      <c r="D489" t="s">
        <v>94</v>
      </c>
      <c r="E489" t="s">
        <v>114</v>
      </c>
    </row>
    <row r="490" spans="1:5" x14ac:dyDescent="0.3">
      <c r="A490" s="1">
        <v>43375</v>
      </c>
      <c r="B490" s="1">
        <v>43374</v>
      </c>
      <c r="C490">
        <v>2018</v>
      </c>
      <c r="D490" t="s">
        <v>94</v>
      </c>
      <c r="E490" t="s">
        <v>114</v>
      </c>
    </row>
    <row r="491" spans="1:5" x14ac:dyDescent="0.3">
      <c r="A491" s="1">
        <v>43376</v>
      </c>
      <c r="B491" s="1">
        <v>43374</v>
      </c>
      <c r="C491">
        <v>2018</v>
      </c>
      <c r="D491" t="s">
        <v>94</v>
      </c>
      <c r="E491" t="s">
        <v>114</v>
      </c>
    </row>
    <row r="492" spans="1:5" x14ac:dyDescent="0.3">
      <c r="A492" s="1">
        <v>43377</v>
      </c>
      <c r="B492" s="1">
        <v>43374</v>
      </c>
      <c r="C492">
        <v>2018</v>
      </c>
      <c r="D492" t="s">
        <v>94</v>
      </c>
      <c r="E492" t="s">
        <v>114</v>
      </c>
    </row>
    <row r="493" spans="1:5" x14ac:dyDescent="0.3">
      <c r="A493" s="1">
        <v>43378</v>
      </c>
      <c r="B493" s="1">
        <v>43374</v>
      </c>
      <c r="C493">
        <v>2018</v>
      </c>
      <c r="D493" t="s">
        <v>94</v>
      </c>
      <c r="E493" t="s">
        <v>114</v>
      </c>
    </row>
    <row r="494" spans="1:5" x14ac:dyDescent="0.3">
      <c r="A494" s="1">
        <v>43379</v>
      </c>
      <c r="B494" s="1">
        <v>43374</v>
      </c>
      <c r="C494">
        <v>2018</v>
      </c>
      <c r="D494" t="s">
        <v>94</v>
      </c>
      <c r="E494" t="s">
        <v>114</v>
      </c>
    </row>
    <row r="495" spans="1:5" x14ac:dyDescent="0.3">
      <c r="A495" s="1">
        <v>43380</v>
      </c>
      <c r="B495" s="1">
        <v>43374</v>
      </c>
      <c r="C495">
        <v>2018</v>
      </c>
      <c r="D495" t="s">
        <v>94</v>
      </c>
      <c r="E495" t="s">
        <v>114</v>
      </c>
    </row>
    <row r="496" spans="1:5" x14ac:dyDescent="0.3">
      <c r="A496" s="1">
        <v>43381</v>
      </c>
      <c r="B496" s="1">
        <v>43374</v>
      </c>
      <c r="C496">
        <v>2018</v>
      </c>
      <c r="D496" t="s">
        <v>94</v>
      </c>
      <c r="E496" t="s">
        <v>114</v>
      </c>
    </row>
    <row r="497" spans="1:5" x14ac:dyDescent="0.3">
      <c r="A497" s="1">
        <v>43382</v>
      </c>
      <c r="B497" s="1">
        <v>43374</v>
      </c>
      <c r="C497">
        <v>2018</v>
      </c>
      <c r="D497" t="s">
        <v>94</v>
      </c>
      <c r="E497" t="s">
        <v>114</v>
      </c>
    </row>
    <row r="498" spans="1:5" x14ac:dyDescent="0.3">
      <c r="A498" s="1">
        <v>43383</v>
      </c>
      <c r="B498" s="1">
        <v>43374</v>
      </c>
      <c r="C498">
        <v>2018</v>
      </c>
      <c r="D498" t="s">
        <v>94</v>
      </c>
      <c r="E498" t="s">
        <v>114</v>
      </c>
    </row>
    <row r="499" spans="1:5" x14ac:dyDescent="0.3">
      <c r="A499" s="1">
        <v>43384</v>
      </c>
      <c r="B499" s="1">
        <v>43374</v>
      </c>
      <c r="C499">
        <v>2018</v>
      </c>
      <c r="D499" t="s">
        <v>94</v>
      </c>
      <c r="E499" t="s">
        <v>114</v>
      </c>
    </row>
    <row r="500" spans="1:5" x14ac:dyDescent="0.3">
      <c r="A500" s="1">
        <v>43385</v>
      </c>
      <c r="B500" s="1">
        <v>43374</v>
      </c>
      <c r="C500">
        <v>2018</v>
      </c>
      <c r="D500" t="s">
        <v>94</v>
      </c>
      <c r="E500" t="s">
        <v>114</v>
      </c>
    </row>
    <row r="501" spans="1:5" x14ac:dyDescent="0.3">
      <c r="A501" s="1">
        <v>43386</v>
      </c>
      <c r="B501" s="1">
        <v>43374</v>
      </c>
      <c r="C501">
        <v>2018</v>
      </c>
      <c r="D501" t="s">
        <v>94</v>
      </c>
      <c r="E501" t="s">
        <v>114</v>
      </c>
    </row>
    <row r="502" spans="1:5" x14ac:dyDescent="0.3">
      <c r="A502" s="1">
        <v>43387</v>
      </c>
      <c r="B502" s="1">
        <v>43374</v>
      </c>
      <c r="C502">
        <v>2018</v>
      </c>
      <c r="D502" t="s">
        <v>94</v>
      </c>
      <c r="E502" t="s">
        <v>114</v>
      </c>
    </row>
    <row r="503" spans="1:5" x14ac:dyDescent="0.3">
      <c r="A503" s="1">
        <v>43388</v>
      </c>
      <c r="B503" s="1">
        <v>43374</v>
      </c>
      <c r="C503">
        <v>2018</v>
      </c>
      <c r="D503" t="s">
        <v>94</v>
      </c>
      <c r="E503" t="s">
        <v>114</v>
      </c>
    </row>
    <row r="504" spans="1:5" x14ac:dyDescent="0.3">
      <c r="A504" s="1">
        <v>43389</v>
      </c>
      <c r="B504" s="1">
        <v>43374</v>
      </c>
      <c r="C504">
        <v>2018</v>
      </c>
      <c r="D504" t="s">
        <v>94</v>
      </c>
      <c r="E504" t="s">
        <v>114</v>
      </c>
    </row>
    <row r="505" spans="1:5" x14ac:dyDescent="0.3">
      <c r="A505" s="1">
        <v>43390</v>
      </c>
      <c r="B505" s="1">
        <v>43374</v>
      </c>
      <c r="C505">
        <v>2018</v>
      </c>
      <c r="D505" t="s">
        <v>94</v>
      </c>
      <c r="E505" t="s">
        <v>114</v>
      </c>
    </row>
    <row r="506" spans="1:5" x14ac:dyDescent="0.3">
      <c r="A506" s="1">
        <v>43391</v>
      </c>
      <c r="B506" s="1">
        <v>43374</v>
      </c>
      <c r="C506">
        <v>2018</v>
      </c>
      <c r="D506" t="s">
        <v>94</v>
      </c>
      <c r="E506" t="s">
        <v>114</v>
      </c>
    </row>
    <row r="507" spans="1:5" x14ac:dyDescent="0.3">
      <c r="A507" s="1">
        <v>43392</v>
      </c>
      <c r="B507" s="1">
        <v>43374</v>
      </c>
      <c r="C507">
        <v>2018</v>
      </c>
      <c r="D507" t="s">
        <v>94</v>
      </c>
      <c r="E507" t="s">
        <v>114</v>
      </c>
    </row>
    <row r="508" spans="1:5" x14ac:dyDescent="0.3">
      <c r="A508" s="1">
        <v>43393</v>
      </c>
      <c r="B508" s="1">
        <v>43374</v>
      </c>
      <c r="C508">
        <v>2018</v>
      </c>
      <c r="D508" t="s">
        <v>94</v>
      </c>
      <c r="E508" t="s">
        <v>114</v>
      </c>
    </row>
    <row r="509" spans="1:5" x14ac:dyDescent="0.3">
      <c r="A509" s="1">
        <v>43394</v>
      </c>
      <c r="B509" s="1">
        <v>43374</v>
      </c>
      <c r="C509">
        <v>2018</v>
      </c>
      <c r="D509" t="s">
        <v>94</v>
      </c>
      <c r="E509" t="s">
        <v>114</v>
      </c>
    </row>
    <row r="510" spans="1:5" x14ac:dyDescent="0.3">
      <c r="A510" s="1">
        <v>43395</v>
      </c>
      <c r="B510" s="1">
        <v>43374</v>
      </c>
      <c r="C510">
        <v>2018</v>
      </c>
      <c r="D510" t="s">
        <v>94</v>
      </c>
      <c r="E510" t="s">
        <v>114</v>
      </c>
    </row>
    <row r="511" spans="1:5" x14ac:dyDescent="0.3">
      <c r="A511" s="1">
        <v>43396</v>
      </c>
      <c r="B511" s="1">
        <v>43374</v>
      </c>
      <c r="C511">
        <v>2018</v>
      </c>
      <c r="D511" t="s">
        <v>94</v>
      </c>
      <c r="E511" t="s">
        <v>114</v>
      </c>
    </row>
    <row r="512" spans="1:5" x14ac:dyDescent="0.3">
      <c r="A512" s="1">
        <v>43397</v>
      </c>
      <c r="B512" s="1">
        <v>43374</v>
      </c>
      <c r="C512">
        <v>2018</v>
      </c>
      <c r="D512" t="s">
        <v>94</v>
      </c>
      <c r="E512" t="s">
        <v>114</v>
      </c>
    </row>
    <row r="513" spans="1:5" x14ac:dyDescent="0.3">
      <c r="A513" s="1">
        <v>43398</v>
      </c>
      <c r="B513" s="1">
        <v>43374</v>
      </c>
      <c r="C513">
        <v>2018</v>
      </c>
      <c r="D513" t="s">
        <v>94</v>
      </c>
      <c r="E513" t="s">
        <v>114</v>
      </c>
    </row>
    <row r="514" spans="1:5" x14ac:dyDescent="0.3">
      <c r="A514" s="1">
        <v>43399</v>
      </c>
      <c r="B514" s="1">
        <v>43374</v>
      </c>
      <c r="C514">
        <v>2018</v>
      </c>
      <c r="D514" t="s">
        <v>94</v>
      </c>
      <c r="E514" t="s">
        <v>114</v>
      </c>
    </row>
    <row r="515" spans="1:5" x14ac:dyDescent="0.3">
      <c r="A515" s="1">
        <v>43400</v>
      </c>
      <c r="B515" s="1">
        <v>43374</v>
      </c>
      <c r="C515">
        <v>2018</v>
      </c>
      <c r="D515" t="s">
        <v>94</v>
      </c>
      <c r="E515" t="s">
        <v>114</v>
      </c>
    </row>
    <row r="516" spans="1:5" x14ac:dyDescent="0.3">
      <c r="A516" s="1">
        <v>43401</v>
      </c>
      <c r="B516" s="1">
        <v>43374</v>
      </c>
      <c r="C516">
        <v>2018</v>
      </c>
      <c r="D516" t="s">
        <v>94</v>
      </c>
      <c r="E516" t="s">
        <v>114</v>
      </c>
    </row>
    <row r="517" spans="1:5" x14ac:dyDescent="0.3">
      <c r="A517" s="1">
        <v>43402</v>
      </c>
      <c r="B517" s="1">
        <v>43374</v>
      </c>
      <c r="C517">
        <v>2018</v>
      </c>
      <c r="D517" t="s">
        <v>94</v>
      </c>
      <c r="E517" t="s">
        <v>114</v>
      </c>
    </row>
    <row r="518" spans="1:5" x14ac:dyDescent="0.3">
      <c r="A518" s="1">
        <v>43403</v>
      </c>
      <c r="B518" s="1">
        <v>43374</v>
      </c>
      <c r="C518">
        <v>2018</v>
      </c>
      <c r="D518" t="s">
        <v>94</v>
      </c>
      <c r="E518" t="s">
        <v>114</v>
      </c>
    </row>
    <row r="519" spans="1:5" x14ac:dyDescent="0.3">
      <c r="A519" s="1">
        <v>43404</v>
      </c>
      <c r="B519" s="1">
        <v>43374</v>
      </c>
      <c r="C519">
        <v>2018</v>
      </c>
      <c r="D519" t="s">
        <v>94</v>
      </c>
      <c r="E519" t="s">
        <v>114</v>
      </c>
    </row>
    <row r="520" spans="1:5" x14ac:dyDescent="0.3">
      <c r="A520" s="1">
        <v>43405</v>
      </c>
      <c r="B520" s="1">
        <v>43405</v>
      </c>
      <c r="C520">
        <v>2018</v>
      </c>
      <c r="D520" t="s">
        <v>96</v>
      </c>
      <c r="E520" t="s">
        <v>115</v>
      </c>
    </row>
    <row r="521" spans="1:5" x14ac:dyDescent="0.3">
      <c r="A521" s="1">
        <v>43406</v>
      </c>
      <c r="B521" s="1">
        <v>43405</v>
      </c>
      <c r="C521">
        <v>2018</v>
      </c>
      <c r="D521" t="s">
        <v>96</v>
      </c>
      <c r="E521" t="s">
        <v>115</v>
      </c>
    </row>
    <row r="522" spans="1:5" x14ac:dyDescent="0.3">
      <c r="A522" s="1">
        <v>43407</v>
      </c>
      <c r="B522" s="1">
        <v>43405</v>
      </c>
      <c r="C522">
        <v>2018</v>
      </c>
      <c r="D522" t="s">
        <v>96</v>
      </c>
      <c r="E522" t="s">
        <v>115</v>
      </c>
    </row>
    <row r="523" spans="1:5" x14ac:dyDescent="0.3">
      <c r="A523" s="1">
        <v>43408</v>
      </c>
      <c r="B523" s="1">
        <v>43405</v>
      </c>
      <c r="C523">
        <v>2018</v>
      </c>
      <c r="D523" t="s">
        <v>96</v>
      </c>
      <c r="E523" t="s">
        <v>115</v>
      </c>
    </row>
    <row r="524" spans="1:5" x14ac:dyDescent="0.3">
      <c r="A524" s="1">
        <v>43409</v>
      </c>
      <c r="B524" s="1">
        <v>43405</v>
      </c>
      <c r="C524">
        <v>2018</v>
      </c>
      <c r="D524" t="s">
        <v>96</v>
      </c>
      <c r="E524" t="s">
        <v>115</v>
      </c>
    </row>
    <row r="525" spans="1:5" x14ac:dyDescent="0.3">
      <c r="A525" s="1">
        <v>43410</v>
      </c>
      <c r="B525" s="1">
        <v>43405</v>
      </c>
      <c r="C525">
        <v>2018</v>
      </c>
      <c r="D525" t="s">
        <v>96</v>
      </c>
      <c r="E525" t="s">
        <v>115</v>
      </c>
    </row>
    <row r="526" spans="1:5" x14ac:dyDescent="0.3">
      <c r="A526" s="1">
        <v>43411</v>
      </c>
      <c r="B526" s="1">
        <v>43405</v>
      </c>
      <c r="C526">
        <v>2018</v>
      </c>
      <c r="D526" t="s">
        <v>96</v>
      </c>
      <c r="E526" t="s">
        <v>115</v>
      </c>
    </row>
    <row r="527" spans="1:5" x14ac:dyDescent="0.3">
      <c r="A527" s="1">
        <v>43412</v>
      </c>
      <c r="B527" s="1">
        <v>43405</v>
      </c>
      <c r="C527">
        <v>2018</v>
      </c>
      <c r="D527" t="s">
        <v>96</v>
      </c>
      <c r="E527" t="s">
        <v>115</v>
      </c>
    </row>
    <row r="528" spans="1:5" x14ac:dyDescent="0.3">
      <c r="A528" s="1">
        <v>43413</v>
      </c>
      <c r="B528" s="1">
        <v>43405</v>
      </c>
      <c r="C528">
        <v>2018</v>
      </c>
      <c r="D528" t="s">
        <v>96</v>
      </c>
      <c r="E528" t="s">
        <v>115</v>
      </c>
    </row>
    <row r="529" spans="1:5" x14ac:dyDescent="0.3">
      <c r="A529" s="1">
        <v>43414</v>
      </c>
      <c r="B529" s="1">
        <v>43405</v>
      </c>
      <c r="C529">
        <v>2018</v>
      </c>
      <c r="D529" t="s">
        <v>96</v>
      </c>
      <c r="E529" t="s">
        <v>115</v>
      </c>
    </row>
    <row r="530" spans="1:5" x14ac:dyDescent="0.3">
      <c r="A530" s="1">
        <v>43415</v>
      </c>
      <c r="B530" s="1">
        <v>43405</v>
      </c>
      <c r="C530">
        <v>2018</v>
      </c>
      <c r="D530" t="s">
        <v>96</v>
      </c>
      <c r="E530" t="s">
        <v>115</v>
      </c>
    </row>
    <row r="531" spans="1:5" x14ac:dyDescent="0.3">
      <c r="A531" s="1">
        <v>43416</v>
      </c>
      <c r="B531" s="1">
        <v>43405</v>
      </c>
      <c r="C531">
        <v>2018</v>
      </c>
      <c r="D531" t="s">
        <v>96</v>
      </c>
      <c r="E531" t="s">
        <v>115</v>
      </c>
    </row>
    <row r="532" spans="1:5" x14ac:dyDescent="0.3">
      <c r="A532" s="1">
        <v>43417</v>
      </c>
      <c r="B532" s="1">
        <v>43405</v>
      </c>
      <c r="C532">
        <v>2018</v>
      </c>
      <c r="D532" t="s">
        <v>96</v>
      </c>
      <c r="E532" t="s">
        <v>115</v>
      </c>
    </row>
    <row r="533" spans="1:5" x14ac:dyDescent="0.3">
      <c r="A533" s="1">
        <v>43418</v>
      </c>
      <c r="B533" s="1">
        <v>43405</v>
      </c>
      <c r="C533">
        <v>2018</v>
      </c>
      <c r="D533" t="s">
        <v>96</v>
      </c>
      <c r="E533" t="s">
        <v>115</v>
      </c>
    </row>
    <row r="534" spans="1:5" x14ac:dyDescent="0.3">
      <c r="A534" s="1">
        <v>43419</v>
      </c>
      <c r="B534" s="1">
        <v>43405</v>
      </c>
      <c r="C534">
        <v>2018</v>
      </c>
      <c r="D534" t="s">
        <v>96</v>
      </c>
      <c r="E534" t="s">
        <v>115</v>
      </c>
    </row>
    <row r="535" spans="1:5" x14ac:dyDescent="0.3">
      <c r="A535" s="1">
        <v>43420</v>
      </c>
      <c r="B535" s="1">
        <v>43405</v>
      </c>
      <c r="C535">
        <v>2018</v>
      </c>
      <c r="D535" t="s">
        <v>96</v>
      </c>
      <c r="E535" t="s">
        <v>115</v>
      </c>
    </row>
    <row r="536" spans="1:5" x14ac:dyDescent="0.3">
      <c r="A536" s="1">
        <v>43421</v>
      </c>
      <c r="B536" s="1">
        <v>43405</v>
      </c>
      <c r="C536">
        <v>2018</v>
      </c>
      <c r="D536" t="s">
        <v>96</v>
      </c>
      <c r="E536" t="s">
        <v>115</v>
      </c>
    </row>
    <row r="537" spans="1:5" x14ac:dyDescent="0.3">
      <c r="A537" s="1">
        <v>43422</v>
      </c>
      <c r="B537" s="1">
        <v>43405</v>
      </c>
      <c r="C537">
        <v>2018</v>
      </c>
      <c r="D537" t="s">
        <v>96</v>
      </c>
      <c r="E537" t="s">
        <v>115</v>
      </c>
    </row>
    <row r="538" spans="1:5" x14ac:dyDescent="0.3">
      <c r="A538" s="1">
        <v>43423</v>
      </c>
      <c r="B538" s="1">
        <v>43405</v>
      </c>
      <c r="C538">
        <v>2018</v>
      </c>
      <c r="D538" t="s">
        <v>96</v>
      </c>
      <c r="E538" t="s">
        <v>115</v>
      </c>
    </row>
    <row r="539" spans="1:5" x14ac:dyDescent="0.3">
      <c r="A539" s="1">
        <v>43424</v>
      </c>
      <c r="B539" s="1">
        <v>43405</v>
      </c>
      <c r="C539">
        <v>2018</v>
      </c>
      <c r="D539" t="s">
        <v>96</v>
      </c>
      <c r="E539" t="s">
        <v>115</v>
      </c>
    </row>
    <row r="540" spans="1:5" x14ac:dyDescent="0.3">
      <c r="A540" s="1">
        <v>43425</v>
      </c>
      <c r="B540" s="1">
        <v>43405</v>
      </c>
      <c r="C540">
        <v>2018</v>
      </c>
      <c r="D540" t="s">
        <v>96</v>
      </c>
      <c r="E540" t="s">
        <v>115</v>
      </c>
    </row>
    <row r="541" spans="1:5" x14ac:dyDescent="0.3">
      <c r="A541" s="1">
        <v>43426</v>
      </c>
      <c r="B541" s="1">
        <v>43405</v>
      </c>
      <c r="C541">
        <v>2018</v>
      </c>
      <c r="D541" t="s">
        <v>96</v>
      </c>
      <c r="E541" t="s">
        <v>115</v>
      </c>
    </row>
    <row r="542" spans="1:5" x14ac:dyDescent="0.3">
      <c r="A542" s="1">
        <v>43427</v>
      </c>
      <c r="B542" s="1">
        <v>43405</v>
      </c>
      <c r="C542">
        <v>2018</v>
      </c>
      <c r="D542" t="s">
        <v>96</v>
      </c>
      <c r="E542" t="s">
        <v>115</v>
      </c>
    </row>
    <row r="543" spans="1:5" x14ac:dyDescent="0.3">
      <c r="A543" s="1">
        <v>43428</v>
      </c>
      <c r="B543" s="1">
        <v>43405</v>
      </c>
      <c r="C543">
        <v>2018</v>
      </c>
      <c r="D543" t="s">
        <v>96</v>
      </c>
      <c r="E543" t="s">
        <v>115</v>
      </c>
    </row>
    <row r="544" spans="1:5" x14ac:dyDescent="0.3">
      <c r="A544" s="1">
        <v>43429</v>
      </c>
      <c r="B544" s="1">
        <v>43405</v>
      </c>
      <c r="C544">
        <v>2018</v>
      </c>
      <c r="D544" t="s">
        <v>96</v>
      </c>
      <c r="E544" t="s">
        <v>115</v>
      </c>
    </row>
    <row r="545" spans="1:5" x14ac:dyDescent="0.3">
      <c r="A545" s="1">
        <v>43430</v>
      </c>
      <c r="B545" s="1">
        <v>43405</v>
      </c>
      <c r="C545">
        <v>2018</v>
      </c>
      <c r="D545" t="s">
        <v>96</v>
      </c>
      <c r="E545" t="s">
        <v>115</v>
      </c>
    </row>
    <row r="546" spans="1:5" x14ac:dyDescent="0.3">
      <c r="A546" s="1">
        <v>43431</v>
      </c>
      <c r="B546" s="1">
        <v>43405</v>
      </c>
      <c r="C546">
        <v>2018</v>
      </c>
      <c r="D546" t="s">
        <v>96</v>
      </c>
      <c r="E546" t="s">
        <v>115</v>
      </c>
    </row>
    <row r="547" spans="1:5" x14ac:dyDescent="0.3">
      <c r="A547" s="1">
        <v>43432</v>
      </c>
      <c r="B547" s="1">
        <v>43405</v>
      </c>
      <c r="C547">
        <v>2018</v>
      </c>
      <c r="D547" t="s">
        <v>96</v>
      </c>
      <c r="E547" t="s">
        <v>115</v>
      </c>
    </row>
    <row r="548" spans="1:5" x14ac:dyDescent="0.3">
      <c r="A548" s="1">
        <v>43433</v>
      </c>
      <c r="B548" s="1">
        <v>43405</v>
      </c>
      <c r="C548">
        <v>2018</v>
      </c>
      <c r="D548" t="s">
        <v>96</v>
      </c>
      <c r="E548" t="s">
        <v>115</v>
      </c>
    </row>
    <row r="549" spans="1:5" x14ac:dyDescent="0.3">
      <c r="A549" s="1">
        <v>43434</v>
      </c>
      <c r="B549" s="1">
        <v>43405</v>
      </c>
      <c r="C549">
        <v>2018</v>
      </c>
      <c r="D549" t="s">
        <v>96</v>
      </c>
      <c r="E549" t="s">
        <v>115</v>
      </c>
    </row>
    <row r="550" spans="1:5" x14ac:dyDescent="0.3">
      <c r="A550" s="1">
        <v>43435</v>
      </c>
      <c r="B550" s="1">
        <v>43435</v>
      </c>
      <c r="C550">
        <v>2018</v>
      </c>
      <c r="D550" t="s">
        <v>98</v>
      </c>
      <c r="E550" t="s">
        <v>116</v>
      </c>
    </row>
    <row r="551" spans="1:5" x14ac:dyDescent="0.3">
      <c r="A551" s="1">
        <v>43436</v>
      </c>
      <c r="B551" s="1">
        <v>43435</v>
      </c>
      <c r="C551">
        <v>2018</v>
      </c>
      <c r="D551" t="s">
        <v>98</v>
      </c>
      <c r="E551" t="s">
        <v>116</v>
      </c>
    </row>
    <row r="552" spans="1:5" x14ac:dyDescent="0.3">
      <c r="A552" s="1">
        <v>43437</v>
      </c>
      <c r="B552" s="1">
        <v>43435</v>
      </c>
      <c r="C552">
        <v>2018</v>
      </c>
      <c r="D552" t="s">
        <v>98</v>
      </c>
      <c r="E552" t="s">
        <v>116</v>
      </c>
    </row>
    <row r="553" spans="1:5" x14ac:dyDescent="0.3">
      <c r="A553" s="1">
        <v>43438</v>
      </c>
      <c r="B553" s="1">
        <v>43435</v>
      </c>
      <c r="C553">
        <v>2018</v>
      </c>
      <c r="D553" t="s">
        <v>98</v>
      </c>
      <c r="E553" t="s">
        <v>116</v>
      </c>
    </row>
    <row r="554" spans="1:5" x14ac:dyDescent="0.3">
      <c r="A554" s="1">
        <v>43439</v>
      </c>
      <c r="B554" s="1">
        <v>43435</v>
      </c>
      <c r="C554">
        <v>2018</v>
      </c>
      <c r="D554" t="s">
        <v>98</v>
      </c>
      <c r="E554" t="s">
        <v>116</v>
      </c>
    </row>
    <row r="555" spans="1:5" x14ac:dyDescent="0.3">
      <c r="A555" s="1">
        <v>43440</v>
      </c>
      <c r="B555" s="1">
        <v>43435</v>
      </c>
      <c r="C555">
        <v>2018</v>
      </c>
      <c r="D555" t="s">
        <v>98</v>
      </c>
      <c r="E555" t="s">
        <v>116</v>
      </c>
    </row>
    <row r="556" spans="1:5" x14ac:dyDescent="0.3">
      <c r="A556" s="1">
        <v>43441</v>
      </c>
      <c r="B556" s="1">
        <v>43435</v>
      </c>
      <c r="C556">
        <v>2018</v>
      </c>
      <c r="D556" t="s">
        <v>98</v>
      </c>
      <c r="E556" t="s">
        <v>116</v>
      </c>
    </row>
    <row r="557" spans="1:5" x14ac:dyDescent="0.3">
      <c r="A557" s="1">
        <v>43442</v>
      </c>
      <c r="B557" s="1">
        <v>43435</v>
      </c>
      <c r="C557">
        <v>2018</v>
      </c>
      <c r="D557" t="s">
        <v>98</v>
      </c>
      <c r="E557" t="s">
        <v>116</v>
      </c>
    </row>
    <row r="558" spans="1:5" x14ac:dyDescent="0.3">
      <c r="A558" s="1">
        <v>43443</v>
      </c>
      <c r="B558" s="1">
        <v>43435</v>
      </c>
      <c r="C558">
        <v>2018</v>
      </c>
      <c r="D558" t="s">
        <v>98</v>
      </c>
      <c r="E558" t="s">
        <v>116</v>
      </c>
    </row>
    <row r="559" spans="1:5" x14ac:dyDescent="0.3">
      <c r="A559" s="1">
        <v>43444</v>
      </c>
      <c r="B559" s="1">
        <v>43435</v>
      </c>
      <c r="C559">
        <v>2018</v>
      </c>
      <c r="D559" t="s">
        <v>98</v>
      </c>
      <c r="E559" t="s">
        <v>116</v>
      </c>
    </row>
    <row r="560" spans="1:5" x14ac:dyDescent="0.3">
      <c r="A560" s="1">
        <v>43445</v>
      </c>
      <c r="B560" s="1">
        <v>43435</v>
      </c>
      <c r="C560">
        <v>2018</v>
      </c>
      <c r="D560" t="s">
        <v>98</v>
      </c>
      <c r="E560" t="s">
        <v>116</v>
      </c>
    </row>
    <row r="561" spans="1:5" x14ac:dyDescent="0.3">
      <c r="A561" s="1">
        <v>43446</v>
      </c>
      <c r="B561" s="1">
        <v>43435</v>
      </c>
      <c r="C561">
        <v>2018</v>
      </c>
      <c r="D561" t="s">
        <v>98</v>
      </c>
      <c r="E561" t="s">
        <v>116</v>
      </c>
    </row>
    <row r="562" spans="1:5" x14ac:dyDescent="0.3">
      <c r="A562" s="1">
        <v>43447</v>
      </c>
      <c r="B562" s="1">
        <v>43435</v>
      </c>
      <c r="C562">
        <v>2018</v>
      </c>
      <c r="D562" t="s">
        <v>98</v>
      </c>
      <c r="E562" t="s">
        <v>116</v>
      </c>
    </row>
    <row r="563" spans="1:5" x14ac:dyDescent="0.3">
      <c r="A563" s="1">
        <v>43448</v>
      </c>
      <c r="B563" s="1">
        <v>43435</v>
      </c>
      <c r="C563">
        <v>2018</v>
      </c>
      <c r="D563" t="s">
        <v>98</v>
      </c>
      <c r="E563" t="s">
        <v>116</v>
      </c>
    </row>
    <row r="564" spans="1:5" x14ac:dyDescent="0.3">
      <c r="A564" s="1">
        <v>43449</v>
      </c>
      <c r="B564" s="1">
        <v>43435</v>
      </c>
      <c r="C564">
        <v>2018</v>
      </c>
      <c r="D564" t="s">
        <v>98</v>
      </c>
      <c r="E564" t="s">
        <v>116</v>
      </c>
    </row>
    <row r="565" spans="1:5" x14ac:dyDescent="0.3">
      <c r="A565" s="1">
        <v>43450</v>
      </c>
      <c r="B565" s="1">
        <v>43435</v>
      </c>
      <c r="C565">
        <v>2018</v>
      </c>
      <c r="D565" t="s">
        <v>98</v>
      </c>
      <c r="E565" t="s">
        <v>116</v>
      </c>
    </row>
    <row r="566" spans="1:5" x14ac:dyDescent="0.3">
      <c r="A566" s="1">
        <v>43451</v>
      </c>
      <c r="B566" s="1">
        <v>43435</v>
      </c>
      <c r="C566">
        <v>2018</v>
      </c>
      <c r="D566" t="s">
        <v>98</v>
      </c>
      <c r="E566" t="s">
        <v>116</v>
      </c>
    </row>
    <row r="567" spans="1:5" x14ac:dyDescent="0.3">
      <c r="A567" s="1">
        <v>43452</v>
      </c>
      <c r="B567" s="1">
        <v>43435</v>
      </c>
      <c r="C567">
        <v>2018</v>
      </c>
      <c r="D567" t="s">
        <v>98</v>
      </c>
      <c r="E567" t="s">
        <v>116</v>
      </c>
    </row>
    <row r="568" spans="1:5" x14ac:dyDescent="0.3">
      <c r="A568" s="1">
        <v>43453</v>
      </c>
      <c r="B568" s="1">
        <v>43435</v>
      </c>
      <c r="C568">
        <v>2018</v>
      </c>
      <c r="D568" t="s">
        <v>98</v>
      </c>
      <c r="E568" t="s">
        <v>116</v>
      </c>
    </row>
    <row r="569" spans="1:5" x14ac:dyDescent="0.3">
      <c r="A569" s="1">
        <v>43454</v>
      </c>
      <c r="B569" s="1">
        <v>43435</v>
      </c>
      <c r="C569">
        <v>2018</v>
      </c>
      <c r="D569" t="s">
        <v>98</v>
      </c>
      <c r="E569" t="s">
        <v>116</v>
      </c>
    </row>
    <row r="570" spans="1:5" x14ac:dyDescent="0.3">
      <c r="A570" s="1">
        <v>43455</v>
      </c>
      <c r="B570" s="1">
        <v>43435</v>
      </c>
      <c r="C570">
        <v>2018</v>
      </c>
      <c r="D570" t="s">
        <v>98</v>
      </c>
      <c r="E570" t="s">
        <v>116</v>
      </c>
    </row>
    <row r="571" spans="1:5" x14ac:dyDescent="0.3">
      <c r="A571" s="1">
        <v>43456</v>
      </c>
      <c r="B571" s="1">
        <v>43435</v>
      </c>
      <c r="C571">
        <v>2018</v>
      </c>
      <c r="D571" t="s">
        <v>98</v>
      </c>
      <c r="E571" t="s">
        <v>116</v>
      </c>
    </row>
    <row r="572" spans="1:5" x14ac:dyDescent="0.3">
      <c r="A572" s="1">
        <v>43457</v>
      </c>
      <c r="B572" s="1">
        <v>43435</v>
      </c>
      <c r="C572">
        <v>2018</v>
      </c>
      <c r="D572" t="s">
        <v>98</v>
      </c>
      <c r="E572" t="s">
        <v>116</v>
      </c>
    </row>
    <row r="573" spans="1:5" x14ac:dyDescent="0.3">
      <c r="A573" s="1">
        <v>43458</v>
      </c>
      <c r="B573" s="1">
        <v>43435</v>
      </c>
      <c r="C573">
        <v>2018</v>
      </c>
      <c r="D573" t="s">
        <v>98</v>
      </c>
      <c r="E573" t="s">
        <v>116</v>
      </c>
    </row>
    <row r="574" spans="1:5" x14ac:dyDescent="0.3">
      <c r="A574" s="1">
        <v>43459</v>
      </c>
      <c r="B574" s="1">
        <v>43435</v>
      </c>
      <c r="C574">
        <v>2018</v>
      </c>
      <c r="D574" t="s">
        <v>98</v>
      </c>
      <c r="E574" t="s">
        <v>116</v>
      </c>
    </row>
    <row r="575" spans="1:5" x14ac:dyDescent="0.3">
      <c r="A575" s="1">
        <v>43460</v>
      </c>
      <c r="B575" s="1">
        <v>43435</v>
      </c>
      <c r="C575">
        <v>2018</v>
      </c>
      <c r="D575" t="s">
        <v>98</v>
      </c>
      <c r="E575" t="s">
        <v>116</v>
      </c>
    </row>
    <row r="576" spans="1:5" x14ac:dyDescent="0.3">
      <c r="A576" s="1">
        <v>43461</v>
      </c>
      <c r="B576" s="1">
        <v>43435</v>
      </c>
      <c r="C576">
        <v>2018</v>
      </c>
      <c r="D576" t="s">
        <v>98</v>
      </c>
      <c r="E576" t="s">
        <v>116</v>
      </c>
    </row>
    <row r="577" spans="1:5" x14ac:dyDescent="0.3">
      <c r="A577" s="1">
        <v>43462</v>
      </c>
      <c r="B577" s="1">
        <v>43435</v>
      </c>
      <c r="C577">
        <v>2018</v>
      </c>
      <c r="D577" t="s">
        <v>98</v>
      </c>
      <c r="E577" t="s">
        <v>116</v>
      </c>
    </row>
    <row r="578" spans="1:5" x14ac:dyDescent="0.3">
      <c r="A578" s="1">
        <v>43463</v>
      </c>
      <c r="B578" s="1">
        <v>43435</v>
      </c>
      <c r="C578">
        <v>2018</v>
      </c>
      <c r="D578" t="s">
        <v>98</v>
      </c>
      <c r="E578" t="s">
        <v>116</v>
      </c>
    </row>
    <row r="579" spans="1:5" x14ac:dyDescent="0.3">
      <c r="A579" s="1">
        <v>43464</v>
      </c>
      <c r="B579" s="1">
        <v>43435</v>
      </c>
      <c r="C579">
        <v>2018</v>
      </c>
      <c r="D579" t="s">
        <v>98</v>
      </c>
      <c r="E579" t="s">
        <v>116</v>
      </c>
    </row>
    <row r="580" spans="1:5" x14ac:dyDescent="0.3">
      <c r="A580" s="1">
        <v>43465</v>
      </c>
      <c r="B580" s="1">
        <v>43435</v>
      </c>
      <c r="C580">
        <v>2018</v>
      </c>
      <c r="D580" t="s">
        <v>98</v>
      </c>
      <c r="E580" t="s">
        <v>116</v>
      </c>
    </row>
    <row r="581" spans="1:5" x14ac:dyDescent="0.3">
      <c r="A581" s="1">
        <v>43466</v>
      </c>
      <c r="B581" s="1">
        <v>43466</v>
      </c>
      <c r="C581">
        <v>2019</v>
      </c>
      <c r="D581" t="s">
        <v>100</v>
      </c>
      <c r="E581" t="s">
        <v>117</v>
      </c>
    </row>
    <row r="582" spans="1:5" x14ac:dyDescent="0.3">
      <c r="A582" s="1">
        <v>43467</v>
      </c>
      <c r="B582" s="1">
        <v>43466</v>
      </c>
      <c r="C582">
        <v>2019</v>
      </c>
      <c r="D582" t="s">
        <v>100</v>
      </c>
      <c r="E582" t="s">
        <v>117</v>
      </c>
    </row>
    <row r="583" spans="1:5" x14ac:dyDescent="0.3">
      <c r="A583" s="1">
        <v>43468</v>
      </c>
      <c r="B583" s="1">
        <v>43466</v>
      </c>
      <c r="C583">
        <v>2019</v>
      </c>
      <c r="D583" t="s">
        <v>100</v>
      </c>
      <c r="E583" t="s">
        <v>117</v>
      </c>
    </row>
    <row r="584" spans="1:5" x14ac:dyDescent="0.3">
      <c r="A584" s="1">
        <v>43469</v>
      </c>
      <c r="B584" s="1">
        <v>43466</v>
      </c>
      <c r="C584">
        <v>2019</v>
      </c>
      <c r="D584" t="s">
        <v>100</v>
      </c>
      <c r="E584" t="s">
        <v>117</v>
      </c>
    </row>
    <row r="585" spans="1:5" x14ac:dyDescent="0.3">
      <c r="A585" s="1">
        <v>43470</v>
      </c>
      <c r="B585" s="1">
        <v>43466</v>
      </c>
      <c r="C585">
        <v>2019</v>
      </c>
      <c r="D585" t="s">
        <v>100</v>
      </c>
      <c r="E585" t="s">
        <v>117</v>
      </c>
    </row>
    <row r="586" spans="1:5" x14ac:dyDescent="0.3">
      <c r="A586" s="1">
        <v>43471</v>
      </c>
      <c r="B586" s="1">
        <v>43466</v>
      </c>
      <c r="C586">
        <v>2019</v>
      </c>
      <c r="D586" t="s">
        <v>100</v>
      </c>
      <c r="E586" t="s">
        <v>117</v>
      </c>
    </row>
    <row r="587" spans="1:5" x14ac:dyDescent="0.3">
      <c r="A587" s="1">
        <v>43472</v>
      </c>
      <c r="B587" s="1">
        <v>43466</v>
      </c>
      <c r="C587">
        <v>2019</v>
      </c>
      <c r="D587" t="s">
        <v>100</v>
      </c>
      <c r="E587" t="s">
        <v>117</v>
      </c>
    </row>
    <row r="588" spans="1:5" x14ac:dyDescent="0.3">
      <c r="A588" s="1">
        <v>43473</v>
      </c>
      <c r="B588" s="1">
        <v>43466</v>
      </c>
      <c r="C588">
        <v>2019</v>
      </c>
      <c r="D588" t="s">
        <v>100</v>
      </c>
      <c r="E588" t="s">
        <v>117</v>
      </c>
    </row>
    <row r="589" spans="1:5" x14ac:dyDescent="0.3">
      <c r="A589" s="1">
        <v>43474</v>
      </c>
      <c r="B589" s="1">
        <v>43466</v>
      </c>
      <c r="C589">
        <v>2019</v>
      </c>
      <c r="D589" t="s">
        <v>100</v>
      </c>
      <c r="E589" t="s">
        <v>117</v>
      </c>
    </row>
    <row r="590" spans="1:5" x14ac:dyDescent="0.3">
      <c r="A590" s="1">
        <v>43475</v>
      </c>
      <c r="B590" s="1">
        <v>43466</v>
      </c>
      <c r="C590">
        <v>2019</v>
      </c>
      <c r="D590" t="s">
        <v>100</v>
      </c>
      <c r="E590" t="s">
        <v>117</v>
      </c>
    </row>
    <row r="591" spans="1:5" x14ac:dyDescent="0.3">
      <c r="A591" s="1">
        <v>43476</v>
      </c>
      <c r="B591" s="1">
        <v>43466</v>
      </c>
      <c r="C591">
        <v>2019</v>
      </c>
      <c r="D591" t="s">
        <v>100</v>
      </c>
      <c r="E591" t="s">
        <v>117</v>
      </c>
    </row>
    <row r="592" spans="1:5" x14ac:dyDescent="0.3">
      <c r="A592" s="1">
        <v>43477</v>
      </c>
      <c r="B592" s="1">
        <v>43466</v>
      </c>
      <c r="C592">
        <v>2019</v>
      </c>
      <c r="D592" t="s">
        <v>100</v>
      </c>
      <c r="E592" t="s">
        <v>117</v>
      </c>
    </row>
    <row r="593" spans="1:5" x14ac:dyDescent="0.3">
      <c r="A593" s="1">
        <v>43478</v>
      </c>
      <c r="B593" s="1">
        <v>43466</v>
      </c>
      <c r="C593">
        <v>2019</v>
      </c>
      <c r="D593" t="s">
        <v>100</v>
      </c>
      <c r="E593" t="s">
        <v>117</v>
      </c>
    </row>
    <row r="594" spans="1:5" x14ac:dyDescent="0.3">
      <c r="A594" s="1">
        <v>43479</v>
      </c>
      <c r="B594" s="1">
        <v>43466</v>
      </c>
      <c r="C594">
        <v>2019</v>
      </c>
      <c r="D594" t="s">
        <v>100</v>
      </c>
      <c r="E594" t="s">
        <v>117</v>
      </c>
    </row>
    <row r="595" spans="1:5" x14ac:dyDescent="0.3">
      <c r="A595" s="1">
        <v>43480</v>
      </c>
      <c r="B595" s="1">
        <v>43466</v>
      </c>
      <c r="C595">
        <v>2019</v>
      </c>
      <c r="D595" t="s">
        <v>100</v>
      </c>
      <c r="E595" t="s">
        <v>117</v>
      </c>
    </row>
    <row r="596" spans="1:5" x14ac:dyDescent="0.3">
      <c r="A596" s="1">
        <v>43481</v>
      </c>
      <c r="B596" s="1">
        <v>43466</v>
      </c>
      <c r="C596">
        <v>2019</v>
      </c>
      <c r="D596" t="s">
        <v>100</v>
      </c>
      <c r="E596" t="s">
        <v>117</v>
      </c>
    </row>
    <row r="597" spans="1:5" x14ac:dyDescent="0.3">
      <c r="A597" s="1">
        <v>43482</v>
      </c>
      <c r="B597" s="1">
        <v>43466</v>
      </c>
      <c r="C597">
        <v>2019</v>
      </c>
      <c r="D597" t="s">
        <v>100</v>
      </c>
      <c r="E597" t="s">
        <v>117</v>
      </c>
    </row>
    <row r="598" spans="1:5" x14ac:dyDescent="0.3">
      <c r="A598" s="1">
        <v>43483</v>
      </c>
      <c r="B598" s="1">
        <v>43466</v>
      </c>
      <c r="C598">
        <v>2019</v>
      </c>
      <c r="D598" t="s">
        <v>100</v>
      </c>
      <c r="E598" t="s">
        <v>117</v>
      </c>
    </row>
    <row r="599" spans="1:5" x14ac:dyDescent="0.3">
      <c r="A599" s="1">
        <v>43484</v>
      </c>
      <c r="B599" s="1">
        <v>43466</v>
      </c>
      <c r="C599">
        <v>2019</v>
      </c>
      <c r="D599" t="s">
        <v>100</v>
      </c>
      <c r="E599" t="s">
        <v>117</v>
      </c>
    </row>
    <row r="600" spans="1:5" x14ac:dyDescent="0.3">
      <c r="A600" s="1">
        <v>43485</v>
      </c>
      <c r="B600" s="1">
        <v>43466</v>
      </c>
      <c r="C600">
        <v>2019</v>
      </c>
      <c r="D600" t="s">
        <v>100</v>
      </c>
      <c r="E600" t="s">
        <v>117</v>
      </c>
    </row>
    <row r="601" spans="1:5" x14ac:dyDescent="0.3">
      <c r="A601" s="1">
        <v>43486</v>
      </c>
      <c r="B601" s="1">
        <v>43466</v>
      </c>
      <c r="C601">
        <v>2019</v>
      </c>
      <c r="D601" t="s">
        <v>100</v>
      </c>
      <c r="E601" t="s">
        <v>117</v>
      </c>
    </row>
    <row r="602" spans="1:5" x14ac:dyDescent="0.3">
      <c r="A602" s="1">
        <v>43487</v>
      </c>
      <c r="B602" s="1">
        <v>43466</v>
      </c>
      <c r="C602">
        <v>2019</v>
      </c>
      <c r="D602" t="s">
        <v>100</v>
      </c>
      <c r="E602" t="s">
        <v>117</v>
      </c>
    </row>
    <row r="603" spans="1:5" x14ac:dyDescent="0.3">
      <c r="A603" s="1">
        <v>43488</v>
      </c>
      <c r="B603" s="1">
        <v>43466</v>
      </c>
      <c r="C603">
        <v>2019</v>
      </c>
      <c r="D603" t="s">
        <v>100</v>
      </c>
      <c r="E603" t="s">
        <v>117</v>
      </c>
    </row>
    <row r="604" spans="1:5" x14ac:dyDescent="0.3">
      <c r="A604" s="1">
        <v>43489</v>
      </c>
      <c r="B604" s="1">
        <v>43466</v>
      </c>
      <c r="C604">
        <v>2019</v>
      </c>
      <c r="D604" t="s">
        <v>100</v>
      </c>
      <c r="E604" t="s">
        <v>117</v>
      </c>
    </row>
    <row r="605" spans="1:5" x14ac:dyDescent="0.3">
      <c r="A605" s="1">
        <v>43490</v>
      </c>
      <c r="B605" s="1">
        <v>43466</v>
      </c>
      <c r="C605">
        <v>2019</v>
      </c>
      <c r="D605" t="s">
        <v>100</v>
      </c>
      <c r="E605" t="s">
        <v>117</v>
      </c>
    </row>
    <row r="606" spans="1:5" x14ac:dyDescent="0.3">
      <c r="A606" s="1">
        <v>43491</v>
      </c>
      <c r="B606" s="1">
        <v>43466</v>
      </c>
      <c r="C606">
        <v>2019</v>
      </c>
      <c r="D606" t="s">
        <v>100</v>
      </c>
      <c r="E606" t="s">
        <v>117</v>
      </c>
    </row>
    <row r="607" spans="1:5" x14ac:dyDescent="0.3">
      <c r="A607" s="1">
        <v>43492</v>
      </c>
      <c r="B607" s="1">
        <v>43466</v>
      </c>
      <c r="C607">
        <v>2019</v>
      </c>
      <c r="D607" t="s">
        <v>100</v>
      </c>
      <c r="E607" t="s">
        <v>117</v>
      </c>
    </row>
    <row r="608" spans="1:5" x14ac:dyDescent="0.3">
      <c r="A608" s="1">
        <v>43493</v>
      </c>
      <c r="B608" s="1">
        <v>43466</v>
      </c>
      <c r="C608">
        <v>2019</v>
      </c>
      <c r="D608" t="s">
        <v>100</v>
      </c>
      <c r="E608" t="s">
        <v>117</v>
      </c>
    </row>
    <row r="609" spans="1:5" x14ac:dyDescent="0.3">
      <c r="A609" s="1">
        <v>43494</v>
      </c>
      <c r="B609" s="1">
        <v>43466</v>
      </c>
      <c r="C609">
        <v>2019</v>
      </c>
      <c r="D609" t="s">
        <v>100</v>
      </c>
      <c r="E609" t="s">
        <v>117</v>
      </c>
    </row>
    <row r="610" spans="1:5" x14ac:dyDescent="0.3">
      <c r="A610" s="1">
        <v>43495</v>
      </c>
      <c r="B610" s="1">
        <v>43466</v>
      </c>
      <c r="C610">
        <v>2019</v>
      </c>
      <c r="D610" t="s">
        <v>100</v>
      </c>
      <c r="E610" t="s">
        <v>117</v>
      </c>
    </row>
    <row r="611" spans="1:5" x14ac:dyDescent="0.3">
      <c r="A611" s="1">
        <v>43496</v>
      </c>
      <c r="B611" s="1">
        <v>43466</v>
      </c>
      <c r="C611">
        <v>2019</v>
      </c>
      <c r="D611" t="s">
        <v>100</v>
      </c>
      <c r="E611" t="s">
        <v>117</v>
      </c>
    </row>
    <row r="612" spans="1:5" x14ac:dyDescent="0.3">
      <c r="A612" s="1">
        <v>43497</v>
      </c>
      <c r="B612" s="1">
        <v>43497</v>
      </c>
      <c r="C612">
        <v>2019</v>
      </c>
      <c r="D612" t="s">
        <v>102</v>
      </c>
      <c r="E612" t="s">
        <v>118</v>
      </c>
    </row>
    <row r="613" spans="1:5" x14ac:dyDescent="0.3">
      <c r="A613" s="1">
        <v>43498</v>
      </c>
      <c r="B613" s="1">
        <v>43497</v>
      </c>
      <c r="C613">
        <v>2019</v>
      </c>
      <c r="D613" t="s">
        <v>102</v>
      </c>
      <c r="E613" t="s">
        <v>118</v>
      </c>
    </row>
    <row r="614" spans="1:5" x14ac:dyDescent="0.3">
      <c r="A614" s="1">
        <v>43499</v>
      </c>
      <c r="B614" s="1">
        <v>43497</v>
      </c>
      <c r="C614">
        <v>2019</v>
      </c>
      <c r="D614" t="s">
        <v>102</v>
      </c>
      <c r="E614" t="s">
        <v>118</v>
      </c>
    </row>
    <row r="615" spans="1:5" x14ac:dyDescent="0.3">
      <c r="A615" s="1">
        <v>43500</v>
      </c>
      <c r="B615" s="1">
        <v>43497</v>
      </c>
      <c r="C615">
        <v>2019</v>
      </c>
      <c r="D615" t="s">
        <v>102</v>
      </c>
      <c r="E615" t="s">
        <v>118</v>
      </c>
    </row>
    <row r="616" spans="1:5" x14ac:dyDescent="0.3">
      <c r="A616" s="1">
        <v>43501</v>
      </c>
      <c r="B616" s="1">
        <v>43497</v>
      </c>
      <c r="C616">
        <v>2019</v>
      </c>
      <c r="D616" t="s">
        <v>102</v>
      </c>
      <c r="E616" t="s">
        <v>118</v>
      </c>
    </row>
    <row r="617" spans="1:5" x14ac:dyDescent="0.3">
      <c r="A617" s="1">
        <v>43502</v>
      </c>
      <c r="B617" s="1">
        <v>43497</v>
      </c>
      <c r="C617">
        <v>2019</v>
      </c>
      <c r="D617" t="s">
        <v>102</v>
      </c>
      <c r="E617" t="s">
        <v>118</v>
      </c>
    </row>
    <row r="618" spans="1:5" x14ac:dyDescent="0.3">
      <c r="A618" s="1">
        <v>43503</v>
      </c>
      <c r="B618" s="1">
        <v>43497</v>
      </c>
      <c r="C618">
        <v>2019</v>
      </c>
      <c r="D618" t="s">
        <v>102</v>
      </c>
      <c r="E618" t="s">
        <v>118</v>
      </c>
    </row>
    <row r="619" spans="1:5" x14ac:dyDescent="0.3">
      <c r="A619" s="1">
        <v>43504</v>
      </c>
      <c r="B619" s="1">
        <v>43497</v>
      </c>
      <c r="C619">
        <v>2019</v>
      </c>
      <c r="D619" t="s">
        <v>102</v>
      </c>
      <c r="E619" t="s">
        <v>118</v>
      </c>
    </row>
    <row r="620" spans="1:5" x14ac:dyDescent="0.3">
      <c r="A620" s="1">
        <v>43505</v>
      </c>
      <c r="B620" s="1">
        <v>43497</v>
      </c>
      <c r="C620">
        <v>2019</v>
      </c>
      <c r="D620" t="s">
        <v>102</v>
      </c>
      <c r="E620" t="s">
        <v>118</v>
      </c>
    </row>
    <row r="621" spans="1:5" x14ac:dyDescent="0.3">
      <c r="A621" s="1">
        <v>43506</v>
      </c>
      <c r="B621" s="1">
        <v>43497</v>
      </c>
      <c r="C621">
        <v>2019</v>
      </c>
      <c r="D621" t="s">
        <v>102</v>
      </c>
      <c r="E621" t="s">
        <v>118</v>
      </c>
    </row>
    <row r="622" spans="1:5" x14ac:dyDescent="0.3">
      <c r="A622" s="1">
        <v>43507</v>
      </c>
      <c r="B622" s="1">
        <v>43497</v>
      </c>
      <c r="C622">
        <v>2019</v>
      </c>
      <c r="D622" t="s">
        <v>102</v>
      </c>
      <c r="E622" t="s">
        <v>118</v>
      </c>
    </row>
    <row r="623" spans="1:5" x14ac:dyDescent="0.3">
      <c r="A623" s="1">
        <v>43508</v>
      </c>
      <c r="B623" s="1">
        <v>43497</v>
      </c>
      <c r="C623">
        <v>2019</v>
      </c>
      <c r="D623" t="s">
        <v>102</v>
      </c>
      <c r="E623" t="s">
        <v>118</v>
      </c>
    </row>
    <row r="624" spans="1:5" x14ac:dyDescent="0.3">
      <c r="A624" s="1">
        <v>43509</v>
      </c>
      <c r="B624" s="1">
        <v>43497</v>
      </c>
      <c r="C624">
        <v>2019</v>
      </c>
      <c r="D624" t="s">
        <v>102</v>
      </c>
      <c r="E624" t="s">
        <v>118</v>
      </c>
    </row>
    <row r="625" spans="1:5" x14ac:dyDescent="0.3">
      <c r="A625" s="1">
        <v>43510</v>
      </c>
      <c r="B625" s="1">
        <v>43497</v>
      </c>
      <c r="C625">
        <v>2019</v>
      </c>
      <c r="D625" t="s">
        <v>102</v>
      </c>
      <c r="E625" t="s">
        <v>118</v>
      </c>
    </row>
    <row r="626" spans="1:5" x14ac:dyDescent="0.3">
      <c r="A626" s="1">
        <v>43511</v>
      </c>
      <c r="B626" s="1">
        <v>43497</v>
      </c>
      <c r="C626">
        <v>2019</v>
      </c>
      <c r="D626" t="s">
        <v>102</v>
      </c>
      <c r="E626" t="s">
        <v>118</v>
      </c>
    </row>
    <row r="627" spans="1:5" x14ac:dyDescent="0.3">
      <c r="A627" s="1">
        <v>43512</v>
      </c>
      <c r="B627" s="1">
        <v>43497</v>
      </c>
      <c r="C627">
        <v>2019</v>
      </c>
      <c r="D627" t="s">
        <v>102</v>
      </c>
      <c r="E627" t="s">
        <v>118</v>
      </c>
    </row>
    <row r="628" spans="1:5" x14ac:dyDescent="0.3">
      <c r="A628" s="1">
        <v>43513</v>
      </c>
      <c r="B628" s="1">
        <v>43497</v>
      </c>
      <c r="C628">
        <v>2019</v>
      </c>
      <c r="D628" t="s">
        <v>102</v>
      </c>
      <c r="E628" t="s">
        <v>118</v>
      </c>
    </row>
    <row r="629" spans="1:5" x14ac:dyDescent="0.3">
      <c r="A629" s="1">
        <v>43514</v>
      </c>
      <c r="B629" s="1">
        <v>43497</v>
      </c>
      <c r="C629">
        <v>2019</v>
      </c>
      <c r="D629" t="s">
        <v>102</v>
      </c>
      <c r="E629" t="s">
        <v>118</v>
      </c>
    </row>
    <row r="630" spans="1:5" x14ac:dyDescent="0.3">
      <c r="A630" s="1">
        <v>43515</v>
      </c>
      <c r="B630" s="1">
        <v>43497</v>
      </c>
      <c r="C630">
        <v>2019</v>
      </c>
      <c r="D630" t="s">
        <v>102</v>
      </c>
      <c r="E630" t="s">
        <v>118</v>
      </c>
    </row>
    <row r="631" spans="1:5" x14ac:dyDescent="0.3">
      <c r="A631" s="1">
        <v>43516</v>
      </c>
      <c r="B631" s="1">
        <v>43497</v>
      </c>
      <c r="C631">
        <v>2019</v>
      </c>
      <c r="D631" t="s">
        <v>102</v>
      </c>
      <c r="E631" t="s">
        <v>118</v>
      </c>
    </row>
    <row r="632" spans="1:5" x14ac:dyDescent="0.3">
      <c r="A632" s="1">
        <v>43517</v>
      </c>
      <c r="B632" s="1">
        <v>43497</v>
      </c>
      <c r="C632">
        <v>2019</v>
      </c>
      <c r="D632" t="s">
        <v>102</v>
      </c>
      <c r="E632" t="s">
        <v>118</v>
      </c>
    </row>
    <row r="633" spans="1:5" x14ac:dyDescent="0.3">
      <c r="A633" s="1">
        <v>43518</v>
      </c>
      <c r="B633" s="1">
        <v>43497</v>
      </c>
      <c r="C633">
        <v>2019</v>
      </c>
      <c r="D633" t="s">
        <v>102</v>
      </c>
      <c r="E633" t="s">
        <v>118</v>
      </c>
    </row>
    <row r="634" spans="1:5" x14ac:dyDescent="0.3">
      <c r="A634" s="1">
        <v>43519</v>
      </c>
      <c r="B634" s="1">
        <v>43497</v>
      </c>
      <c r="C634">
        <v>2019</v>
      </c>
      <c r="D634" t="s">
        <v>102</v>
      </c>
      <c r="E634" t="s">
        <v>118</v>
      </c>
    </row>
    <row r="635" spans="1:5" x14ac:dyDescent="0.3">
      <c r="A635" s="1">
        <v>43520</v>
      </c>
      <c r="B635" s="1">
        <v>43497</v>
      </c>
      <c r="C635">
        <v>2019</v>
      </c>
      <c r="D635" t="s">
        <v>102</v>
      </c>
      <c r="E635" t="s">
        <v>118</v>
      </c>
    </row>
    <row r="636" spans="1:5" x14ac:dyDescent="0.3">
      <c r="A636" s="1">
        <v>43521</v>
      </c>
      <c r="B636" s="1">
        <v>43497</v>
      </c>
      <c r="C636">
        <v>2019</v>
      </c>
      <c r="D636" t="s">
        <v>102</v>
      </c>
      <c r="E636" t="s">
        <v>118</v>
      </c>
    </row>
    <row r="637" spans="1:5" x14ac:dyDescent="0.3">
      <c r="A637" s="1">
        <v>43522</v>
      </c>
      <c r="B637" s="1">
        <v>43497</v>
      </c>
      <c r="C637">
        <v>2019</v>
      </c>
      <c r="D637" t="s">
        <v>102</v>
      </c>
      <c r="E637" t="s">
        <v>118</v>
      </c>
    </row>
    <row r="638" spans="1:5" x14ac:dyDescent="0.3">
      <c r="A638" s="1">
        <v>43523</v>
      </c>
      <c r="B638" s="1">
        <v>43497</v>
      </c>
      <c r="C638">
        <v>2019</v>
      </c>
      <c r="D638" t="s">
        <v>102</v>
      </c>
      <c r="E638" t="s">
        <v>118</v>
      </c>
    </row>
    <row r="639" spans="1:5" x14ac:dyDescent="0.3">
      <c r="A639" s="1">
        <v>43524</v>
      </c>
      <c r="B639" s="1">
        <v>43497</v>
      </c>
      <c r="C639">
        <v>2019</v>
      </c>
      <c r="D639" t="s">
        <v>102</v>
      </c>
      <c r="E639" t="s">
        <v>118</v>
      </c>
    </row>
    <row r="640" spans="1:5" x14ac:dyDescent="0.3">
      <c r="A640" s="1">
        <v>43525</v>
      </c>
      <c r="B640" s="1">
        <v>43525</v>
      </c>
      <c r="C640">
        <v>2019</v>
      </c>
      <c r="D640" t="s">
        <v>104</v>
      </c>
      <c r="E640" t="s">
        <v>119</v>
      </c>
    </row>
    <row r="641" spans="1:5" x14ac:dyDescent="0.3">
      <c r="A641" s="1">
        <v>43526</v>
      </c>
      <c r="B641" s="1">
        <v>43525</v>
      </c>
      <c r="C641">
        <v>2019</v>
      </c>
      <c r="D641" t="s">
        <v>104</v>
      </c>
      <c r="E641" t="s">
        <v>119</v>
      </c>
    </row>
    <row r="642" spans="1:5" x14ac:dyDescent="0.3">
      <c r="A642" s="1">
        <v>43527</v>
      </c>
      <c r="B642" s="1">
        <v>43525</v>
      </c>
      <c r="C642">
        <v>2019</v>
      </c>
      <c r="D642" t="s">
        <v>104</v>
      </c>
      <c r="E642" t="s">
        <v>119</v>
      </c>
    </row>
    <row r="643" spans="1:5" x14ac:dyDescent="0.3">
      <c r="A643" s="1">
        <v>43528</v>
      </c>
      <c r="B643" s="1">
        <v>43525</v>
      </c>
      <c r="C643">
        <v>2019</v>
      </c>
      <c r="D643" t="s">
        <v>104</v>
      </c>
      <c r="E643" t="s">
        <v>119</v>
      </c>
    </row>
    <row r="644" spans="1:5" x14ac:dyDescent="0.3">
      <c r="A644" s="1">
        <v>43529</v>
      </c>
      <c r="B644" s="1">
        <v>43525</v>
      </c>
      <c r="C644">
        <v>2019</v>
      </c>
      <c r="D644" t="s">
        <v>104</v>
      </c>
      <c r="E644" t="s">
        <v>119</v>
      </c>
    </row>
    <row r="645" spans="1:5" x14ac:dyDescent="0.3">
      <c r="A645" s="1">
        <v>43530</v>
      </c>
      <c r="B645" s="1">
        <v>43525</v>
      </c>
      <c r="C645">
        <v>2019</v>
      </c>
      <c r="D645" t="s">
        <v>104</v>
      </c>
      <c r="E645" t="s">
        <v>119</v>
      </c>
    </row>
    <row r="646" spans="1:5" x14ac:dyDescent="0.3">
      <c r="A646" s="1">
        <v>43531</v>
      </c>
      <c r="B646" s="1">
        <v>43525</v>
      </c>
      <c r="C646">
        <v>2019</v>
      </c>
      <c r="D646" t="s">
        <v>104</v>
      </c>
      <c r="E646" t="s">
        <v>119</v>
      </c>
    </row>
    <row r="647" spans="1:5" x14ac:dyDescent="0.3">
      <c r="A647" s="1">
        <v>43532</v>
      </c>
      <c r="B647" s="1">
        <v>43525</v>
      </c>
      <c r="C647">
        <v>2019</v>
      </c>
      <c r="D647" t="s">
        <v>104</v>
      </c>
      <c r="E647" t="s">
        <v>119</v>
      </c>
    </row>
    <row r="648" spans="1:5" x14ac:dyDescent="0.3">
      <c r="A648" s="1">
        <v>43533</v>
      </c>
      <c r="B648" s="1">
        <v>43525</v>
      </c>
      <c r="C648">
        <v>2019</v>
      </c>
      <c r="D648" t="s">
        <v>104</v>
      </c>
      <c r="E648" t="s">
        <v>119</v>
      </c>
    </row>
    <row r="649" spans="1:5" x14ac:dyDescent="0.3">
      <c r="A649" s="1">
        <v>43534</v>
      </c>
      <c r="B649" s="1">
        <v>43525</v>
      </c>
      <c r="C649">
        <v>2019</v>
      </c>
      <c r="D649" t="s">
        <v>104</v>
      </c>
      <c r="E649" t="s">
        <v>119</v>
      </c>
    </row>
    <row r="650" spans="1:5" x14ac:dyDescent="0.3">
      <c r="A650" s="1">
        <v>43535</v>
      </c>
      <c r="B650" s="1">
        <v>43525</v>
      </c>
      <c r="C650">
        <v>2019</v>
      </c>
      <c r="D650" t="s">
        <v>104</v>
      </c>
      <c r="E650" t="s">
        <v>119</v>
      </c>
    </row>
    <row r="651" spans="1:5" x14ac:dyDescent="0.3">
      <c r="A651" s="1">
        <v>43536</v>
      </c>
      <c r="B651" s="1">
        <v>43525</v>
      </c>
      <c r="C651">
        <v>2019</v>
      </c>
      <c r="D651" t="s">
        <v>104</v>
      </c>
      <c r="E651" t="s">
        <v>119</v>
      </c>
    </row>
    <row r="652" spans="1:5" x14ac:dyDescent="0.3">
      <c r="A652" s="1">
        <v>43537</v>
      </c>
      <c r="B652" s="1">
        <v>43525</v>
      </c>
      <c r="C652">
        <v>2019</v>
      </c>
      <c r="D652" t="s">
        <v>104</v>
      </c>
      <c r="E652" t="s">
        <v>119</v>
      </c>
    </row>
    <row r="653" spans="1:5" x14ac:dyDescent="0.3">
      <c r="A653" s="1">
        <v>43538</v>
      </c>
      <c r="B653" s="1">
        <v>43525</v>
      </c>
      <c r="C653">
        <v>2019</v>
      </c>
      <c r="D653" t="s">
        <v>104</v>
      </c>
      <c r="E653" t="s">
        <v>119</v>
      </c>
    </row>
    <row r="654" spans="1:5" x14ac:dyDescent="0.3">
      <c r="A654" s="1">
        <v>43539</v>
      </c>
      <c r="B654" s="1">
        <v>43525</v>
      </c>
      <c r="C654">
        <v>2019</v>
      </c>
      <c r="D654" t="s">
        <v>104</v>
      </c>
      <c r="E654" t="s">
        <v>119</v>
      </c>
    </row>
    <row r="655" spans="1:5" x14ac:dyDescent="0.3">
      <c r="A655" s="1">
        <v>43540</v>
      </c>
      <c r="B655" s="1">
        <v>43525</v>
      </c>
      <c r="C655">
        <v>2019</v>
      </c>
      <c r="D655" t="s">
        <v>104</v>
      </c>
      <c r="E655" t="s">
        <v>119</v>
      </c>
    </row>
    <row r="656" spans="1:5" x14ac:dyDescent="0.3">
      <c r="A656" s="1">
        <v>43541</v>
      </c>
      <c r="B656" s="1">
        <v>43525</v>
      </c>
      <c r="C656">
        <v>2019</v>
      </c>
      <c r="D656" t="s">
        <v>104</v>
      </c>
      <c r="E656" t="s">
        <v>119</v>
      </c>
    </row>
    <row r="657" spans="1:5" x14ac:dyDescent="0.3">
      <c r="A657" s="1">
        <v>43542</v>
      </c>
      <c r="B657" s="1">
        <v>43525</v>
      </c>
      <c r="C657">
        <v>2019</v>
      </c>
      <c r="D657" t="s">
        <v>104</v>
      </c>
      <c r="E657" t="s">
        <v>119</v>
      </c>
    </row>
    <row r="658" spans="1:5" x14ac:dyDescent="0.3">
      <c r="A658" s="1">
        <v>43543</v>
      </c>
      <c r="B658" s="1">
        <v>43525</v>
      </c>
      <c r="C658">
        <v>2019</v>
      </c>
      <c r="D658" t="s">
        <v>104</v>
      </c>
      <c r="E658" t="s">
        <v>119</v>
      </c>
    </row>
    <row r="659" spans="1:5" x14ac:dyDescent="0.3">
      <c r="A659" s="1">
        <v>43544</v>
      </c>
      <c r="B659" s="1">
        <v>43525</v>
      </c>
      <c r="C659">
        <v>2019</v>
      </c>
      <c r="D659" t="s">
        <v>104</v>
      </c>
      <c r="E659" t="s">
        <v>119</v>
      </c>
    </row>
    <row r="660" spans="1:5" x14ac:dyDescent="0.3">
      <c r="A660" s="1">
        <v>43545</v>
      </c>
      <c r="B660" s="1">
        <v>43525</v>
      </c>
      <c r="C660">
        <v>2019</v>
      </c>
      <c r="D660" t="s">
        <v>104</v>
      </c>
      <c r="E660" t="s">
        <v>119</v>
      </c>
    </row>
    <row r="661" spans="1:5" x14ac:dyDescent="0.3">
      <c r="A661" s="1">
        <v>43546</v>
      </c>
      <c r="B661" s="1">
        <v>43525</v>
      </c>
      <c r="C661">
        <v>2019</v>
      </c>
      <c r="D661" t="s">
        <v>104</v>
      </c>
      <c r="E661" t="s">
        <v>119</v>
      </c>
    </row>
    <row r="662" spans="1:5" x14ac:dyDescent="0.3">
      <c r="A662" s="1">
        <v>43547</v>
      </c>
      <c r="B662" s="1">
        <v>43525</v>
      </c>
      <c r="C662">
        <v>2019</v>
      </c>
      <c r="D662" t="s">
        <v>104</v>
      </c>
      <c r="E662" t="s">
        <v>119</v>
      </c>
    </row>
    <row r="663" spans="1:5" x14ac:dyDescent="0.3">
      <c r="A663" s="1">
        <v>43548</v>
      </c>
      <c r="B663" s="1">
        <v>43525</v>
      </c>
      <c r="C663">
        <v>2019</v>
      </c>
      <c r="D663" t="s">
        <v>104</v>
      </c>
      <c r="E663" t="s">
        <v>119</v>
      </c>
    </row>
    <row r="664" spans="1:5" x14ac:dyDescent="0.3">
      <c r="A664" s="1">
        <v>43549</v>
      </c>
      <c r="B664" s="1">
        <v>43525</v>
      </c>
      <c r="C664">
        <v>2019</v>
      </c>
      <c r="D664" t="s">
        <v>104</v>
      </c>
      <c r="E664" t="s">
        <v>119</v>
      </c>
    </row>
    <row r="665" spans="1:5" x14ac:dyDescent="0.3">
      <c r="A665" s="1">
        <v>43550</v>
      </c>
      <c r="B665" s="1">
        <v>43525</v>
      </c>
      <c r="C665">
        <v>2019</v>
      </c>
      <c r="D665" t="s">
        <v>104</v>
      </c>
      <c r="E665" t="s">
        <v>119</v>
      </c>
    </row>
    <row r="666" spans="1:5" x14ac:dyDescent="0.3">
      <c r="A666" s="1">
        <v>43551</v>
      </c>
      <c r="B666" s="1">
        <v>43525</v>
      </c>
      <c r="C666">
        <v>2019</v>
      </c>
      <c r="D666" t="s">
        <v>104</v>
      </c>
      <c r="E666" t="s">
        <v>119</v>
      </c>
    </row>
    <row r="667" spans="1:5" x14ac:dyDescent="0.3">
      <c r="A667" s="1">
        <v>43552</v>
      </c>
      <c r="B667" s="1">
        <v>43525</v>
      </c>
      <c r="C667">
        <v>2019</v>
      </c>
      <c r="D667" t="s">
        <v>104</v>
      </c>
      <c r="E667" t="s">
        <v>119</v>
      </c>
    </row>
    <row r="668" spans="1:5" x14ac:dyDescent="0.3">
      <c r="A668" s="1">
        <v>43553</v>
      </c>
      <c r="B668" s="1">
        <v>43525</v>
      </c>
      <c r="C668">
        <v>2019</v>
      </c>
      <c r="D668" t="s">
        <v>104</v>
      </c>
      <c r="E668" t="s">
        <v>119</v>
      </c>
    </row>
    <row r="669" spans="1:5" x14ac:dyDescent="0.3">
      <c r="A669" s="1">
        <v>43554</v>
      </c>
      <c r="B669" s="1">
        <v>43525</v>
      </c>
      <c r="C669">
        <v>2019</v>
      </c>
      <c r="D669" t="s">
        <v>104</v>
      </c>
      <c r="E669" t="s">
        <v>119</v>
      </c>
    </row>
    <row r="670" spans="1:5" x14ac:dyDescent="0.3">
      <c r="A670" s="1">
        <v>43555</v>
      </c>
      <c r="B670" s="1">
        <v>43525</v>
      </c>
      <c r="C670">
        <v>2019</v>
      </c>
      <c r="D670" t="s">
        <v>104</v>
      </c>
      <c r="E670" t="s">
        <v>119</v>
      </c>
    </row>
    <row r="671" spans="1:5" x14ac:dyDescent="0.3">
      <c r="A671" s="1">
        <v>43556</v>
      </c>
      <c r="B671" s="1">
        <v>43556</v>
      </c>
      <c r="C671">
        <v>2019</v>
      </c>
      <c r="D671" t="s">
        <v>106</v>
      </c>
      <c r="E671" t="s">
        <v>120</v>
      </c>
    </row>
    <row r="672" spans="1:5" x14ac:dyDescent="0.3">
      <c r="A672" s="1">
        <v>43557</v>
      </c>
      <c r="B672" s="1">
        <v>43556</v>
      </c>
      <c r="C672">
        <v>2019</v>
      </c>
      <c r="D672" t="s">
        <v>106</v>
      </c>
      <c r="E672" t="s">
        <v>120</v>
      </c>
    </row>
    <row r="673" spans="1:5" x14ac:dyDescent="0.3">
      <c r="A673" s="1">
        <v>43558</v>
      </c>
      <c r="B673" s="1">
        <v>43556</v>
      </c>
      <c r="C673">
        <v>2019</v>
      </c>
      <c r="D673" t="s">
        <v>106</v>
      </c>
      <c r="E673" t="s">
        <v>120</v>
      </c>
    </row>
    <row r="674" spans="1:5" x14ac:dyDescent="0.3">
      <c r="A674" s="1">
        <v>43559</v>
      </c>
      <c r="B674" s="1">
        <v>43556</v>
      </c>
      <c r="C674">
        <v>2019</v>
      </c>
      <c r="D674" t="s">
        <v>106</v>
      </c>
      <c r="E674" t="s">
        <v>120</v>
      </c>
    </row>
    <row r="675" spans="1:5" x14ac:dyDescent="0.3">
      <c r="A675" s="1">
        <v>43560</v>
      </c>
      <c r="B675" s="1">
        <v>43556</v>
      </c>
      <c r="C675">
        <v>2019</v>
      </c>
      <c r="D675" t="s">
        <v>106</v>
      </c>
      <c r="E675" t="s">
        <v>120</v>
      </c>
    </row>
    <row r="676" spans="1:5" x14ac:dyDescent="0.3">
      <c r="A676" s="1">
        <v>43561</v>
      </c>
      <c r="B676" s="1">
        <v>43556</v>
      </c>
      <c r="C676">
        <v>2019</v>
      </c>
      <c r="D676" t="s">
        <v>106</v>
      </c>
      <c r="E676" t="s">
        <v>120</v>
      </c>
    </row>
    <row r="677" spans="1:5" x14ac:dyDescent="0.3">
      <c r="A677" s="1">
        <v>43562</v>
      </c>
      <c r="B677" s="1">
        <v>43556</v>
      </c>
      <c r="C677">
        <v>2019</v>
      </c>
      <c r="D677" t="s">
        <v>106</v>
      </c>
      <c r="E677" t="s">
        <v>120</v>
      </c>
    </row>
    <row r="678" spans="1:5" x14ac:dyDescent="0.3">
      <c r="A678" s="1">
        <v>43563</v>
      </c>
      <c r="B678" s="1">
        <v>43556</v>
      </c>
      <c r="C678">
        <v>2019</v>
      </c>
      <c r="D678" t="s">
        <v>106</v>
      </c>
      <c r="E678" t="s">
        <v>120</v>
      </c>
    </row>
    <row r="679" spans="1:5" x14ac:dyDescent="0.3">
      <c r="A679" s="1">
        <v>43564</v>
      </c>
      <c r="B679" s="1">
        <v>43556</v>
      </c>
      <c r="C679">
        <v>2019</v>
      </c>
      <c r="D679" t="s">
        <v>106</v>
      </c>
      <c r="E679" t="s">
        <v>120</v>
      </c>
    </row>
    <row r="680" spans="1:5" x14ac:dyDescent="0.3">
      <c r="A680" s="1">
        <v>43565</v>
      </c>
      <c r="B680" s="1">
        <v>43556</v>
      </c>
      <c r="C680">
        <v>2019</v>
      </c>
      <c r="D680" t="s">
        <v>106</v>
      </c>
      <c r="E680" t="s">
        <v>120</v>
      </c>
    </row>
    <row r="681" spans="1:5" x14ac:dyDescent="0.3">
      <c r="A681" s="1">
        <v>43566</v>
      </c>
      <c r="B681" s="1">
        <v>43556</v>
      </c>
      <c r="C681">
        <v>2019</v>
      </c>
      <c r="D681" t="s">
        <v>106</v>
      </c>
      <c r="E681" t="s">
        <v>120</v>
      </c>
    </row>
    <row r="682" spans="1:5" x14ac:dyDescent="0.3">
      <c r="A682" s="1">
        <v>43567</v>
      </c>
      <c r="B682" s="1">
        <v>43556</v>
      </c>
      <c r="C682">
        <v>2019</v>
      </c>
      <c r="D682" t="s">
        <v>106</v>
      </c>
      <c r="E682" t="s">
        <v>120</v>
      </c>
    </row>
    <row r="683" spans="1:5" x14ac:dyDescent="0.3">
      <c r="A683" s="1">
        <v>43568</v>
      </c>
      <c r="B683" s="1">
        <v>43556</v>
      </c>
      <c r="C683">
        <v>2019</v>
      </c>
      <c r="D683" t="s">
        <v>106</v>
      </c>
      <c r="E683" t="s">
        <v>120</v>
      </c>
    </row>
    <row r="684" spans="1:5" x14ac:dyDescent="0.3">
      <c r="A684" s="1">
        <v>43569</v>
      </c>
      <c r="B684" s="1">
        <v>43556</v>
      </c>
      <c r="C684">
        <v>2019</v>
      </c>
      <c r="D684" t="s">
        <v>106</v>
      </c>
      <c r="E684" t="s">
        <v>120</v>
      </c>
    </row>
    <row r="685" spans="1:5" x14ac:dyDescent="0.3">
      <c r="A685" s="1">
        <v>43570</v>
      </c>
      <c r="B685" s="1">
        <v>43556</v>
      </c>
      <c r="C685">
        <v>2019</v>
      </c>
      <c r="D685" t="s">
        <v>106</v>
      </c>
      <c r="E685" t="s">
        <v>120</v>
      </c>
    </row>
    <row r="686" spans="1:5" x14ac:dyDescent="0.3">
      <c r="A686" s="1">
        <v>43571</v>
      </c>
      <c r="B686" s="1">
        <v>43556</v>
      </c>
      <c r="C686">
        <v>2019</v>
      </c>
      <c r="D686" t="s">
        <v>106</v>
      </c>
      <c r="E686" t="s">
        <v>120</v>
      </c>
    </row>
    <row r="687" spans="1:5" x14ac:dyDescent="0.3">
      <c r="A687" s="1">
        <v>43572</v>
      </c>
      <c r="B687" s="1">
        <v>43556</v>
      </c>
      <c r="C687">
        <v>2019</v>
      </c>
      <c r="D687" t="s">
        <v>106</v>
      </c>
      <c r="E687" t="s">
        <v>120</v>
      </c>
    </row>
    <row r="688" spans="1:5" x14ac:dyDescent="0.3">
      <c r="A688" s="1">
        <v>43573</v>
      </c>
      <c r="B688" s="1">
        <v>43556</v>
      </c>
      <c r="C688">
        <v>2019</v>
      </c>
      <c r="D688" t="s">
        <v>106</v>
      </c>
      <c r="E688" t="s">
        <v>120</v>
      </c>
    </row>
    <row r="689" spans="1:5" x14ac:dyDescent="0.3">
      <c r="A689" s="1">
        <v>43574</v>
      </c>
      <c r="B689" s="1">
        <v>43556</v>
      </c>
      <c r="C689">
        <v>2019</v>
      </c>
      <c r="D689" t="s">
        <v>106</v>
      </c>
      <c r="E689" t="s">
        <v>120</v>
      </c>
    </row>
    <row r="690" spans="1:5" x14ac:dyDescent="0.3">
      <c r="A690" s="1">
        <v>43575</v>
      </c>
      <c r="B690" s="1">
        <v>43556</v>
      </c>
      <c r="C690">
        <v>2019</v>
      </c>
      <c r="D690" t="s">
        <v>106</v>
      </c>
      <c r="E690" t="s">
        <v>120</v>
      </c>
    </row>
    <row r="691" spans="1:5" x14ac:dyDescent="0.3">
      <c r="A691" s="1">
        <v>43576</v>
      </c>
      <c r="B691" s="1">
        <v>43556</v>
      </c>
      <c r="C691">
        <v>2019</v>
      </c>
      <c r="D691" t="s">
        <v>106</v>
      </c>
      <c r="E691" t="s">
        <v>120</v>
      </c>
    </row>
    <row r="692" spans="1:5" x14ac:dyDescent="0.3">
      <c r="A692" s="1">
        <v>43577</v>
      </c>
      <c r="B692" s="1">
        <v>43556</v>
      </c>
      <c r="C692">
        <v>2019</v>
      </c>
      <c r="D692" t="s">
        <v>106</v>
      </c>
      <c r="E692" t="s">
        <v>120</v>
      </c>
    </row>
    <row r="693" spans="1:5" x14ac:dyDescent="0.3">
      <c r="A693" s="1">
        <v>43578</v>
      </c>
      <c r="B693" s="1">
        <v>43556</v>
      </c>
      <c r="C693">
        <v>2019</v>
      </c>
      <c r="D693" t="s">
        <v>106</v>
      </c>
      <c r="E693" t="s">
        <v>120</v>
      </c>
    </row>
    <row r="694" spans="1:5" x14ac:dyDescent="0.3">
      <c r="A694" s="1">
        <v>43579</v>
      </c>
      <c r="B694" s="1">
        <v>43556</v>
      </c>
      <c r="C694">
        <v>2019</v>
      </c>
      <c r="D694" t="s">
        <v>106</v>
      </c>
      <c r="E694" t="s">
        <v>120</v>
      </c>
    </row>
    <row r="695" spans="1:5" x14ac:dyDescent="0.3">
      <c r="A695" s="1">
        <v>43580</v>
      </c>
      <c r="B695" s="1">
        <v>43556</v>
      </c>
      <c r="C695">
        <v>2019</v>
      </c>
      <c r="D695" t="s">
        <v>106</v>
      </c>
      <c r="E695" t="s">
        <v>120</v>
      </c>
    </row>
    <row r="696" spans="1:5" x14ac:dyDescent="0.3">
      <c r="A696" s="1">
        <v>43581</v>
      </c>
      <c r="B696" s="1">
        <v>43556</v>
      </c>
      <c r="C696">
        <v>2019</v>
      </c>
      <c r="D696" t="s">
        <v>106</v>
      </c>
      <c r="E696" t="s">
        <v>120</v>
      </c>
    </row>
    <row r="697" spans="1:5" x14ac:dyDescent="0.3">
      <c r="A697" s="1">
        <v>43582</v>
      </c>
      <c r="B697" s="1">
        <v>43556</v>
      </c>
      <c r="C697">
        <v>2019</v>
      </c>
      <c r="D697" t="s">
        <v>106</v>
      </c>
      <c r="E697" t="s">
        <v>120</v>
      </c>
    </row>
    <row r="698" spans="1:5" x14ac:dyDescent="0.3">
      <c r="A698" s="1">
        <v>43583</v>
      </c>
      <c r="B698" s="1">
        <v>43556</v>
      </c>
      <c r="C698">
        <v>2019</v>
      </c>
      <c r="D698" t="s">
        <v>106</v>
      </c>
      <c r="E698" t="s">
        <v>120</v>
      </c>
    </row>
    <row r="699" spans="1:5" x14ac:dyDescent="0.3">
      <c r="A699" s="1">
        <v>43584</v>
      </c>
      <c r="B699" s="1">
        <v>43556</v>
      </c>
      <c r="C699">
        <v>2019</v>
      </c>
      <c r="D699" t="s">
        <v>106</v>
      </c>
      <c r="E699" t="s">
        <v>120</v>
      </c>
    </row>
    <row r="700" spans="1:5" x14ac:dyDescent="0.3">
      <c r="A700" s="1">
        <v>43585</v>
      </c>
      <c r="B700" s="1">
        <v>43556</v>
      </c>
      <c r="C700">
        <v>2019</v>
      </c>
      <c r="D700" t="s">
        <v>106</v>
      </c>
      <c r="E700" t="s">
        <v>120</v>
      </c>
    </row>
    <row r="701" spans="1:5" x14ac:dyDescent="0.3">
      <c r="A701" s="1">
        <v>43586</v>
      </c>
      <c r="B701" s="1">
        <v>43586</v>
      </c>
      <c r="C701">
        <v>2019</v>
      </c>
      <c r="D701" t="s">
        <v>108</v>
      </c>
      <c r="E701" t="s">
        <v>121</v>
      </c>
    </row>
    <row r="702" spans="1:5" x14ac:dyDescent="0.3">
      <c r="A702" s="1">
        <v>43587</v>
      </c>
      <c r="B702" s="1">
        <v>43586</v>
      </c>
      <c r="C702">
        <v>2019</v>
      </c>
      <c r="D702" t="s">
        <v>108</v>
      </c>
      <c r="E702" t="s">
        <v>121</v>
      </c>
    </row>
    <row r="703" spans="1:5" x14ac:dyDescent="0.3">
      <c r="A703" s="1">
        <v>43588</v>
      </c>
      <c r="B703" s="1">
        <v>43586</v>
      </c>
      <c r="C703">
        <v>2019</v>
      </c>
      <c r="D703" t="s">
        <v>108</v>
      </c>
      <c r="E703" t="s">
        <v>121</v>
      </c>
    </row>
    <row r="704" spans="1:5" x14ac:dyDescent="0.3">
      <c r="A704" s="1">
        <v>43589</v>
      </c>
      <c r="B704" s="1">
        <v>43586</v>
      </c>
      <c r="C704">
        <v>2019</v>
      </c>
      <c r="D704" t="s">
        <v>108</v>
      </c>
      <c r="E704" t="s">
        <v>121</v>
      </c>
    </row>
    <row r="705" spans="1:5" x14ac:dyDescent="0.3">
      <c r="A705" s="1">
        <v>43590</v>
      </c>
      <c r="B705" s="1">
        <v>43586</v>
      </c>
      <c r="C705">
        <v>2019</v>
      </c>
      <c r="D705" t="s">
        <v>108</v>
      </c>
      <c r="E705" t="s">
        <v>121</v>
      </c>
    </row>
    <row r="706" spans="1:5" x14ac:dyDescent="0.3">
      <c r="A706" s="1">
        <v>43591</v>
      </c>
      <c r="B706" s="1">
        <v>43586</v>
      </c>
      <c r="C706">
        <v>2019</v>
      </c>
      <c r="D706" t="s">
        <v>108</v>
      </c>
      <c r="E706" t="s">
        <v>121</v>
      </c>
    </row>
    <row r="707" spans="1:5" x14ac:dyDescent="0.3">
      <c r="A707" s="1">
        <v>43592</v>
      </c>
      <c r="B707" s="1">
        <v>43586</v>
      </c>
      <c r="C707">
        <v>2019</v>
      </c>
      <c r="D707" t="s">
        <v>108</v>
      </c>
      <c r="E707" t="s">
        <v>121</v>
      </c>
    </row>
    <row r="708" spans="1:5" x14ac:dyDescent="0.3">
      <c r="A708" s="1">
        <v>43593</v>
      </c>
      <c r="B708" s="1">
        <v>43586</v>
      </c>
      <c r="C708">
        <v>2019</v>
      </c>
      <c r="D708" t="s">
        <v>108</v>
      </c>
      <c r="E708" t="s">
        <v>121</v>
      </c>
    </row>
    <row r="709" spans="1:5" x14ac:dyDescent="0.3">
      <c r="A709" s="1">
        <v>43594</v>
      </c>
      <c r="B709" s="1">
        <v>43586</v>
      </c>
      <c r="C709">
        <v>2019</v>
      </c>
      <c r="D709" t="s">
        <v>108</v>
      </c>
      <c r="E709" t="s">
        <v>121</v>
      </c>
    </row>
    <row r="710" spans="1:5" x14ac:dyDescent="0.3">
      <c r="A710" s="1">
        <v>43595</v>
      </c>
      <c r="B710" s="1">
        <v>43586</v>
      </c>
      <c r="C710">
        <v>2019</v>
      </c>
      <c r="D710" t="s">
        <v>108</v>
      </c>
      <c r="E710" t="s">
        <v>121</v>
      </c>
    </row>
    <row r="711" spans="1:5" x14ac:dyDescent="0.3">
      <c r="A711" s="1">
        <v>43596</v>
      </c>
      <c r="B711" s="1">
        <v>43586</v>
      </c>
      <c r="C711">
        <v>2019</v>
      </c>
      <c r="D711" t="s">
        <v>108</v>
      </c>
      <c r="E711" t="s">
        <v>121</v>
      </c>
    </row>
    <row r="712" spans="1:5" x14ac:dyDescent="0.3">
      <c r="A712" s="1">
        <v>43597</v>
      </c>
      <c r="B712" s="1">
        <v>43586</v>
      </c>
      <c r="C712">
        <v>2019</v>
      </c>
      <c r="D712" t="s">
        <v>108</v>
      </c>
      <c r="E712" t="s">
        <v>121</v>
      </c>
    </row>
    <row r="713" spans="1:5" x14ac:dyDescent="0.3">
      <c r="A713" s="1">
        <v>43598</v>
      </c>
      <c r="B713" s="1">
        <v>43586</v>
      </c>
      <c r="C713">
        <v>2019</v>
      </c>
      <c r="D713" t="s">
        <v>108</v>
      </c>
      <c r="E713" t="s">
        <v>121</v>
      </c>
    </row>
    <row r="714" spans="1:5" x14ac:dyDescent="0.3">
      <c r="A714" s="1">
        <v>43599</v>
      </c>
      <c r="B714" s="1">
        <v>43586</v>
      </c>
      <c r="C714">
        <v>2019</v>
      </c>
      <c r="D714" t="s">
        <v>108</v>
      </c>
      <c r="E714" t="s">
        <v>121</v>
      </c>
    </row>
    <row r="715" spans="1:5" x14ac:dyDescent="0.3">
      <c r="A715" s="1">
        <v>43600</v>
      </c>
      <c r="B715" s="1">
        <v>43586</v>
      </c>
      <c r="C715">
        <v>2019</v>
      </c>
      <c r="D715" t="s">
        <v>108</v>
      </c>
      <c r="E715" t="s">
        <v>121</v>
      </c>
    </row>
    <row r="716" spans="1:5" x14ac:dyDescent="0.3">
      <c r="A716" s="1">
        <v>43601</v>
      </c>
      <c r="B716" s="1">
        <v>43586</v>
      </c>
      <c r="C716">
        <v>2019</v>
      </c>
      <c r="D716" t="s">
        <v>108</v>
      </c>
      <c r="E716" t="s">
        <v>121</v>
      </c>
    </row>
    <row r="717" spans="1:5" x14ac:dyDescent="0.3">
      <c r="A717" s="1">
        <v>43602</v>
      </c>
      <c r="B717" s="1">
        <v>43586</v>
      </c>
      <c r="C717">
        <v>2019</v>
      </c>
      <c r="D717" t="s">
        <v>108</v>
      </c>
      <c r="E717" t="s">
        <v>121</v>
      </c>
    </row>
    <row r="718" spans="1:5" x14ac:dyDescent="0.3">
      <c r="A718" s="1">
        <v>43603</v>
      </c>
      <c r="B718" s="1">
        <v>43586</v>
      </c>
      <c r="C718">
        <v>2019</v>
      </c>
      <c r="D718" t="s">
        <v>108</v>
      </c>
      <c r="E718" t="s">
        <v>121</v>
      </c>
    </row>
    <row r="719" spans="1:5" x14ac:dyDescent="0.3">
      <c r="A719" s="1">
        <v>43604</v>
      </c>
      <c r="B719" s="1">
        <v>43586</v>
      </c>
      <c r="C719">
        <v>2019</v>
      </c>
      <c r="D719" t="s">
        <v>108</v>
      </c>
      <c r="E719" t="s">
        <v>121</v>
      </c>
    </row>
    <row r="720" spans="1:5" x14ac:dyDescent="0.3">
      <c r="A720" s="1">
        <v>43605</v>
      </c>
      <c r="B720" s="1">
        <v>43586</v>
      </c>
      <c r="C720">
        <v>2019</v>
      </c>
      <c r="D720" t="s">
        <v>108</v>
      </c>
      <c r="E720" t="s">
        <v>121</v>
      </c>
    </row>
    <row r="721" spans="1:5" x14ac:dyDescent="0.3">
      <c r="A721" s="1">
        <v>43606</v>
      </c>
      <c r="B721" s="1">
        <v>43586</v>
      </c>
      <c r="C721">
        <v>2019</v>
      </c>
      <c r="D721" t="s">
        <v>108</v>
      </c>
      <c r="E721" t="s">
        <v>121</v>
      </c>
    </row>
    <row r="722" spans="1:5" x14ac:dyDescent="0.3">
      <c r="A722" s="1">
        <v>43607</v>
      </c>
      <c r="B722" s="1">
        <v>43586</v>
      </c>
      <c r="C722">
        <v>2019</v>
      </c>
      <c r="D722" t="s">
        <v>108</v>
      </c>
      <c r="E722" t="s">
        <v>121</v>
      </c>
    </row>
    <row r="723" spans="1:5" x14ac:dyDescent="0.3">
      <c r="A723" s="1">
        <v>43608</v>
      </c>
      <c r="B723" s="1">
        <v>43586</v>
      </c>
      <c r="C723">
        <v>2019</v>
      </c>
      <c r="D723" t="s">
        <v>108</v>
      </c>
      <c r="E723" t="s">
        <v>121</v>
      </c>
    </row>
    <row r="724" spans="1:5" x14ac:dyDescent="0.3">
      <c r="A724" s="1">
        <v>43609</v>
      </c>
      <c r="B724" s="1">
        <v>43586</v>
      </c>
      <c r="C724">
        <v>2019</v>
      </c>
      <c r="D724" t="s">
        <v>108</v>
      </c>
      <c r="E724" t="s">
        <v>121</v>
      </c>
    </row>
    <row r="725" spans="1:5" x14ac:dyDescent="0.3">
      <c r="A725" s="1">
        <v>43610</v>
      </c>
      <c r="B725" s="1">
        <v>43586</v>
      </c>
      <c r="C725">
        <v>2019</v>
      </c>
      <c r="D725" t="s">
        <v>108</v>
      </c>
      <c r="E725" t="s">
        <v>121</v>
      </c>
    </row>
    <row r="726" spans="1:5" x14ac:dyDescent="0.3">
      <c r="A726" s="1">
        <v>43611</v>
      </c>
      <c r="B726" s="1">
        <v>43586</v>
      </c>
      <c r="C726">
        <v>2019</v>
      </c>
      <c r="D726" t="s">
        <v>108</v>
      </c>
      <c r="E726" t="s">
        <v>121</v>
      </c>
    </row>
    <row r="727" spans="1:5" x14ac:dyDescent="0.3">
      <c r="A727" s="1">
        <v>43612</v>
      </c>
      <c r="B727" s="1">
        <v>43586</v>
      </c>
      <c r="C727">
        <v>2019</v>
      </c>
      <c r="D727" t="s">
        <v>108</v>
      </c>
      <c r="E727" t="s">
        <v>121</v>
      </c>
    </row>
    <row r="728" spans="1:5" x14ac:dyDescent="0.3">
      <c r="A728" s="1">
        <v>43613</v>
      </c>
      <c r="B728" s="1">
        <v>43586</v>
      </c>
      <c r="C728">
        <v>2019</v>
      </c>
      <c r="D728" t="s">
        <v>108</v>
      </c>
      <c r="E728" t="s">
        <v>121</v>
      </c>
    </row>
    <row r="729" spans="1:5" x14ac:dyDescent="0.3">
      <c r="A729" s="1">
        <v>43614</v>
      </c>
      <c r="B729" s="1">
        <v>43586</v>
      </c>
      <c r="C729">
        <v>2019</v>
      </c>
      <c r="D729" t="s">
        <v>108</v>
      </c>
      <c r="E729" t="s">
        <v>121</v>
      </c>
    </row>
    <row r="730" spans="1:5" x14ac:dyDescent="0.3">
      <c r="A730" s="1">
        <v>43615</v>
      </c>
      <c r="B730" s="1">
        <v>43586</v>
      </c>
      <c r="C730">
        <v>2019</v>
      </c>
      <c r="D730" t="s">
        <v>108</v>
      </c>
      <c r="E730" t="s">
        <v>121</v>
      </c>
    </row>
    <row r="731" spans="1:5" x14ac:dyDescent="0.3">
      <c r="A731" s="1">
        <v>43616</v>
      </c>
      <c r="B731" s="1">
        <v>43586</v>
      </c>
      <c r="C731">
        <v>2019</v>
      </c>
      <c r="D731" t="s">
        <v>108</v>
      </c>
      <c r="E731" t="s">
        <v>121</v>
      </c>
    </row>
    <row r="732" spans="1:5" x14ac:dyDescent="0.3">
      <c r="A732" s="1">
        <v>43617</v>
      </c>
      <c r="B732" s="1">
        <v>43617</v>
      </c>
      <c r="C732">
        <v>2019</v>
      </c>
      <c r="D732" t="s">
        <v>86</v>
      </c>
      <c r="E732" t="s">
        <v>122</v>
      </c>
    </row>
    <row r="733" spans="1:5" x14ac:dyDescent="0.3">
      <c r="A733" s="1">
        <v>43618</v>
      </c>
      <c r="B733" s="1">
        <v>43617</v>
      </c>
      <c r="C733">
        <v>2019</v>
      </c>
      <c r="D733" t="s">
        <v>86</v>
      </c>
      <c r="E733" t="s">
        <v>122</v>
      </c>
    </row>
    <row r="734" spans="1:5" x14ac:dyDescent="0.3">
      <c r="A734" s="1">
        <v>43619</v>
      </c>
      <c r="B734" s="1">
        <v>43617</v>
      </c>
      <c r="C734">
        <v>2019</v>
      </c>
      <c r="D734" t="s">
        <v>86</v>
      </c>
      <c r="E734" t="s">
        <v>122</v>
      </c>
    </row>
    <row r="735" spans="1:5" x14ac:dyDescent="0.3">
      <c r="A735" s="1">
        <v>43620</v>
      </c>
      <c r="B735" s="1">
        <v>43617</v>
      </c>
      <c r="C735">
        <v>2019</v>
      </c>
      <c r="D735" t="s">
        <v>86</v>
      </c>
      <c r="E735" t="s">
        <v>122</v>
      </c>
    </row>
    <row r="736" spans="1:5" x14ac:dyDescent="0.3">
      <c r="A736" s="1">
        <v>43621</v>
      </c>
      <c r="B736" s="1">
        <v>43617</v>
      </c>
      <c r="C736">
        <v>2019</v>
      </c>
      <c r="D736" t="s">
        <v>86</v>
      </c>
      <c r="E736" t="s">
        <v>122</v>
      </c>
    </row>
    <row r="737" spans="1:5" x14ac:dyDescent="0.3">
      <c r="A737" s="1">
        <v>43622</v>
      </c>
      <c r="B737" s="1">
        <v>43617</v>
      </c>
      <c r="C737">
        <v>2019</v>
      </c>
      <c r="D737" t="s">
        <v>86</v>
      </c>
      <c r="E737" t="s">
        <v>122</v>
      </c>
    </row>
    <row r="738" spans="1:5" x14ac:dyDescent="0.3">
      <c r="A738" s="1">
        <v>43623</v>
      </c>
      <c r="B738" s="1">
        <v>43617</v>
      </c>
      <c r="C738">
        <v>2019</v>
      </c>
      <c r="D738" t="s">
        <v>86</v>
      </c>
      <c r="E738" t="s">
        <v>122</v>
      </c>
    </row>
    <row r="739" spans="1:5" x14ac:dyDescent="0.3">
      <c r="A739" s="1">
        <v>43624</v>
      </c>
      <c r="B739" s="1">
        <v>43617</v>
      </c>
      <c r="C739">
        <v>2019</v>
      </c>
      <c r="D739" t="s">
        <v>86</v>
      </c>
      <c r="E739" t="s">
        <v>122</v>
      </c>
    </row>
    <row r="740" spans="1:5" x14ac:dyDescent="0.3">
      <c r="A740" s="1">
        <v>43625</v>
      </c>
      <c r="B740" s="1">
        <v>43617</v>
      </c>
      <c r="C740">
        <v>2019</v>
      </c>
      <c r="D740" t="s">
        <v>86</v>
      </c>
      <c r="E740" t="s">
        <v>122</v>
      </c>
    </row>
    <row r="741" spans="1:5" x14ac:dyDescent="0.3">
      <c r="A741" s="1">
        <v>43626</v>
      </c>
      <c r="B741" s="1">
        <v>43617</v>
      </c>
      <c r="C741">
        <v>2019</v>
      </c>
      <c r="D741" t="s">
        <v>86</v>
      </c>
      <c r="E741" t="s">
        <v>122</v>
      </c>
    </row>
    <row r="742" spans="1:5" x14ac:dyDescent="0.3">
      <c r="A742" s="1">
        <v>43627</v>
      </c>
      <c r="B742" s="1">
        <v>43617</v>
      </c>
      <c r="C742">
        <v>2019</v>
      </c>
      <c r="D742" t="s">
        <v>86</v>
      </c>
      <c r="E742" t="s">
        <v>122</v>
      </c>
    </row>
    <row r="743" spans="1:5" x14ac:dyDescent="0.3">
      <c r="A743" s="1">
        <v>43628</v>
      </c>
      <c r="B743" s="1">
        <v>43617</v>
      </c>
      <c r="C743">
        <v>2019</v>
      </c>
      <c r="D743" t="s">
        <v>86</v>
      </c>
      <c r="E743" t="s">
        <v>122</v>
      </c>
    </row>
    <row r="744" spans="1:5" x14ac:dyDescent="0.3">
      <c r="A744" s="1">
        <v>43629</v>
      </c>
      <c r="B744" s="1">
        <v>43617</v>
      </c>
      <c r="C744">
        <v>2019</v>
      </c>
      <c r="D744" t="s">
        <v>86</v>
      </c>
      <c r="E744" t="s">
        <v>122</v>
      </c>
    </row>
    <row r="745" spans="1:5" x14ac:dyDescent="0.3">
      <c r="A745" s="1">
        <v>43630</v>
      </c>
      <c r="B745" s="1">
        <v>43617</v>
      </c>
      <c r="C745">
        <v>2019</v>
      </c>
      <c r="D745" t="s">
        <v>86</v>
      </c>
      <c r="E745" t="s">
        <v>122</v>
      </c>
    </row>
    <row r="746" spans="1:5" x14ac:dyDescent="0.3">
      <c r="A746" s="1">
        <v>43631</v>
      </c>
      <c r="B746" s="1">
        <v>43617</v>
      </c>
      <c r="C746">
        <v>2019</v>
      </c>
      <c r="D746" t="s">
        <v>86</v>
      </c>
      <c r="E746" t="s">
        <v>122</v>
      </c>
    </row>
    <row r="747" spans="1:5" x14ac:dyDescent="0.3">
      <c r="A747" s="1">
        <v>43632</v>
      </c>
      <c r="B747" s="1">
        <v>43617</v>
      </c>
      <c r="C747">
        <v>2019</v>
      </c>
      <c r="D747" t="s">
        <v>86</v>
      </c>
      <c r="E747" t="s">
        <v>122</v>
      </c>
    </row>
    <row r="748" spans="1:5" x14ac:dyDescent="0.3">
      <c r="A748" s="1">
        <v>43633</v>
      </c>
      <c r="B748" s="1">
        <v>43617</v>
      </c>
      <c r="C748">
        <v>2019</v>
      </c>
      <c r="D748" t="s">
        <v>86</v>
      </c>
      <c r="E748" t="s">
        <v>122</v>
      </c>
    </row>
    <row r="749" spans="1:5" x14ac:dyDescent="0.3">
      <c r="A749" s="1">
        <v>43634</v>
      </c>
      <c r="B749" s="1">
        <v>43617</v>
      </c>
      <c r="C749">
        <v>2019</v>
      </c>
      <c r="D749" t="s">
        <v>86</v>
      </c>
      <c r="E749" t="s">
        <v>122</v>
      </c>
    </row>
    <row r="750" spans="1:5" x14ac:dyDescent="0.3">
      <c r="A750" s="1">
        <v>43635</v>
      </c>
      <c r="B750" s="1">
        <v>43617</v>
      </c>
      <c r="C750">
        <v>2019</v>
      </c>
      <c r="D750" t="s">
        <v>86</v>
      </c>
      <c r="E750" t="s">
        <v>122</v>
      </c>
    </row>
    <row r="751" spans="1:5" x14ac:dyDescent="0.3">
      <c r="A751" s="1">
        <v>43636</v>
      </c>
      <c r="B751" s="1">
        <v>43617</v>
      </c>
      <c r="C751">
        <v>2019</v>
      </c>
      <c r="D751" t="s">
        <v>86</v>
      </c>
      <c r="E751" t="s">
        <v>122</v>
      </c>
    </row>
    <row r="752" spans="1:5" x14ac:dyDescent="0.3">
      <c r="A752" s="1">
        <v>43637</v>
      </c>
      <c r="B752" s="1">
        <v>43617</v>
      </c>
      <c r="C752">
        <v>2019</v>
      </c>
      <c r="D752" t="s">
        <v>86</v>
      </c>
      <c r="E752" t="s">
        <v>122</v>
      </c>
    </row>
    <row r="753" spans="1:5" x14ac:dyDescent="0.3">
      <c r="A753" s="1">
        <v>43638</v>
      </c>
      <c r="B753" s="1">
        <v>43617</v>
      </c>
      <c r="C753">
        <v>2019</v>
      </c>
      <c r="D753" t="s">
        <v>86</v>
      </c>
      <c r="E753" t="s">
        <v>122</v>
      </c>
    </row>
    <row r="754" spans="1:5" x14ac:dyDescent="0.3">
      <c r="A754" s="1">
        <v>43639</v>
      </c>
      <c r="B754" s="1">
        <v>43617</v>
      </c>
      <c r="C754">
        <v>2019</v>
      </c>
      <c r="D754" t="s">
        <v>86</v>
      </c>
      <c r="E754" t="s">
        <v>122</v>
      </c>
    </row>
    <row r="755" spans="1:5" x14ac:dyDescent="0.3">
      <c r="A755" s="1">
        <v>43640</v>
      </c>
      <c r="B755" s="1">
        <v>43617</v>
      </c>
      <c r="C755">
        <v>2019</v>
      </c>
      <c r="D755" t="s">
        <v>86</v>
      </c>
      <c r="E755" t="s">
        <v>122</v>
      </c>
    </row>
    <row r="756" spans="1:5" x14ac:dyDescent="0.3">
      <c r="A756" s="1">
        <v>43641</v>
      </c>
      <c r="B756" s="1">
        <v>43617</v>
      </c>
      <c r="C756">
        <v>2019</v>
      </c>
      <c r="D756" t="s">
        <v>86</v>
      </c>
      <c r="E756" t="s">
        <v>122</v>
      </c>
    </row>
    <row r="757" spans="1:5" x14ac:dyDescent="0.3">
      <c r="A757" s="1">
        <v>43642</v>
      </c>
      <c r="B757" s="1">
        <v>43617</v>
      </c>
      <c r="C757">
        <v>2019</v>
      </c>
      <c r="D757" t="s">
        <v>86</v>
      </c>
      <c r="E757" t="s">
        <v>122</v>
      </c>
    </row>
    <row r="758" spans="1:5" x14ac:dyDescent="0.3">
      <c r="A758" s="1">
        <v>43643</v>
      </c>
      <c r="B758" s="1">
        <v>43617</v>
      </c>
      <c r="C758">
        <v>2019</v>
      </c>
      <c r="D758" t="s">
        <v>86</v>
      </c>
      <c r="E758" t="s">
        <v>122</v>
      </c>
    </row>
    <row r="759" spans="1:5" x14ac:dyDescent="0.3">
      <c r="A759" s="1">
        <v>43644</v>
      </c>
      <c r="B759" s="1">
        <v>43617</v>
      </c>
      <c r="C759">
        <v>2019</v>
      </c>
      <c r="D759" t="s">
        <v>86</v>
      </c>
      <c r="E759" t="s">
        <v>122</v>
      </c>
    </row>
    <row r="760" spans="1:5" x14ac:dyDescent="0.3">
      <c r="A760" s="1">
        <v>43645</v>
      </c>
      <c r="B760" s="1">
        <v>43617</v>
      </c>
      <c r="C760">
        <v>2019</v>
      </c>
      <c r="D760" t="s">
        <v>86</v>
      </c>
      <c r="E760" t="s">
        <v>122</v>
      </c>
    </row>
    <row r="761" spans="1:5" x14ac:dyDescent="0.3">
      <c r="A761" s="1">
        <v>43646</v>
      </c>
      <c r="B761" s="1">
        <v>43617</v>
      </c>
      <c r="C761">
        <v>2019</v>
      </c>
      <c r="D761" t="s">
        <v>86</v>
      </c>
      <c r="E761" t="s">
        <v>122</v>
      </c>
    </row>
    <row r="762" spans="1:5" x14ac:dyDescent="0.3">
      <c r="A762" s="1">
        <v>43647</v>
      </c>
      <c r="B762" s="1">
        <v>43647</v>
      </c>
      <c r="C762">
        <v>2019</v>
      </c>
      <c r="D762" t="s">
        <v>88</v>
      </c>
      <c r="E762" t="s">
        <v>123</v>
      </c>
    </row>
    <row r="763" spans="1:5" x14ac:dyDescent="0.3">
      <c r="A763" s="1">
        <v>43648</v>
      </c>
      <c r="B763" s="1">
        <v>43647</v>
      </c>
      <c r="C763">
        <v>2019</v>
      </c>
      <c r="D763" t="s">
        <v>88</v>
      </c>
      <c r="E763" t="s">
        <v>123</v>
      </c>
    </row>
    <row r="764" spans="1:5" x14ac:dyDescent="0.3">
      <c r="A764" s="1">
        <v>43649</v>
      </c>
      <c r="B764" s="1">
        <v>43647</v>
      </c>
      <c r="C764">
        <v>2019</v>
      </c>
      <c r="D764" t="s">
        <v>88</v>
      </c>
      <c r="E764" t="s">
        <v>123</v>
      </c>
    </row>
    <row r="765" spans="1:5" x14ac:dyDescent="0.3">
      <c r="A765" s="1">
        <v>43650</v>
      </c>
      <c r="B765" s="1">
        <v>43647</v>
      </c>
      <c r="C765">
        <v>2019</v>
      </c>
      <c r="D765" t="s">
        <v>88</v>
      </c>
      <c r="E765" t="s">
        <v>123</v>
      </c>
    </row>
    <row r="766" spans="1:5" x14ac:dyDescent="0.3">
      <c r="A766" s="1">
        <v>43651</v>
      </c>
      <c r="B766" s="1">
        <v>43647</v>
      </c>
      <c r="C766">
        <v>2019</v>
      </c>
      <c r="D766" t="s">
        <v>88</v>
      </c>
      <c r="E766" t="s">
        <v>123</v>
      </c>
    </row>
    <row r="767" spans="1:5" x14ac:dyDescent="0.3">
      <c r="A767" s="1">
        <v>43652</v>
      </c>
      <c r="B767" s="1">
        <v>43647</v>
      </c>
      <c r="C767">
        <v>2019</v>
      </c>
      <c r="D767" t="s">
        <v>88</v>
      </c>
      <c r="E767" t="s">
        <v>123</v>
      </c>
    </row>
    <row r="768" spans="1:5" x14ac:dyDescent="0.3">
      <c r="A768" s="1">
        <v>43653</v>
      </c>
      <c r="B768" s="1">
        <v>43647</v>
      </c>
      <c r="C768">
        <v>2019</v>
      </c>
      <c r="D768" t="s">
        <v>88</v>
      </c>
      <c r="E768" t="s">
        <v>123</v>
      </c>
    </row>
    <row r="769" spans="1:5" x14ac:dyDescent="0.3">
      <c r="A769" s="1">
        <v>43654</v>
      </c>
      <c r="B769" s="1">
        <v>43647</v>
      </c>
      <c r="C769">
        <v>2019</v>
      </c>
      <c r="D769" t="s">
        <v>88</v>
      </c>
      <c r="E769" t="s">
        <v>123</v>
      </c>
    </row>
    <row r="770" spans="1:5" x14ac:dyDescent="0.3">
      <c r="A770" s="1">
        <v>43655</v>
      </c>
      <c r="B770" s="1">
        <v>43647</v>
      </c>
      <c r="C770">
        <v>2019</v>
      </c>
      <c r="D770" t="s">
        <v>88</v>
      </c>
      <c r="E770" t="s">
        <v>123</v>
      </c>
    </row>
    <row r="771" spans="1:5" x14ac:dyDescent="0.3">
      <c r="A771" s="1">
        <v>43656</v>
      </c>
      <c r="B771" s="1">
        <v>43647</v>
      </c>
      <c r="C771">
        <v>2019</v>
      </c>
      <c r="D771" t="s">
        <v>88</v>
      </c>
      <c r="E771" t="s">
        <v>123</v>
      </c>
    </row>
    <row r="772" spans="1:5" x14ac:dyDescent="0.3">
      <c r="A772" s="1">
        <v>43657</v>
      </c>
      <c r="B772" s="1">
        <v>43647</v>
      </c>
      <c r="C772">
        <v>2019</v>
      </c>
      <c r="D772" t="s">
        <v>88</v>
      </c>
      <c r="E772" t="s">
        <v>123</v>
      </c>
    </row>
    <row r="773" spans="1:5" x14ac:dyDescent="0.3">
      <c r="A773" s="1">
        <v>43658</v>
      </c>
      <c r="B773" s="1">
        <v>43647</v>
      </c>
      <c r="C773">
        <v>2019</v>
      </c>
      <c r="D773" t="s">
        <v>88</v>
      </c>
      <c r="E773" t="s">
        <v>123</v>
      </c>
    </row>
    <row r="774" spans="1:5" x14ac:dyDescent="0.3">
      <c r="A774" s="1">
        <v>43659</v>
      </c>
      <c r="B774" s="1">
        <v>43647</v>
      </c>
      <c r="C774">
        <v>2019</v>
      </c>
      <c r="D774" t="s">
        <v>88</v>
      </c>
      <c r="E774" t="s">
        <v>123</v>
      </c>
    </row>
    <row r="775" spans="1:5" x14ac:dyDescent="0.3">
      <c r="A775" s="1">
        <v>43660</v>
      </c>
      <c r="B775" s="1">
        <v>43647</v>
      </c>
      <c r="C775">
        <v>2019</v>
      </c>
      <c r="D775" t="s">
        <v>88</v>
      </c>
      <c r="E775" t="s">
        <v>123</v>
      </c>
    </row>
    <row r="776" spans="1:5" x14ac:dyDescent="0.3">
      <c r="A776" s="1">
        <v>43661</v>
      </c>
      <c r="B776" s="1">
        <v>43647</v>
      </c>
      <c r="C776">
        <v>2019</v>
      </c>
      <c r="D776" t="s">
        <v>88</v>
      </c>
      <c r="E776" t="s">
        <v>123</v>
      </c>
    </row>
    <row r="777" spans="1:5" x14ac:dyDescent="0.3">
      <c r="A777" s="1">
        <v>43662</v>
      </c>
      <c r="B777" s="1">
        <v>43647</v>
      </c>
      <c r="C777">
        <v>2019</v>
      </c>
      <c r="D777" t="s">
        <v>88</v>
      </c>
      <c r="E777" t="s">
        <v>123</v>
      </c>
    </row>
    <row r="778" spans="1:5" x14ac:dyDescent="0.3">
      <c r="A778" s="1">
        <v>43663</v>
      </c>
      <c r="B778" s="1">
        <v>43647</v>
      </c>
      <c r="C778">
        <v>2019</v>
      </c>
      <c r="D778" t="s">
        <v>88</v>
      </c>
      <c r="E778" t="s">
        <v>123</v>
      </c>
    </row>
    <row r="779" spans="1:5" x14ac:dyDescent="0.3">
      <c r="A779" s="1">
        <v>43664</v>
      </c>
      <c r="B779" s="1">
        <v>43647</v>
      </c>
      <c r="C779">
        <v>2019</v>
      </c>
      <c r="D779" t="s">
        <v>88</v>
      </c>
      <c r="E779" t="s">
        <v>123</v>
      </c>
    </row>
    <row r="780" spans="1:5" x14ac:dyDescent="0.3">
      <c r="A780" s="1">
        <v>43665</v>
      </c>
      <c r="B780" s="1">
        <v>43647</v>
      </c>
      <c r="C780">
        <v>2019</v>
      </c>
      <c r="D780" t="s">
        <v>88</v>
      </c>
      <c r="E780" t="s">
        <v>123</v>
      </c>
    </row>
    <row r="781" spans="1:5" x14ac:dyDescent="0.3">
      <c r="A781" s="1">
        <v>43666</v>
      </c>
      <c r="B781" s="1">
        <v>43647</v>
      </c>
      <c r="C781">
        <v>2019</v>
      </c>
      <c r="D781" t="s">
        <v>88</v>
      </c>
      <c r="E781" t="s">
        <v>123</v>
      </c>
    </row>
    <row r="782" spans="1:5" x14ac:dyDescent="0.3">
      <c r="A782" s="1">
        <v>43667</v>
      </c>
      <c r="B782" s="1">
        <v>43647</v>
      </c>
      <c r="C782">
        <v>2019</v>
      </c>
      <c r="D782" t="s">
        <v>88</v>
      </c>
      <c r="E782" t="s">
        <v>123</v>
      </c>
    </row>
    <row r="783" spans="1:5" x14ac:dyDescent="0.3">
      <c r="A783" s="1">
        <v>43668</v>
      </c>
      <c r="B783" s="1">
        <v>43647</v>
      </c>
      <c r="C783">
        <v>2019</v>
      </c>
      <c r="D783" t="s">
        <v>88</v>
      </c>
      <c r="E783" t="s">
        <v>123</v>
      </c>
    </row>
    <row r="784" spans="1:5" x14ac:dyDescent="0.3">
      <c r="A784" s="1">
        <v>43669</v>
      </c>
      <c r="B784" s="1">
        <v>43647</v>
      </c>
      <c r="C784">
        <v>2019</v>
      </c>
      <c r="D784" t="s">
        <v>88</v>
      </c>
      <c r="E784" t="s">
        <v>123</v>
      </c>
    </row>
    <row r="785" spans="1:5" x14ac:dyDescent="0.3">
      <c r="A785" s="1">
        <v>43670</v>
      </c>
      <c r="B785" s="1">
        <v>43647</v>
      </c>
      <c r="C785">
        <v>2019</v>
      </c>
      <c r="D785" t="s">
        <v>88</v>
      </c>
      <c r="E785" t="s">
        <v>123</v>
      </c>
    </row>
    <row r="786" spans="1:5" x14ac:dyDescent="0.3">
      <c r="A786" s="1">
        <v>43671</v>
      </c>
      <c r="B786" s="1">
        <v>43647</v>
      </c>
      <c r="C786">
        <v>2019</v>
      </c>
      <c r="D786" t="s">
        <v>88</v>
      </c>
      <c r="E786" t="s">
        <v>123</v>
      </c>
    </row>
    <row r="787" spans="1:5" x14ac:dyDescent="0.3">
      <c r="A787" s="1">
        <v>43672</v>
      </c>
      <c r="B787" s="1">
        <v>43647</v>
      </c>
      <c r="C787">
        <v>2019</v>
      </c>
      <c r="D787" t="s">
        <v>88</v>
      </c>
      <c r="E787" t="s">
        <v>123</v>
      </c>
    </row>
    <row r="788" spans="1:5" x14ac:dyDescent="0.3">
      <c r="A788" s="1">
        <v>43673</v>
      </c>
      <c r="B788" s="1">
        <v>43647</v>
      </c>
      <c r="C788">
        <v>2019</v>
      </c>
      <c r="D788" t="s">
        <v>88</v>
      </c>
      <c r="E788" t="s">
        <v>123</v>
      </c>
    </row>
    <row r="789" spans="1:5" x14ac:dyDescent="0.3">
      <c r="A789" s="1">
        <v>43674</v>
      </c>
      <c r="B789" s="1">
        <v>43647</v>
      </c>
      <c r="C789">
        <v>2019</v>
      </c>
      <c r="D789" t="s">
        <v>88</v>
      </c>
      <c r="E789" t="s">
        <v>123</v>
      </c>
    </row>
    <row r="790" spans="1:5" x14ac:dyDescent="0.3">
      <c r="A790" s="1">
        <v>43675</v>
      </c>
      <c r="B790" s="1">
        <v>43647</v>
      </c>
      <c r="C790">
        <v>2019</v>
      </c>
      <c r="D790" t="s">
        <v>88</v>
      </c>
      <c r="E790" t="s">
        <v>123</v>
      </c>
    </row>
    <row r="791" spans="1:5" x14ac:dyDescent="0.3">
      <c r="A791" s="1">
        <v>43676</v>
      </c>
      <c r="B791" s="1">
        <v>43647</v>
      </c>
      <c r="C791">
        <v>2019</v>
      </c>
      <c r="D791" t="s">
        <v>88</v>
      </c>
      <c r="E791" t="s">
        <v>123</v>
      </c>
    </row>
    <row r="792" spans="1:5" x14ac:dyDescent="0.3">
      <c r="A792" s="1">
        <v>43677</v>
      </c>
      <c r="B792" s="1">
        <v>43647</v>
      </c>
      <c r="C792">
        <v>2019</v>
      </c>
      <c r="D792" t="s">
        <v>88</v>
      </c>
      <c r="E792" t="s">
        <v>123</v>
      </c>
    </row>
    <row r="793" spans="1:5" x14ac:dyDescent="0.3">
      <c r="A793" s="1">
        <v>43678</v>
      </c>
      <c r="B793" s="1">
        <v>43678</v>
      </c>
      <c r="C793">
        <v>2019</v>
      </c>
      <c r="D793" t="s">
        <v>90</v>
      </c>
      <c r="E793" t="s">
        <v>124</v>
      </c>
    </row>
    <row r="794" spans="1:5" x14ac:dyDescent="0.3">
      <c r="A794" s="1">
        <v>43679</v>
      </c>
      <c r="B794" s="1">
        <v>43678</v>
      </c>
      <c r="C794">
        <v>2019</v>
      </c>
      <c r="D794" t="s">
        <v>90</v>
      </c>
      <c r="E794" t="s">
        <v>124</v>
      </c>
    </row>
    <row r="795" spans="1:5" x14ac:dyDescent="0.3">
      <c r="A795" s="1">
        <v>43680</v>
      </c>
      <c r="B795" s="1">
        <v>43678</v>
      </c>
      <c r="C795">
        <v>2019</v>
      </c>
      <c r="D795" t="s">
        <v>90</v>
      </c>
      <c r="E795" t="s">
        <v>124</v>
      </c>
    </row>
    <row r="796" spans="1:5" x14ac:dyDescent="0.3">
      <c r="A796" s="1">
        <v>43681</v>
      </c>
      <c r="B796" s="1">
        <v>43678</v>
      </c>
      <c r="C796">
        <v>2019</v>
      </c>
      <c r="D796" t="s">
        <v>90</v>
      </c>
      <c r="E796" t="s">
        <v>124</v>
      </c>
    </row>
    <row r="797" spans="1:5" x14ac:dyDescent="0.3">
      <c r="A797" s="1">
        <v>43682</v>
      </c>
      <c r="B797" s="1">
        <v>43678</v>
      </c>
      <c r="C797">
        <v>2019</v>
      </c>
      <c r="D797" t="s">
        <v>90</v>
      </c>
      <c r="E797" t="s">
        <v>124</v>
      </c>
    </row>
    <row r="798" spans="1:5" x14ac:dyDescent="0.3">
      <c r="A798" s="1">
        <v>43683</v>
      </c>
      <c r="B798" s="1">
        <v>43678</v>
      </c>
      <c r="C798">
        <v>2019</v>
      </c>
      <c r="D798" t="s">
        <v>90</v>
      </c>
      <c r="E798" t="s">
        <v>124</v>
      </c>
    </row>
    <row r="799" spans="1:5" x14ac:dyDescent="0.3">
      <c r="A799" s="1">
        <v>43684</v>
      </c>
      <c r="B799" s="1">
        <v>43678</v>
      </c>
      <c r="C799">
        <v>2019</v>
      </c>
      <c r="D799" t="s">
        <v>90</v>
      </c>
      <c r="E799" t="s">
        <v>124</v>
      </c>
    </row>
    <row r="800" spans="1:5" x14ac:dyDescent="0.3">
      <c r="A800" s="1">
        <v>43685</v>
      </c>
      <c r="B800" s="1">
        <v>43678</v>
      </c>
      <c r="C800">
        <v>2019</v>
      </c>
      <c r="D800" t="s">
        <v>90</v>
      </c>
      <c r="E800" t="s">
        <v>124</v>
      </c>
    </row>
    <row r="801" spans="1:5" x14ac:dyDescent="0.3">
      <c r="A801" s="1">
        <v>43686</v>
      </c>
      <c r="B801" s="1">
        <v>43678</v>
      </c>
      <c r="C801">
        <v>2019</v>
      </c>
      <c r="D801" t="s">
        <v>90</v>
      </c>
      <c r="E801" t="s">
        <v>124</v>
      </c>
    </row>
    <row r="802" spans="1:5" x14ac:dyDescent="0.3">
      <c r="A802" s="1">
        <v>43687</v>
      </c>
      <c r="B802" s="1">
        <v>43678</v>
      </c>
      <c r="C802">
        <v>2019</v>
      </c>
      <c r="D802" t="s">
        <v>90</v>
      </c>
      <c r="E802" t="s">
        <v>124</v>
      </c>
    </row>
    <row r="803" spans="1:5" x14ac:dyDescent="0.3">
      <c r="A803" s="1">
        <v>43688</v>
      </c>
      <c r="B803" s="1">
        <v>43678</v>
      </c>
      <c r="C803">
        <v>2019</v>
      </c>
      <c r="D803" t="s">
        <v>90</v>
      </c>
      <c r="E803" t="s">
        <v>124</v>
      </c>
    </row>
    <row r="804" spans="1:5" x14ac:dyDescent="0.3">
      <c r="A804" s="1">
        <v>43689</v>
      </c>
      <c r="B804" s="1">
        <v>43678</v>
      </c>
      <c r="C804">
        <v>2019</v>
      </c>
      <c r="D804" t="s">
        <v>90</v>
      </c>
      <c r="E804" t="s">
        <v>124</v>
      </c>
    </row>
    <row r="805" spans="1:5" x14ac:dyDescent="0.3">
      <c r="A805" s="1">
        <v>43690</v>
      </c>
      <c r="B805" s="1">
        <v>43678</v>
      </c>
      <c r="C805">
        <v>2019</v>
      </c>
      <c r="D805" t="s">
        <v>90</v>
      </c>
      <c r="E805" t="s">
        <v>124</v>
      </c>
    </row>
    <row r="806" spans="1:5" x14ac:dyDescent="0.3">
      <c r="A806" s="1">
        <v>43691</v>
      </c>
      <c r="B806" s="1">
        <v>43678</v>
      </c>
      <c r="C806">
        <v>2019</v>
      </c>
      <c r="D806" t="s">
        <v>90</v>
      </c>
      <c r="E806" t="s">
        <v>124</v>
      </c>
    </row>
    <row r="807" spans="1:5" x14ac:dyDescent="0.3">
      <c r="A807" s="1">
        <v>43692</v>
      </c>
      <c r="B807" s="1">
        <v>43678</v>
      </c>
      <c r="C807">
        <v>2019</v>
      </c>
      <c r="D807" t="s">
        <v>90</v>
      </c>
      <c r="E807" t="s">
        <v>124</v>
      </c>
    </row>
    <row r="808" spans="1:5" x14ac:dyDescent="0.3">
      <c r="A808" s="1">
        <v>43693</v>
      </c>
      <c r="B808" s="1">
        <v>43678</v>
      </c>
      <c r="C808">
        <v>2019</v>
      </c>
      <c r="D808" t="s">
        <v>90</v>
      </c>
      <c r="E808" t="s">
        <v>124</v>
      </c>
    </row>
    <row r="809" spans="1:5" x14ac:dyDescent="0.3">
      <c r="A809" s="1">
        <v>43694</v>
      </c>
      <c r="B809" s="1">
        <v>43678</v>
      </c>
      <c r="C809">
        <v>2019</v>
      </c>
      <c r="D809" t="s">
        <v>90</v>
      </c>
      <c r="E809" t="s">
        <v>124</v>
      </c>
    </row>
    <row r="810" spans="1:5" x14ac:dyDescent="0.3">
      <c r="A810" s="1">
        <v>43695</v>
      </c>
      <c r="B810" s="1">
        <v>43678</v>
      </c>
      <c r="C810">
        <v>2019</v>
      </c>
      <c r="D810" t="s">
        <v>90</v>
      </c>
      <c r="E810" t="s">
        <v>124</v>
      </c>
    </row>
    <row r="811" spans="1:5" x14ac:dyDescent="0.3">
      <c r="A811" s="1">
        <v>43696</v>
      </c>
      <c r="B811" s="1">
        <v>43678</v>
      </c>
      <c r="C811">
        <v>2019</v>
      </c>
      <c r="D811" t="s">
        <v>90</v>
      </c>
      <c r="E811" t="s">
        <v>124</v>
      </c>
    </row>
    <row r="812" spans="1:5" x14ac:dyDescent="0.3">
      <c r="A812" s="1">
        <v>43697</v>
      </c>
      <c r="B812" s="1">
        <v>43678</v>
      </c>
      <c r="C812">
        <v>2019</v>
      </c>
      <c r="D812" t="s">
        <v>90</v>
      </c>
      <c r="E812" t="s">
        <v>124</v>
      </c>
    </row>
    <row r="813" spans="1:5" x14ac:dyDescent="0.3">
      <c r="A813" s="1">
        <v>43698</v>
      </c>
      <c r="B813" s="1">
        <v>43678</v>
      </c>
      <c r="C813">
        <v>2019</v>
      </c>
      <c r="D813" t="s">
        <v>90</v>
      </c>
      <c r="E813" t="s">
        <v>124</v>
      </c>
    </row>
    <row r="814" spans="1:5" x14ac:dyDescent="0.3">
      <c r="A814" s="1">
        <v>43699</v>
      </c>
      <c r="B814" s="1">
        <v>43678</v>
      </c>
      <c r="C814">
        <v>2019</v>
      </c>
      <c r="D814" t="s">
        <v>90</v>
      </c>
      <c r="E814" t="s">
        <v>124</v>
      </c>
    </row>
    <row r="815" spans="1:5" x14ac:dyDescent="0.3">
      <c r="A815" s="1">
        <v>43700</v>
      </c>
      <c r="B815" s="1">
        <v>43678</v>
      </c>
      <c r="C815">
        <v>2019</v>
      </c>
      <c r="D815" t="s">
        <v>90</v>
      </c>
      <c r="E815" t="s">
        <v>124</v>
      </c>
    </row>
    <row r="816" spans="1:5" x14ac:dyDescent="0.3">
      <c r="A816" s="1">
        <v>43701</v>
      </c>
      <c r="B816" s="1">
        <v>43678</v>
      </c>
      <c r="C816">
        <v>2019</v>
      </c>
      <c r="D816" t="s">
        <v>90</v>
      </c>
      <c r="E816" t="s">
        <v>124</v>
      </c>
    </row>
    <row r="817" spans="1:5" x14ac:dyDescent="0.3">
      <c r="A817" s="1">
        <v>43702</v>
      </c>
      <c r="B817" s="1">
        <v>43678</v>
      </c>
      <c r="C817">
        <v>2019</v>
      </c>
      <c r="D817" t="s">
        <v>90</v>
      </c>
      <c r="E817" t="s">
        <v>124</v>
      </c>
    </row>
    <row r="818" spans="1:5" x14ac:dyDescent="0.3">
      <c r="A818" s="1">
        <v>43703</v>
      </c>
      <c r="B818" s="1">
        <v>43678</v>
      </c>
      <c r="C818">
        <v>2019</v>
      </c>
      <c r="D818" t="s">
        <v>90</v>
      </c>
      <c r="E818" t="s">
        <v>124</v>
      </c>
    </row>
    <row r="819" spans="1:5" x14ac:dyDescent="0.3">
      <c r="A819" s="1">
        <v>43704</v>
      </c>
      <c r="B819" s="1">
        <v>43678</v>
      </c>
      <c r="C819">
        <v>2019</v>
      </c>
      <c r="D819" t="s">
        <v>90</v>
      </c>
      <c r="E819" t="s">
        <v>124</v>
      </c>
    </row>
    <row r="820" spans="1:5" x14ac:dyDescent="0.3">
      <c r="A820" s="1">
        <v>43705</v>
      </c>
      <c r="B820" s="1">
        <v>43678</v>
      </c>
      <c r="C820">
        <v>2019</v>
      </c>
      <c r="D820" t="s">
        <v>90</v>
      </c>
      <c r="E820" t="s">
        <v>124</v>
      </c>
    </row>
    <row r="821" spans="1:5" x14ac:dyDescent="0.3">
      <c r="A821" s="1">
        <v>43706</v>
      </c>
      <c r="B821" s="1">
        <v>43678</v>
      </c>
      <c r="C821">
        <v>2019</v>
      </c>
      <c r="D821" t="s">
        <v>90</v>
      </c>
      <c r="E821" t="s">
        <v>124</v>
      </c>
    </row>
    <row r="822" spans="1:5" x14ac:dyDescent="0.3">
      <c r="A822" s="1">
        <v>43707</v>
      </c>
      <c r="B822" s="1">
        <v>43678</v>
      </c>
      <c r="C822">
        <v>2019</v>
      </c>
      <c r="D822" t="s">
        <v>90</v>
      </c>
      <c r="E822" t="s">
        <v>124</v>
      </c>
    </row>
    <row r="823" spans="1:5" x14ac:dyDescent="0.3">
      <c r="A823" s="1">
        <v>43708</v>
      </c>
      <c r="B823" s="1">
        <v>43678</v>
      </c>
      <c r="C823">
        <v>2019</v>
      </c>
      <c r="D823" t="s">
        <v>90</v>
      </c>
      <c r="E823" t="s">
        <v>124</v>
      </c>
    </row>
    <row r="824" spans="1:5" x14ac:dyDescent="0.3">
      <c r="A824" s="1">
        <v>43709</v>
      </c>
      <c r="B824" s="1">
        <v>43709</v>
      </c>
      <c r="C824">
        <v>2019</v>
      </c>
      <c r="D824" t="s">
        <v>92</v>
      </c>
      <c r="E824" t="s">
        <v>125</v>
      </c>
    </row>
    <row r="825" spans="1:5" x14ac:dyDescent="0.3">
      <c r="A825" s="1">
        <v>43710</v>
      </c>
      <c r="B825" s="1">
        <v>43709</v>
      </c>
      <c r="C825">
        <v>2019</v>
      </c>
      <c r="D825" t="s">
        <v>92</v>
      </c>
      <c r="E825" t="s">
        <v>125</v>
      </c>
    </row>
    <row r="826" spans="1:5" x14ac:dyDescent="0.3">
      <c r="A826" s="1">
        <v>43711</v>
      </c>
      <c r="B826" s="1">
        <v>43709</v>
      </c>
      <c r="C826">
        <v>2019</v>
      </c>
      <c r="D826" t="s">
        <v>92</v>
      </c>
      <c r="E826" t="s">
        <v>125</v>
      </c>
    </row>
    <row r="827" spans="1:5" x14ac:dyDescent="0.3">
      <c r="A827" s="1">
        <v>43712</v>
      </c>
      <c r="B827" s="1">
        <v>43709</v>
      </c>
      <c r="C827">
        <v>2019</v>
      </c>
      <c r="D827" t="s">
        <v>92</v>
      </c>
      <c r="E827" t="s">
        <v>125</v>
      </c>
    </row>
    <row r="828" spans="1:5" x14ac:dyDescent="0.3">
      <c r="A828" s="1">
        <v>43713</v>
      </c>
      <c r="B828" s="1">
        <v>43709</v>
      </c>
      <c r="C828">
        <v>2019</v>
      </c>
      <c r="D828" t="s">
        <v>92</v>
      </c>
      <c r="E828" t="s">
        <v>125</v>
      </c>
    </row>
    <row r="829" spans="1:5" x14ac:dyDescent="0.3">
      <c r="A829" s="1">
        <v>43714</v>
      </c>
      <c r="B829" s="1">
        <v>43709</v>
      </c>
      <c r="C829">
        <v>2019</v>
      </c>
      <c r="D829" t="s">
        <v>92</v>
      </c>
      <c r="E829" t="s">
        <v>125</v>
      </c>
    </row>
    <row r="830" spans="1:5" x14ac:dyDescent="0.3">
      <c r="A830" s="1">
        <v>43715</v>
      </c>
      <c r="B830" s="1">
        <v>43709</v>
      </c>
      <c r="C830">
        <v>2019</v>
      </c>
      <c r="D830" t="s">
        <v>92</v>
      </c>
      <c r="E830" t="s">
        <v>125</v>
      </c>
    </row>
    <row r="831" spans="1:5" x14ac:dyDescent="0.3">
      <c r="A831" s="1">
        <v>43716</v>
      </c>
      <c r="B831" s="1">
        <v>43709</v>
      </c>
      <c r="C831">
        <v>2019</v>
      </c>
      <c r="D831" t="s">
        <v>92</v>
      </c>
      <c r="E831" t="s">
        <v>125</v>
      </c>
    </row>
    <row r="832" spans="1:5" x14ac:dyDescent="0.3">
      <c r="A832" s="1">
        <v>43717</v>
      </c>
      <c r="B832" s="1">
        <v>43709</v>
      </c>
      <c r="C832">
        <v>2019</v>
      </c>
      <c r="D832" t="s">
        <v>92</v>
      </c>
      <c r="E832" t="s">
        <v>125</v>
      </c>
    </row>
    <row r="833" spans="1:5" x14ac:dyDescent="0.3">
      <c r="A833" s="1">
        <v>43718</v>
      </c>
      <c r="B833" s="1">
        <v>43709</v>
      </c>
      <c r="C833">
        <v>2019</v>
      </c>
      <c r="D833" t="s">
        <v>92</v>
      </c>
      <c r="E833" t="s">
        <v>125</v>
      </c>
    </row>
    <row r="834" spans="1:5" x14ac:dyDescent="0.3">
      <c r="A834" s="1">
        <v>43719</v>
      </c>
      <c r="B834" s="1">
        <v>43709</v>
      </c>
      <c r="C834">
        <v>2019</v>
      </c>
      <c r="D834" t="s">
        <v>92</v>
      </c>
      <c r="E834" t="s">
        <v>125</v>
      </c>
    </row>
    <row r="835" spans="1:5" x14ac:dyDescent="0.3">
      <c r="A835" s="1">
        <v>43720</v>
      </c>
      <c r="B835" s="1">
        <v>43709</v>
      </c>
      <c r="C835">
        <v>2019</v>
      </c>
      <c r="D835" t="s">
        <v>92</v>
      </c>
      <c r="E835" t="s">
        <v>125</v>
      </c>
    </row>
    <row r="836" spans="1:5" x14ac:dyDescent="0.3">
      <c r="A836" s="1">
        <v>43721</v>
      </c>
      <c r="B836" s="1">
        <v>43709</v>
      </c>
      <c r="C836">
        <v>2019</v>
      </c>
      <c r="D836" t="s">
        <v>92</v>
      </c>
      <c r="E836" t="s">
        <v>125</v>
      </c>
    </row>
    <row r="837" spans="1:5" x14ac:dyDescent="0.3">
      <c r="A837" s="1">
        <v>43722</v>
      </c>
      <c r="B837" s="1">
        <v>43709</v>
      </c>
      <c r="C837">
        <v>2019</v>
      </c>
      <c r="D837" t="s">
        <v>92</v>
      </c>
      <c r="E837" t="s">
        <v>125</v>
      </c>
    </row>
    <row r="838" spans="1:5" x14ac:dyDescent="0.3">
      <c r="A838" s="1">
        <v>43723</v>
      </c>
      <c r="B838" s="1">
        <v>43709</v>
      </c>
      <c r="C838">
        <v>2019</v>
      </c>
      <c r="D838" t="s">
        <v>92</v>
      </c>
      <c r="E838" t="s">
        <v>125</v>
      </c>
    </row>
    <row r="839" spans="1:5" x14ac:dyDescent="0.3">
      <c r="A839" s="1">
        <v>43724</v>
      </c>
      <c r="B839" s="1">
        <v>43709</v>
      </c>
      <c r="C839">
        <v>2019</v>
      </c>
      <c r="D839" t="s">
        <v>92</v>
      </c>
      <c r="E839" t="s">
        <v>125</v>
      </c>
    </row>
    <row r="840" spans="1:5" x14ac:dyDescent="0.3">
      <c r="A840" s="1">
        <v>43725</v>
      </c>
      <c r="B840" s="1">
        <v>43709</v>
      </c>
      <c r="C840">
        <v>2019</v>
      </c>
      <c r="D840" t="s">
        <v>92</v>
      </c>
      <c r="E840" t="s">
        <v>125</v>
      </c>
    </row>
    <row r="841" spans="1:5" x14ac:dyDescent="0.3">
      <c r="A841" s="1">
        <v>43726</v>
      </c>
      <c r="B841" s="1">
        <v>43709</v>
      </c>
      <c r="C841">
        <v>2019</v>
      </c>
      <c r="D841" t="s">
        <v>92</v>
      </c>
      <c r="E841" t="s">
        <v>125</v>
      </c>
    </row>
    <row r="842" spans="1:5" x14ac:dyDescent="0.3">
      <c r="A842" s="1">
        <v>43727</v>
      </c>
      <c r="B842" s="1">
        <v>43709</v>
      </c>
      <c r="C842">
        <v>2019</v>
      </c>
      <c r="D842" t="s">
        <v>92</v>
      </c>
      <c r="E842" t="s">
        <v>125</v>
      </c>
    </row>
    <row r="843" spans="1:5" x14ac:dyDescent="0.3">
      <c r="A843" s="1">
        <v>43728</v>
      </c>
      <c r="B843" s="1">
        <v>43709</v>
      </c>
      <c r="C843">
        <v>2019</v>
      </c>
      <c r="D843" t="s">
        <v>92</v>
      </c>
      <c r="E843" t="s">
        <v>125</v>
      </c>
    </row>
    <row r="844" spans="1:5" x14ac:dyDescent="0.3">
      <c r="A844" s="1">
        <v>43729</v>
      </c>
      <c r="B844" s="1">
        <v>43709</v>
      </c>
      <c r="C844">
        <v>2019</v>
      </c>
      <c r="D844" t="s">
        <v>92</v>
      </c>
      <c r="E844" t="s">
        <v>125</v>
      </c>
    </row>
    <row r="845" spans="1:5" x14ac:dyDescent="0.3">
      <c r="A845" s="1">
        <v>43730</v>
      </c>
      <c r="B845" s="1">
        <v>43709</v>
      </c>
      <c r="C845">
        <v>2019</v>
      </c>
      <c r="D845" t="s">
        <v>92</v>
      </c>
      <c r="E845" t="s">
        <v>125</v>
      </c>
    </row>
    <row r="846" spans="1:5" x14ac:dyDescent="0.3">
      <c r="A846" s="1">
        <v>43731</v>
      </c>
      <c r="B846" s="1">
        <v>43709</v>
      </c>
      <c r="C846">
        <v>2019</v>
      </c>
      <c r="D846" t="s">
        <v>92</v>
      </c>
      <c r="E846" t="s">
        <v>125</v>
      </c>
    </row>
    <row r="847" spans="1:5" x14ac:dyDescent="0.3">
      <c r="A847" s="1">
        <v>43732</v>
      </c>
      <c r="B847" s="1">
        <v>43709</v>
      </c>
      <c r="C847">
        <v>2019</v>
      </c>
      <c r="D847" t="s">
        <v>92</v>
      </c>
      <c r="E847" t="s">
        <v>125</v>
      </c>
    </row>
    <row r="848" spans="1:5" x14ac:dyDescent="0.3">
      <c r="A848" s="1">
        <v>43733</v>
      </c>
      <c r="B848" s="1">
        <v>43709</v>
      </c>
      <c r="C848">
        <v>2019</v>
      </c>
      <c r="D848" t="s">
        <v>92</v>
      </c>
      <c r="E848" t="s">
        <v>125</v>
      </c>
    </row>
    <row r="849" spans="1:5" x14ac:dyDescent="0.3">
      <c r="A849" s="1">
        <v>43734</v>
      </c>
      <c r="B849" s="1">
        <v>43709</v>
      </c>
      <c r="C849">
        <v>2019</v>
      </c>
      <c r="D849" t="s">
        <v>92</v>
      </c>
      <c r="E849" t="s">
        <v>125</v>
      </c>
    </row>
    <row r="850" spans="1:5" x14ac:dyDescent="0.3">
      <c r="A850" s="1">
        <v>43735</v>
      </c>
      <c r="B850" s="1">
        <v>43709</v>
      </c>
      <c r="C850">
        <v>2019</v>
      </c>
      <c r="D850" t="s">
        <v>92</v>
      </c>
      <c r="E850" t="s">
        <v>125</v>
      </c>
    </row>
    <row r="851" spans="1:5" x14ac:dyDescent="0.3">
      <c r="A851" s="1">
        <v>43736</v>
      </c>
      <c r="B851" s="1">
        <v>43709</v>
      </c>
      <c r="C851">
        <v>2019</v>
      </c>
      <c r="D851" t="s">
        <v>92</v>
      </c>
      <c r="E851" t="s">
        <v>125</v>
      </c>
    </row>
    <row r="852" spans="1:5" x14ac:dyDescent="0.3">
      <c r="A852" s="1">
        <v>43737</v>
      </c>
      <c r="B852" s="1">
        <v>43709</v>
      </c>
      <c r="C852">
        <v>2019</v>
      </c>
      <c r="D852" t="s">
        <v>92</v>
      </c>
      <c r="E852" t="s">
        <v>125</v>
      </c>
    </row>
    <row r="853" spans="1:5" x14ac:dyDescent="0.3">
      <c r="A853" s="1">
        <v>43738</v>
      </c>
      <c r="B853" s="1">
        <v>43709</v>
      </c>
      <c r="C853">
        <v>2019</v>
      </c>
      <c r="D853" t="s">
        <v>92</v>
      </c>
      <c r="E853" t="s">
        <v>125</v>
      </c>
    </row>
    <row r="854" spans="1:5" x14ac:dyDescent="0.3">
      <c r="A854" s="1">
        <v>43739</v>
      </c>
      <c r="B854" s="1">
        <v>43739</v>
      </c>
      <c r="C854">
        <v>2019</v>
      </c>
      <c r="D854" t="s">
        <v>94</v>
      </c>
      <c r="E854" t="s">
        <v>126</v>
      </c>
    </row>
    <row r="855" spans="1:5" x14ac:dyDescent="0.3">
      <c r="A855" s="1">
        <v>43740</v>
      </c>
      <c r="B855" s="1">
        <v>43739</v>
      </c>
      <c r="C855">
        <v>2019</v>
      </c>
      <c r="D855" t="s">
        <v>94</v>
      </c>
      <c r="E855" t="s">
        <v>126</v>
      </c>
    </row>
    <row r="856" spans="1:5" x14ac:dyDescent="0.3">
      <c r="A856" s="1">
        <v>43741</v>
      </c>
      <c r="B856" s="1">
        <v>43739</v>
      </c>
      <c r="C856">
        <v>2019</v>
      </c>
      <c r="D856" t="s">
        <v>94</v>
      </c>
      <c r="E856" t="s">
        <v>126</v>
      </c>
    </row>
    <row r="857" spans="1:5" x14ac:dyDescent="0.3">
      <c r="A857" s="1">
        <v>43742</v>
      </c>
      <c r="B857" s="1">
        <v>43739</v>
      </c>
      <c r="C857">
        <v>2019</v>
      </c>
      <c r="D857" t="s">
        <v>94</v>
      </c>
      <c r="E857" t="s">
        <v>126</v>
      </c>
    </row>
    <row r="858" spans="1:5" x14ac:dyDescent="0.3">
      <c r="A858" s="1">
        <v>43743</v>
      </c>
      <c r="B858" s="1">
        <v>43739</v>
      </c>
      <c r="C858">
        <v>2019</v>
      </c>
      <c r="D858" t="s">
        <v>94</v>
      </c>
      <c r="E858" t="s">
        <v>126</v>
      </c>
    </row>
    <row r="859" spans="1:5" x14ac:dyDescent="0.3">
      <c r="A859" s="1">
        <v>43744</v>
      </c>
      <c r="B859" s="1">
        <v>43739</v>
      </c>
      <c r="C859">
        <v>2019</v>
      </c>
      <c r="D859" t="s">
        <v>94</v>
      </c>
      <c r="E859" t="s">
        <v>126</v>
      </c>
    </row>
    <row r="860" spans="1:5" x14ac:dyDescent="0.3">
      <c r="A860" s="1">
        <v>43745</v>
      </c>
      <c r="B860" s="1">
        <v>43739</v>
      </c>
      <c r="C860">
        <v>2019</v>
      </c>
      <c r="D860" t="s">
        <v>94</v>
      </c>
      <c r="E860" t="s">
        <v>126</v>
      </c>
    </row>
    <row r="861" spans="1:5" x14ac:dyDescent="0.3">
      <c r="A861" s="1">
        <v>43746</v>
      </c>
      <c r="B861" s="1">
        <v>43739</v>
      </c>
      <c r="C861">
        <v>2019</v>
      </c>
      <c r="D861" t="s">
        <v>94</v>
      </c>
      <c r="E861" t="s">
        <v>126</v>
      </c>
    </row>
    <row r="862" spans="1:5" x14ac:dyDescent="0.3">
      <c r="A862" s="1">
        <v>43747</v>
      </c>
      <c r="B862" s="1">
        <v>43739</v>
      </c>
      <c r="C862">
        <v>2019</v>
      </c>
      <c r="D862" t="s">
        <v>94</v>
      </c>
      <c r="E862" t="s">
        <v>126</v>
      </c>
    </row>
    <row r="863" spans="1:5" x14ac:dyDescent="0.3">
      <c r="A863" s="1">
        <v>43748</v>
      </c>
      <c r="B863" s="1">
        <v>43739</v>
      </c>
      <c r="C863">
        <v>2019</v>
      </c>
      <c r="D863" t="s">
        <v>94</v>
      </c>
      <c r="E863" t="s">
        <v>126</v>
      </c>
    </row>
    <row r="864" spans="1:5" x14ac:dyDescent="0.3">
      <c r="A864" s="1">
        <v>43749</v>
      </c>
      <c r="B864" s="1">
        <v>43739</v>
      </c>
      <c r="C864">
        <v>2019</v>
      </c>
      <c r="D864" t="s">
        <v>94</v>
      </c>
      <c r="E864" t="s">
        <v>126</v>
      </c>
    </row>
    <row r="865" spans="1:5" x14ac:dyDescent="0.3">
      <c r="A865" s="1">
        <v>43750</v>
      </c>
      <c r="B865" s="1">
        <v>43739</v>
      </c>
      <c r="C865">
        <v>2019</v>
      </c>
      <c r="D865" t="s">
        <v>94</v>
      </c>
      <c r="E865" t="s">
        <v>126</v>
      </c>
    </row>
    <row r="866" spans="1:5" x14ac:dyDescent="0.3">
      <c r="A866" s="1">
        <v>43751</v>
      </c>
      <c r="B866" s="1">
        <v>43739</v>
      </c>
      <c r="C866">
        <v>2019</v>
      </c>
      <c r="D866" t="s">
        <v>94</v>
      </c>
      <c r="E866" t="s">
        <v>126</v>
      </c>
    </row>
    <row r="867" spans="1:5" x14ac:dyDescent="0.3">
      <c r="A867" s="1">
        <v>43752</v>
      </c>
      <c r="B867" s="1">
        <v>43739</v>
      </c>
      <c r="C867">
        <v>2019</v>
      </c>
      <c r="D867" t="s">
        <v>94</v>
      </c>
      <c r="E867" t="s">
        <v>126</v>
      </c>
    </row>
    <row r="868" spans="1:5" x14ac:dyDescent="0.3">
      <c r="A868" s="1">
        <v>43753</v>
      </c>
      <c r="B868" s="1">
        <v>43739</v>
      </c>
      <c r="C868">
        <v>2019</v>
      </c>
      <c r="D868" t="s">
        <v>94</v>
      </c>
      <c r="E868" t="s">
        <v>126</v>
      </c>
    </row>
    <row r="869" spans="1:5" x14ac:dyDescent="0.3">
      <c r="A869" s="1">
        <v>43754</v>
      </c>
      <c r="B869" s="1">
        <v>43739</v>
      </c>
      <c r="C869">
        <v>2019</v>
      </c>
      <c r="D869" t="s">
        <v>94</v>
      </c>
      <c r="E869" t="s">
        <v>126</v>
      </c>
    </row>
    <row r="870" spans="1:5" x14ac:dyDescent="0.3">
      <c r="A870" s="1">
        <v>43755</v>
      </c>
      <c r="B870" s="1">
        <v>43739</v>
      </c>
      <c r="C870">
        <v>2019</v>
      </c>
      <c r="D870" t="s">
        <v>94</v>
      </c>
      <c r="E870" t="s">
        <v>126</v>
      </c>
    </row>
    <row r="871" spans="1:5" x14ac:dyDescent="0.3">
      <c r="A871" s="1">
        <v>43756</v>
      </c>
      <c r="B871" s="1">
        <v>43739</v>
      </c>
      <c r="C871">
        <v>2019</v>
      </c>
      <c r="D871" t="s">
        <v>94</v>
      </c>
      <c r="E871" t="s">
        <v>126</v>
      </c>
    </row>
    <row r="872" spans="1:5" x14ac:dyDescent="0.3">
      <c r="A872" s="1">
        <v>43757</v>
      </c>
      <c r="B872" s="1">
        <v>43739</v>
      </c>
      <c r="C872">
        <v>2019</v>
      </c>
      <c r="D872" t="s">
        <v>94</v>
      </c>
      <c r="E872" t="s">
        <v>126</v>
      </c>
    </row>
    <row r="873" spans="1:5" x14ac:dyDescent="0.3">
      <c r="A873" s="1">
        <v>43758</v>
      </c>
      <c r="B873" s="1">
        <v>43739</v>
      </c>
      <c r="C873">
        <v>2019</v>
      </c>
      <c r="D873" t="s">
        <v>94</v>
      </c>
      <c r="E873" t="s">
        <v>126</v>
      </c>
    </row>
    <row r="874" spans="1:5" x14ac:dyDescent="0.3">
      <c r="A874" s="1">
        <v>43759</v>
      </c>
      <c r="B874" s="1">
        <v>43739</v>
      </c>
      <c r="C874">
        <v>2019</v>
      </c>
      <c r="D874" t="s">
        <v>94</v>
      </c>
      <c r="E874" t="s">
        <v>126</v>
      </c>
    </row>
    <row r="875" spans="1:5" x14ac:dyDescent="0.3">
      <c r="A875" s="1">
        <v>43760</v>
      </c>
      <c r="B875" s="1">
        <v>43739</v>
      </c>
      <c r="C875">
        <v>2019</v>
      </c>
      <c r="D875" t="s">
        <v>94</v>
      </c>
      <c r="E875" t="s">
        <v>126</v>
      </c>
    </row>
    <row r="876" spans="1:5" x14ac:dyDescent="0.3">
      <c r="A876" s="1">
        <v>43761</v>
      </c>
      <c r="B876" s="1">
        <v>43739</v>
      </c>
      <c r="C876">
        <v>2019</v>
      </c>
      <c r="D876" t="s">
        <v>94</v>
      </c>
      <c r="E876" t="s">
        <v>126</v>
      </c>
    </row>
    <row r="877" spans="1:5" x14ac:dyDescent="0.3">
      <c r="A877" s="1">
        <v>43762</v>
      </c>
      <c r="B877" s="1">
        <v>43739</v>
      </c>
      <c r="C877">
        <v>2019</v>
      </c>
      <c r="D877" t="s">
        <v>94</v>
      </c>
      <c r="E877" t="s">
        <v>126</v>
      </c>
    </row>
    <row r="878" spans="1:5" x14ac:dyDescent="0.3">
      <c r="A878" s="1">
        <v>43763</v>
      </c>
      <c r="B878" s="1">
        <v>43739</v>
      </c>
      <c r="C878">
        <v>2019</v>
      </c>
      <c r="D878" t="s">
        <v>94</v>
      </c>
      <c r="E878" t="s">
        <v>126</v>
      </c>
    </row>
    <row r="879" spans="1:5" x14ac:dyDescent="0.3">
      <c r="A879" s="1">
        <v>43764</v>
      </c>
      <c r="B879" s="1">
        <v>43739</v>
      </c>
      <c r="C879">
        <v>2019</v>
      </c>
      <c r="D879" t="s">
        <v>94</v>
      </c>
      <c r="E879" t="s">
        <v>126</v>
      </c>
    </row>
    <row r="880" spans="1:5" x14ac:dyDescent="0.3">
      <c r="A880" s="1">
        <v>43765</v>
      </c>
      <c r="B880" s="1">
        <v>43739</v>
      </c>
      <c r="C880">
        <v>2019</v>
      </c>
      <c r="D880" t="s">
        <v>94</v>
      </c>
      <c r="E880" t="s">
        <v>126</v>
      </c>
    </row>
    <row r="881" spans="1:5" x14ac:dyDescent="0.3">
      <c r="A881" s="1">
        <v>43766</v>
      </c>
      <c r="B881" s="1">
        <v>43739</v>
      </c>
      <c r="C881">
        <v>2019</v>
      </c>
      <c r="D881" t="s">
        <v>94</v>
      </c>
      <c r="E881" t="s">
        <v>126</v>
      </c>
    </row>
    <row r="882" spans="1:5" x14ac:dyDescent="0.3">
      <c r="A882" s="1">
        <v>43767</v>
      </c>
      <c r="B882" s="1">
        <v>43739</v>
      </c>
      <c r="C882">
        <v>2019</v>
      </c>
      <c r="D882" t="s">
        <v>94</v>
      </c>
      <c r="E882" t="s">
        <v>126</v>
      </c>
    </row>
    <row r="883" spans="1:5" x14ac:dyDescent="0.3">
      <c r="A883" s="1">
        <v>43768</v>
      </c>
      <c r="B883" s="1">
        <v>43739</v>
      </c>
      <c r="C883">
        <v>2019</v>
      </c>
      <c r="D883" t="s">
        <v>94</v>
      </c>
      <c r="E883" t="s">
        <v>126</v>
      </c>
    </row>
    <row r="884" spans="1:5" x14ac:dyDescent="0.3">
      <c r="A884" s="1">
        <v>43769</v>
      </c>
      <c r="B884" s="1">
        <v>43739</v>
      </c>
      <c r="C884">
        <v>2019</v>
      </c>
      <c r="D884" t="s">
        <v>94</v>
      </c>
      <c r="E884" t="s">
        <v>126</v>
      </c>
    </row>
    <row r="885" spans="1:5" x14ac:dyDescent="0.3">
      <c r="A885" s="1">
        <v>43770</v>
      </c>
      <c r="B885" s="1">
        <v>43770</v>
      </c>
      <c r="C885">
        <v>2019</v>
      </c>
      <c r="D885" t="s">
        <v>96</v>
      </c>
      <c r="E885" t="s">
        <v>127</v>
      </c>
    </row>
    <row r="886" spans="1:5" x14ac:dyDescent="0.3">
      <c r="A886" s="1">
        <v>43771</v>
      </c>
      <c r="B886" s="1">
        <v>43770</v>
      </c>
      <c r="C886">
        <v>2019</v>
      </c>
      <c r="D886" t="s">
        <v>96</v>
      </c>
      <c r="E886" t="s">
        <v>127</v>
      </c>
    </row>
    <row r="887" spans="1:5" x14ac:dyDescent="0.3">
      <c r="A887" s="1">
        <v>43772</v>
      </c>
      <c r="B887" s="1">
        <v>43770</v>
      </c>
      <c r="C887">
        <v>2019</v>
      </c>
      <c r="D887" t="s">
        <v>96</v>
      </c>
      <c r="E887" t="s">
        <v>127</v>
      </c>
    </row>
    <row r="888" spans="1:5" x14ac:dyDescent="0.3">
      <c r="A888" s="1">
        <v>43773</v>
      </c>
      <c r="B888" s="1">
        <v>43770</v>
      </c>
      <c r="C888">
        <v>2019</v>
      </c>
      <c r="D888" t="s">
        <v>96</v>
      </c>
      <c r="E888" t="s">
        <v>127</v>
      </c>
    </row>
    <row r="889" spans="1:5" x14ac:dyDescent="0.3">
      <c r="A889" s="1">
        <v>43774</v>
      </c>
      <c r="B889" s="1">
        <v>43770</v>
      </c>
      <c r="C889">
        <v>2019</v>
      </c>
      <c r="D889" t="s">
        <v>96</v>
      </c>
      <c r="E889" t="s">
        <v>127</v>
      </c>
    </row>
    <row r="890" spans="1:5" x14ac:dyDescent="0.3">
      <c r="A890" s="1">
        <v>43775</v>
      </c>
      <c r="B890" s="1">
        <v>43770</v>
      </c>
      <c r="C890">
        <v>2019</v>
      </c>
      <c r="D890" t="s">
        <v>96</v>
      </c>
      <c r="E890" t="s">
        <v>127</v>
      </c>
    </row>
    <row r="891" spans="1:5" x14ac:dyDescent="0.3">
      <c r="A891" s="1">
        <v>43776</v>
      </c>
      <c r="B891" s="1">
        <v>43770</v>
      </c>
      <c r="C891">
        <v>2019</v>
      </c>
      <c r="D891" t="s">
        <v>96</v>
      </c>
      <c r="E891" t="s">
        <v>127</v>
      </c>
    </row>
    <row r="892" spans="1:5" x14ac:dyDescent="0.3">
      <c r="A892" s="1">
        <v>43777</v>
      </c>
      <c r="B892" s="1">
        <v>43770</v>
      </c>
      <c r="C892">
        <v>2019</v>
      </c>
      <c r="D892" t="s">
        <v>96</v>
      </c>
      <c r="E892" t="s">
        <v>127</v>
      </c>
    </row>
    <row r="893" spans="1:5" x14ac:dyDescent="0.3">
      <c r="A893" s="1">
        <v>43778</v>
      </c>
      <c r="B893" s="1">
        <v>43770</v>
      </c>
      <c r="C893">
        <v>2019</v>
      </c>
      <c r="D893" t="s">
        <v>96</v>
      </c>
      <c r="E893" t="s">
        <v>127</v>
      </c>
    </row>
    <row r="894" spans="1:5" x14ac:dyDescent="0.3">
      <c r="A894" s="1">
        <v>43779</v>
      </c>
      <c r="B894" s="1">
        <v>43770</v>
      </c>
      <c r="C894">
        <v>2019</v>
      </c>
      <c r="D894" t="s">
        <v>96</v>
      </c>
      <c r="E894" t="s">
        <v>127</v>
      </c>
    </row>
    <row r="895" spans="1:5" x14ac:dyDescent="0.3">
      <c r="A895" s="1">
        <v>43780</v>
      </c>
      <c r="B895" s="1">
        <v>43770</v>
      </c>
      <c r="C895">
        <v>2019</v>
      </c>
      <c r="D895" t="s">
        <v>96</v>
      </c>
      <c r="E895" t="s">
        <v>127</v>
      </c>
    </row>
    <row r="896" spans="1:5" x14ac:dyDescent="0.3">
      <c r="A896" s="1">
        <v>43781</v>
      </c>
      <c r="B896" s="1">
        <v>43770</v>
      </c>
      <c r="C896">
        <v>2019</v>
      </c>
      <c r="D896" t="s">
        <v>96</v>
      </c>
      <c r="E896" t="s">
        <v>127</v>
      </c>
    </row>
    <row r="897" spans="1:5" x14ac:dyDescent="0.3">
      <c r="A897" s="1">
        <v>43782</v>
      </c>
      <c r="B897" s="1">
        <v>43770</v>
      </c>
      <c r="C897">
        <v>2019</v>
      </c>
      <c r="D897" t="s">
        <v>96</v>
      </c>
      <c r="E897" t="s">
        <v>127</v>
      </c>
    </row>
    <row r="898" spans="1:5" x14ac:dyDescent="0.3">
      <c r="A898" s="1">
        <v>43783</v>
      </c>
      <c r="B898" s="1">
        <v>43770</v>
      </c>
      <c r="C898">
        <v>2019</v>
      </c>
      <c r="D898" t="s">
        <v>96</v>
      </c>
      <c r="E898" t="s">
        <v>127</v>
      </c>
    </row>
    <row r="899" spans="1:5" x14ac:dyDescent="0.3">
      <c r="A899" s="1">
        <v>43784</v>
      </c>
      <c r="B899" s="1">
        <v>43770</v>
      </c>
      <c r="C899">
        <v>2019</v>
      </c>
      <c r="D899" t="s">
        <v>96</v>
      </c>
      <c r="E899" t="s">
        <v>127</v>
      </c>
    </row>
    <row r="900" spans="1:5" x14ac:dyDescent="0.3">
      <c r="A900" s="1">
        <v>43785</v>
      </c>
      <c r="B900" s="1">
        <v>43770</v>
      </c>
      <c r="C900">
        <v>2019</v>
      </c>
      <c r="D900" t="s">
        <v>96</v>
      </c>
      <c r="E900" t="s">
        <v>127</v>
      </c>
    </row>
    <row r="901" spans="1:5" x14ac:dyDescent="0.3">
      <c r="A901" s="1">
        <v>43786</v>
      </c>
      <c r="B901" s="1">
        <v>43770</v>
      </c>
      <c r="C901">
        <v>2019</v>
      </c>
      <c r="D901" t="s">
        <v>96</v>
      </c>
      <c r="E901" t="s">
        <v>127</v>
      </c>
    </row>
    <row r="902" spans="1:5" x14ac:dyDescent="0.3">
      <c r="A902" s="1">
        <v>43787</v>
      </c>
      <c r="B902" s="1">
        <v>43770</v>
      </c>
      <c r="C902">
        <v>2019</v>
      </c>
      <c r="D902" t="s">
        <v>96</v>
      </c>
      <c r="E902" t="s">
        <v>127</v>
      </c>
    </row>
    <row r="903" spans="1:5" x14ac:dyDescent="0.3">
      <c r="A903" s="1">
        <v>43788</v>
      </c>
      <c r="B903" s="1">
        <v>43770</v>
      </c>
      <c r="C903">
        <v>2019</v>
      </c>
      <c r="D903" t="s">
        <v>96</v>
      </c>
      <c r="E903" t="s">
        <v>127</v>
      </c>
    </row>
    <row r="904" spans="1:5" x14ac:dyDescent="0.3">
      <c r="A904" s="1">
        <v>43789</v>
      </c>
      <c r="B904" s="1">
        <v>43770</v>
      </c>
      <c r="C904">
        <v>2019</v>
      </c>
      <c r="D904" t="s">
        <v>96</v>
      </c>
      <c r="E904" t="s">
        <v>127</v>
      </c>
    </row>
    <row r="905" spans="1:5" x14ac:dyDescent="0.3">
      <c r="A905" s="1">
        <v>43790</v>
      </c>
      <c r="B905" s="1">
        <v>43770</v>
      </c>
      <c r="C905">
        <v>2019</v>
      </c>
      <c r="D905" t="s">
        <v>96</v>
      </c>
      <c r="E905" t="s">
        <v>127</v>
      </c>
    </row>
    <row r="906" spans="1:5" x14ac:dyDescent="0.3">
      <c r="A906" s="1">
        <v>43791</v>
      </c>
      <c r="B906" s="1">
        <v>43770</v>
      </c>
      <c r="C906">
        <v>2019</v>
      </c>
      <c r="D906" t="s">
        <v>96</v>
      </c>
      <c r="E906" t="s">
        <v>127</v>
      </c>
    </row>
    <row r="907" spans="1:5" x14ac:dyDescent="0.3">
      <c r="A907" s="1">
        <v>43792</v>
      </c>
      <c r="B907" s="1">
        <v>43770</v>
      </c>
      <c r="C907">
        <v>2019</v>
      </c>
      <c r="D907" t="s">
        <v>96</v>
      </c>
      <c r="E907" t="s">
        <v>127</v>
      </c>
    </row>
    <row r="908" spans="1:5" x14ac:dyDescent="0.3">
      <c r="A908" s="1">
        <v>43793</v>
      </c>
      <c r="B908" s="1">
        <v>43770</v>
      </c>
      <c r="C908">
        <v>2019</v>
      </c>
      <c r="D908" t="s">
        <v>96</v>
      </c>
      <c r="E908" t="s">
        <v>127</v>
      </c>
    </row>
    <row r="909" spans="1:5" x14ac:dyDescent="0.3">
      <c r="A909" s="1">
        <v>43794</v>
      </c>
      <c r="B909" s="1">
        <v>43770</v>
      </c>
      <c r="C909">
        <v>2019</v>
      </c>
      <c r="D909" t="s">
        <v>96</v>
      </c>
      <c r="E909" t="s">
        <v>127</v>
      </c>
    </row>
    <row r="910" spans="1:5" x14ac:dyDescent="0.3">
      <c r="A910" s="1">
        <v>43795</v>
      </c>
      <c r="B910" s="1">
        <v>43770</v>
      </c>
      <c r="C910">
        <v>2019</v>
      </c>
      <c r="D910" t="s">
        <v>96</v>
      </c>
      <c r="E910" t="s">
        <v>127</v>
      </c>
    </row>
    <row r="911" spans="1:5" x14ac:dyDescent="0.3">
      <c r="A911" s="1">
        <v>43796</v>
      </c>
      <c r="B911" s="1">
        <v>43770</v>
      </c>
      <c r="C911">
        <v>2019</v>
      </c>
      <c r="D911" t="s">
        <v>96</v>
      </c>
      <c r="E911" t="s">
        <v>127</v>
      </c>
    </row>
    <row r="912" spans="1:5" x14ac:dyDescent="0.3">
      <c r="A912" s="1">
        <v>43797</v>
      </c>
      <c r="B912" s="1">
        <v>43770</v>
      </c>
      <c r="C912">
        <v>2019</v>
      </c>
      <c r="D912" t="s">
        <v>96</v>
      </c>
      <c r="E912" t="s">
        <v>127</v>
      </c>
    </row>
    <row r="913" spans="1:5" x14ac:dyDescent="0.3">
      <c r="A913" s="1">
        <v>43798</v>
      </c>
      <c r="B913" s="1">
        <v>43770</v>
      </c>
      <c r="C913">
        <v>2019</v>
      </c>
      <c r="D913" t="s">
        <v>96</v>
      </c>
      <c r="E913" t="s">
        <v>127</v>
      </c>
    </row>
    <row r="914" spans="1:5" x14ac:dyDescent="0.3">
      <c r="A914" s="1">
        <v>43799</v>
      </c>
      <c r="B914" s="1">
        <v>43770</v>
      </c>
      <c r="C914">
        <v>2019</v>
      </c>
      <c r="D914" t="s">
        <v>96</v>
      </c>
      <c r="E914" t="s">
        <v>127</v>
      </c>
    </row>
    <row r="915" spans="1:5" x14ac:dyDescent="0.3">
      <c r="A915" s="1">
        <v>43800</v>
      </c>
      <c r="B915" s="1">
        <v>43800</v>
      </c>
      <c r="C915">
        <v>2019</v>
      </c>
      <c r="D915" t="s">
        <v>98</v>
      </c>
      <c r="E915" t="s">
        <v>128</v>
      </c>
    </row>
    <row r="916" spans="1:5" x14ac:dyDescent="0.3">
      <c r="A916" s="1">
        <v>43801</v>
      </c>
      <c r="B916" s="1">
        <v>43800</v>
      </c>
      <c r="C916">
        <v>2019</v>
      </c>
      <c r="D916" t="s">
        <v>98</v>
      </c>
      <c r="E916" t="s">
        <v>128</v>
      </c>
    </row>
    <row r="917" spans="1:5" x14ac:dyDescent="0.3">
      <c r="A917" s="1">
        <v>43802</v>
      </c>
      <c r="B917" s="1">
        <v>43800</v>
      </c>
      <c r="C917">
        <v>2019</v>
      </c>
      <c r="D917" t="s">
        <v>98</v>
      </c>
      <c r="E917" t="s">
        <v>128</v>
      </c>
    </row>
    <row r="918" spans="1:5" x14ac:dyDescent="0.3">
      <c r="A918" s="1">
        <v>43803</v>
      </c>
      <c r="B918" s="1">
        <v>43800</v>
      </c>
      <c r="C918">
        <v>2019</v>
      </c>
      <c r="D918" t="s">
        <v>98</v>
      </c>
      <c r="E918" t="s">
        <v>128</v>
      </c>
    </row>
    <row r="919" spans="1:5" x14ac:dyDescent="0.3">
      <c r="A919" s="1">
        <v>43804</v>
      </c>
      <c r="B919" s="1">
        <v>43800</v>
      </c>
      <c r="C919">
        <v>2019</v>
      </c>
      <c r="D919" t="s">
        <v>98</v>
      </c>
      <c r="E919" t="s">
        <v>128</v>
      </c>
    </row>
    <row r="920" spans="1:5" x14ac:dyDescent="0.3">
      <c r="A920" s="1">
        <v>43805</v>
      </c>
      <c r="B920" s="1">
        <v>43800</v>
      </c>
      <c r="C920">
        <v>2019</v>
      </c>
      <c r="D920" t="s">
        <v>98</v>
      </c>
      <c r="E920" t="s">
        <v>128</v>
      </c>
    </row>
    <row r="921" spans="1:5" x14ac:dyDescent="0.3">
      <c r="A921" s="1">
        <v>43806</v>
      </c>
      <c r="B921" s="1">
        <v>43800</v>
      </c>
      <c r="C921">
        <v>2019</v>
      </c>
      <c r="D921" t="s">
        <v>98</v>
      </c>
      <c r="E921" t="s">
        <v>128</v>
      </c>
    </row>
    <row r="922" spans="1:5" x14ac:dyDescent="0.3">
      <c r="A922" s="1">
        <v>43807</v>
      </c>
      <c r="B922" s="1">
        <v>43800</v>
      </c>
      <c r="C922">
        <v>2019</v>
      </c>
      <c r="D922" t="s">
        <v>98</v>
      </c>
      <c r="E922" t="s">
        <v>128</v>
      </c>
    </row>
    <row r="923" spans="1:5" x14ac:dyDescent="0.3">
      <c r="A923" s="1">
        <v>43808</v>
      </c>
      <c r="B923" s="1">
        <v>43800</v>
      </c>
      <c r="C923">
        <v>2019</v>
      </c>
      <c r="D923" t="s">
        <v>98</v>
      </c>
      <c r="E923" t="s">
        <v>128</v>
      </c>
    </row>
    <row r="924" spans="1:5" x14ac:dyDescent="0.3">
      <c r="A924" s="1">
        <v>43809</v>
      </c>
      <c r="B924" s="1">
        <v>43800</v>
      </c>
      <c r="C924">
        <v>2019</v>
      </c>
      <c r="D924" t="s">
        <v>98</v>
      </c>
      <c r="E924" t="s">
        <v>128</v>
      </c>
    </row>
    <row r="925" spans="1:5" x14ac:dyDescent="0.3">
      <c r="A925" s="1">
        <v>43810</v>
      </c>
      <c r="B925" s="1">
        <v>43800</v>
      </c>
      <c r="C925">
        <v>2019</v>
      </c>
      <c r="D925" t="s">
        <v>98</v>
      </c>
      <c r="E925" t="s">
        <v>128</v>
      </c>
    </row>
    <row r="926" spans="1:5" x14ac:dyDescent="0.3">
      <c r="A926" s="1">
        <v>43811</v>
      </c>
      <c r="B926" s="1">
        <v>43800</v>
      </c>
      <c r="C926">
        <v>2019</v>
      </c>
      <c r="D926" t="s">
        <v>98</v>
      </c>
      <c r="E926" t="s">
        <v>128</v>
      </c>
    </row>
    <row r="927" spans="1:5" x14ac:dyDescent="0.3">
      <c r="A927" s="1">
        <v>43812</v>
      </c>
      <c r="B927" s="1">
        <v>43800</v>
      </c>
      <c r="C927">
        <v>2019</v>
      </c>
      <c r="D927" t="s">
        <v>98</v>
      </c>
      <c r="E927" t="s">
        <v>128</v>
      </c>
    </row>
    <row r="928" spans="1:5" x14ac:dyDescent="0.3">
      <c r="A928" s="1">
        <v>43813</v>
      </c>
      <c r="B928" s="1">
        <v>43800</v>
      </c>
      <c r="C928">
        <v>2019</v>
      </c>
      <c r="D928" t="s">
        <v>98</v>
      </c>
      <c r="E928" t="s">
        <v>128</v>
      </c>
    </row>
    <row r="929" spans="1:5" x14ac:dyDescent="0.3">
      <c r="A929" s="1">
        <v>43814</v>
      </c>
      <c r="B929" s="1">
        <v>43800</v>
      </c>
      <c r="C929">
        <v>2019</v>
      </c>
      <c r="D929" t="s">
        <v>98</v>
      </c>
      <c r="E929" t="s">
        <v>128</v>
      </c>
    </row>
    <row r="930" spans="1:5" x14ac:dyDescent="0.3">
      <c r="A930" s="1">
        <v>43815</v>
      </c>
      <c r="B930" s="1">
        <v>43800</v>
      </c>
      <c r="C930">
        <v>2019</v>
      </c>
      <c r="D930" t="s">
        <v>98</v>
      </c>
      <c r="E930" t="s">
        <v>128</v>
      </c>
    </row>
    <row r="931" spans="1:5" x14ac:dyDescent="0.3">
      <c r="A931" s="1">
        <v>43816</v>
      </c>
      <c r="B931" s="1">
        <v>43800</v>
      </c>
      <c r="C931">
        <v>2019</v>
      </c>
      <c r="D931" t="s">
        <v>98</v>
      </c>
      <c r="E931" t="s">
        <v>128</v>
      </c>
    </row>
    <row r="932" spans="1:5" x14ac:dyDescent="0.3">
      <c r="A932" s="1">
        <v>43817</v>
      </c>
      <c r="B932" s="1">
        <v>43800</v>
      </c>
      <c r="C932">
        <v>2019</v>
      </c>
      <c r="D932" t="s">
        <v>98</v>
      </c>
      <c r="E932" t="s">
        <v>128</v>
      </c>
    </row>
    <row r="933" spans="1:5" x14ac:dyDescent="0.3">
      <c r="A933" s="1">
        <v>43818</v>
      </c>
      <c r="B933" s="1">
        <v>43800</v>
      </c>
      <c r="C933">
        <v>2019</v>
      </c>
      <c r="D933" t="s">
        <v>98</v>
      </c>
      <c r="E933" t="s">
        <v>128</v>
      </c>
    </row>
    <row r="934" spans="1:5" x14ac:dyDescent="0.3">
      <c r="A934" s="1">
        <v>43819</v>
      </c>
      <c r="B934" s="1">
        <v>43800</v>
      </c>
      <c r="C934">
        <v>2019</v>
      </c>
      <c r="D934" t="s">
        <v>98</v>
      </c>
      <c r="E934" t="s">
        <v>128</v>
      </c>
    </row>
    <row r="935" spans="1:5" x14ac:dyDescent="0.3">
      <c r="A935" s="1">
        <v>43820</v>
      </c>
      <c r="B935" s="1">
        <v>43800</v>
      </c>
      <c r="C935">
        <v>2019</v>
      </c>
      <c r="D935" t="s">
        <v>98</v>
      </c>
      <c r="E935" t="s">
        <v>128</v>
      </c>
    </row>
    <row r="936" spans="1:5" x14ac:dyDescent="0.3">
      <c r="A936" s="1">
        <v>43821</v>
      </c>
      <c r="B936" s="1">
        <v>43800</v>
      </c>
      <c r="C936">
        <v>2019</v>
      </c>
      <c r="D936" t="s">
        <v>98</v>
      </c>
      <c r="E936" t="s">
        <v>128</v>
      </c>
    </row>
    <row r="937" spans="1:5" x14ac:dyDescent="0.3">
      <c r="A937" s="1">
        <v>43822</v>
      </c>
      <c r="B937" s="1">
        <v>43800</v>
      </c>
      <c r="C937">
        <v>2019</v>
      </c>
      <c r="D937" t="s">
        <v>98</v>
      </c>
      <c r="E937" t="s">
        <v>128</v>
      </c>
    </row>
    <row r="938" spans="1:5" x14ac:dyDescent="0.3">
      <c r="A938" s="1">
        <v>43823</v>
      </c>
      <c r="B938" s="1">
        <v>43800</v>
      </c>
      <c r="C938">
        <v>2019</v>
      </c>
      <c r="D938" t="s">
        <v>98</v>
      </c>
      <c r="E938" t="s">
        <v>128</v>
      </c>
    </row>
    <row r="939" spans="1:5" x14ac:dyDescent="0.3">
      <c r="A939" s="1">
        <v>43824</v>
      </c>
      <c r="B939" s="1">
        <v>43800</v>
      </c>
      <c r="C939">
        <v>2019</v>
      </c>
      <c r="D939" t="s">
        <v>98</v>
      </c>
      <c r="E939" t="s">
        <v>128</v>
      </c>
    </row>
    <row r="940" spans="1:5" x14ac:dyDescent="0.3">
      <c r="A940" s="1">
        <v>43825</v>
      </c>
      <c r="B940" s="1">
        <v>43800</v>
      </c>
      <c r="C940">
        <v>2019</v>
      </c>
      <c r="D940" t="s">
        <v>98</v>
      </c>
      <c r="E940" t="s">
        <v>128</v>
      </c>
    </row>
    <row r="941" spans="1:5" x14ac:dyDescent="0.3">
      <c r="A941" s="1">
        <v>43826</v>
      </c>
      <c r="B941" s="1">
        <v>43800</v>
      </c>
      <c r="C941">
        <v>2019</v>
      </c>
      <c r="D941" t="s">
        <v>98</v>
      </c>
      <c r="E941" t="s">
        <v>128</v>
      </c>
    </row>
    <row r="942" spans="1:5" x14ac:dyDescent="0.3">
      <c r="A942" s="1">
        <v>43827</v>
      </c>
      <c r="B942" s="1">
        <v>43800</v>
      </c>
      <c r="C942">
        <v>2019</v>
      </c>
      <c r="D942" t="s">
        <v>98</v>
      </c>
      <c r="E942" t="s">
        <v>128</v>
      </c>
    </row>
    <row r="943" spans="1:5" x14ac:dyDescent="0.3">
      <c r="A943" s="1">
        <v>43828</v>
      </c>
      <c r="B943" s="1">
        <v>43800</v>
      </c>
      <c r="C943">
        <v>2019</v>
      </c>
      <c r="D943" t="s">
        <v>98</v>
      </c>
      <c r="E943" t="s">
        <v>128</v>
      </c>
    </row>
    <row r="944" spans="1:5" x14ac:dyDescent="0.3">
      <c r="A944" s="1">
        <v>43829</v>
      </c>
      <c r="B944" s="1">
        <v>43800</v>
      </c>
      <c r="C944">
        <v>2019</v>
      </c>
      <c r="D944" t="s">
        <v>98</v>
      </c>
      <c r="E944" t="s">
        <v>128</v>
      </c>
    </row>
    <row r="945" spans="1:5" x14ac:dyDescent="0.3">
      <c r="A945" s="1">
        <v>43830</v>
      </c>
      <c r="B945" s="1">
        <v>43800</v>
      </c>
      <c r="C945">
        <v>2019</v>
      </c>
      <c r="D945" t="s">
        <v>98</v>
      </c>
      <c r="E945" t="s">
        <v>128</v>
      </c>
    </row>
    <row r="946" spans="1:5" x14ac:dyDescent="0.3">
      <c r="A946" s="1">
        <v>43831</v>
      </c>
      <c r="B946" s="1">
        <v>43831</v>
      </c>
      <c r="C946">
        <v>2020</v>
      </c>
      <c r="D946" t="s">
        <v>100</v>
      </c>
      <c r="E946" t="s">
        <v>129</v>
      </c>
    </row>
    <row r="947" spans="1:5" x14ac:dyDescent="0.3">
      <c r="A947" s="1">
        <v>43832</v>
      </c>
      <c r="B947" s="1">
        <v>43831</v>
      </c>
      <c r="C947">
        <v>2020</v>
      </c>
      <c r="D947" t="s">
        <v>100</v>
      </c>
      <c r="E947" t="s">
        <v>129</v>
      </c>
    </row>
    <row r="948" spans="1:5" x14ac:dyDescent="0.3">
      <c r="A948" s="1">
        <v>43833</v>
      </c>
      <c r="B948" s="1">
        <v>43831</v>
      </c>
      <c r="C948">
        <v>2020</v>
      </c>
      <c r="D948" t="s">
        <v>100</v>
      </c>
      <c r="E948" t="s">
        <v>129</v>
      </c>
    </row>
    <row r="949" spans="1:5" x14ac:dyDescent="0.3">
      <c r="A949" s="1">
        <v>43834</v>
      </c>
      <c r="B949" s="1">
        <v>43831</v>
      </c>
      <c r="C949">
        <v>2020</v>
      </c>
      <c r="D949" t="s">
        <v>100</v>
      </c>
      <c r="E949" t="s">
        <v>129</v>
      </c>
    </row>
    <row r="950" spans="1:5" x14ac:dyDescent="0.3">
      <c r="A950" s="1">
        <v>43835</v>
      </c>
      <c r="B950" s="1">
        <v>43831</v>
      </c>
      <c r="C950">
        <v>2020</v>
      </c>
      <c r="D950" t="s">
        <v>100</v>
      </c>
      <c r="E950" t="s">
        <v>129</v>
      </c>
    </row>
    <row r="951" spans="1:5" x14ac:dyDescent="0.3">
      <c r="A951" s="1">
        <v>43836</v>
      </c>
      <c r="B951" s="1">
        <v>43831</v>
      </c>
      <c r="C951">
        <v>2020</v>
      </c>
      <c r="D951" t="s">
        <v>100</v>
      </c>
      <c r="E951" t="s">
        <v>129</v>
      </c>
    </row>
    <row r="952" spans="1:5" x14ac:dyDescent="0.3">
      <c r="A952" s="1">
        <v>43837</v>
      </c>
      <c r="B952" s="1">
        <v>43831</v>
      </c>
      <c r="C952">
        <v>2020</v>
      </c>
      <c r="D952" t="s">
        <v>100</v>
      </c>
      <c r="E952" t="s">
        <v>129</v>
      </c>
    </row>
    <row r="953" spans="1:5" x14ac:dyDescent="0.3">
      <c r="A953" s="1">
        <v>43838</v>
      </c>
      <c r="B953" s="1">
        <v>43831</v>
      </c>
      <c r="C953">
        <v>2020</v>
      </c>
      <c r="D953" t="s">
        <v>100</v>
      </c>
      <c r="E953" t="s">
        <v>129</v>
      </c>
    </row>
    <row r="954" spans="1:5" x14ac:dyDescent="0.3">
      <c r="A954" s="1">
        <v>43839</v>
      </c>
      <c r="B954" s="1">
        <v>43831</v>
      </c>
      <c r="C954">
        <v>2020</v>
      </c>
      <c r="D954" t="s">
        <v>100</v>
      </c>
      <c r="E954" t="s">
        <v>129</v>
      </c>
    </row>
    <row r="955" spans="1:5" x14ac:dyDescent="0.3">
      <c r="A955" s="1">
        <v>43840</v>
      </c>
      <c r="B955" s="1">
        <v>43831</v>
      </c>
      <c r="C955">
        <v>2020</v>
      </c>
      <c r="D955" t="s">
        <v>100</v>
      </c>
      <c r="E955" t="s">
        <v>129</v>
      </c>
    </row>
    <row r="956" spans="1:5" x14ac:dyDescent="0.3">
      <c r="A956" s="1">
        <v>43841</v>
      </c>
      <c r="B956" s="1">
        <v>43831</v>
      </c>
      <c r="C956">
        <v>2020</v>
      </c>
      <c r="D956" t="s">
        <v>100</v>
      </c>
      <c r="E956" t="s">
        <v>129</v>
      </c>
    </row>
    <row r="957" spans="1:5" x14ac:dyDescent="0.3">
      <c r="A957" s="1">
        <v>43842</v>
      </c>
      <c r="B957" s="1">
        <v>43831</v>
      </c>
      <c r="C957">
        <v>2020</v>
      </c>
      <c r="D957" t="s">
        <v>100</v>
      </c>
      <c r="E957" t="s">
        <v>129</v>
      </c>
    </row>
    <row r="958" spans="1:5" x14ac:dyDescent="0.3">
      <c r="A958" s="1">
        <v>43843</v>
      </c>
      <c r="B958" s="1">
        <v>43831</v>
      </c>
      <c r="C958">
        <v>2020</v>
      </c>
      <c r="D958" t="s">
        <v>100</v>
      </c>
      <c r="E958" t="s">
        <v>129</v>
      </c>
    </row>
    <row r="959" spans="1:5" x14ac:dyDescent="0.3">
      <c r="A959" s="1">
        <v>43844</v>
      </c>
      <c r="B959" s="1">
        <v>43831</v>
      </c>
      <c r="C959">
        <v>2020</v>
      </c>
      <c r="D959" t="s">
        <v>100</v>
      </c>
      <c r="E959" t="s">
        <v>129</v>
      </c>
    </row>
    <row r="960" spans="1:5" x14ac:dyDescent="0.3">
      <c r="A960" s="1">
        <v>43845</v>
      </c>
      <c r="B960" s="1">
        <v>43831</v>
      </c>
      <c r="C960">
        <v>2020</v>
      </c>
      <c r="D960" t="s">
        <v>100</v>
      </c>
      <c r="E960" t="s">
        <v>129</v>
      </c>
    </row>
    <row r="961" spans="1:5" x14ac:dyDescent="0.3">
      <c r="A961" s="1">
        <v>43846</v>
      </c>
      <c r="B961" s="1">
        <v>43831</v>
      </c>
      <c r="C961">
        <v>2020</v>
      </c>
      <c r="D961" t="s">
        <v>100</v>
      </c>
      <c r="E961" t="s">
        <v>129</v>
      </c>
    </row>
    <row r="962" spans="1:5" x14ac:dyDescent="0.3">
      <c r="A962" s="1">
        <v>43847</v>
      </c>
      <c r="B962" s="1">
        <v>43831</v>
      </c>
      <c r="C962">
        <v>2020</v>
      </c>
      <c r="D962" t="s">
        <v>100</v>
      </c>
      <c r="E962" t="s">
        <v>129</v>
      </c>
    </row>
    <row r="963" spans="1:5" x14ac:dyDescent="0.3">
      <c r="A963" s="1">
        <v>43848</v>
      </c>
      <c r="B963" s="1">
        <v>43831</v>
      </c>
      <c r="C963">
        <v>2020</v>
      </c>
      <c r="D963" t="s">
        <v>100</v>
      </c>
      <c r="E963" t="s">
        <v>129</v>
      </c>
    </row>
    <row r="964" spans="1:5" x14ac:dyDescent="0.3">
      <c r="A964" s="1">
        <v>43849</v>
      </c>
      <c r="B964" s="1">
        <v>43831</v>
      </c>
      <c r="C964">
        <v>2020</v>
      </c>
      <c r="D964" t="s">
        <v>100</v>
      </c>
      <c r="E964" t="s">
        <v>129</v>
      </c>
    </row>
    <row r="965" spans="1:5" x14ac:dyDescent="0.3">
      <c r="A965" s="1">
        <v>43850</v>
      </c>
      <c r="B965" s="1">
        <v>43831</v>
      </c>
      <c r="C965">
        <v>2020</v>
      </c>
      <c r="D965" t="s">
        <v>100</v>
      </c>
      <c r="E965" t="s">
        <v>129</v>
      </c>
    </row>
    <row r="966" spans="1:5" x14ac:dyDescent="0.3">
      <c r="A966" s="1">
        <v>43851</v>
      </c>
      <c r="B966" s="1">
        <v>43831</v>
      </c>
      <c r="C966">
        <v>2020</v>
      </c>
      <c r="D966" t="s">
        <v>100</v>
      </c>
      <c r="E966" t="s">
        <v>129</v>
      </c>
    </row>
    <row r="967" spans="1:5" x14ac:dyDescent="0.3">
      <c r="A967" s="1">
        <v>43852</v>
      </c>
      <c r="B967" s="1">
        <v>43831</v>
      </c>
      <c r="C967">
        <v>2020</v>
      </c>
      <c r="D967" t="s">
        <v>100</v>
      </c>
      <c r="E967" t="s">
        <v>129</v>
      </c>
    </row>
    <row r="968" spans="1:5" x14ac:dyDescent="0.3">
      <c r="A968" s="1">
        <v>43853</v>
      </c>
      <c r="B968" s="1">
        <v>43831</v>
      </c>
      <c r="C968">
        <v>2020</v>
      </c>
      <c r="D968" t="s">
        <v>100</v>
      </c>
      <c r="E968" t="s">
        <v>129</v>
      </c>
    </row>
    <row r="969" spans="1:5" x14ac:dyDescent="0.3">
      <c r="A969" s="1">
        <v>43854</v>
      </c>
      <c r="B969" s="1">
        <v>43831</v>
      </c>
      <c r="C969">
        <v>2020</v>
      </c>
      <c r="D969" t="s">
        <v>100</v>
      </c>
      <c r="E969" t="s">
        <v>129</v>
      </c>
    </row>
    <row r="970" spans="1:5" x14ac:dyDescent="0.3">
      <c r="A970" s="1">
        <v>43855</v>
      </c>
      <c r="B970" s="1">
        <v>43831</v>
      </c>
      <c r="C970">
        <v>2020</v>
      </c>
      <c r="D970" t="s">
        <v>100</v>
      </c>
      <c r="E970" t="s">
        <v>129</v>
      </c>
    </row>
    <row r="971" spans="1:5" x14ac:dyDescent="0.3">
      <c r="A971" s="1">
        <v>43856</v>
      </c>
      <c r="B971" s="1">
        <v>43831</v>
      </c>
      <c r="C971">
        <v>2020</v>
      </c>
      <c r="D971" t="s">
        <v>100</v>
      </c>
      <c r="E971" t="s">
        <v>129</v>
      </c>
    </row>
    <row r="972" spans="1:5" x14ac:dyDescent="0.3">
      <c r="A972" s="1">
        <v>43857</v>
      </c>
      <c r="B972" s="1">
        <v>43831</v>
      </c>
      <c r="C972">
        <v>2020</v>
      </c>
      <c r="D972" t="s">
        <v>100</v>
      </c>
      <c r="E972" t="s">
        <v>129</v>
      </c>
    </row>
    <row r="973" spans="1:5" x14ac:dyDescent="0.3">
      <c r="A973" s="1">
        <v>43858</v>
      </c>
      <c r="B973" s="1">
        <v>43831</v>
      </c>
      <c r="C973">
        <v>2020</v>
      </c>
      <c r="D973" t="s">
        <v>100</v>
      </c>
      <c r="E973" t="s">
        <v>129</v>
      </c>
    </row>
    <row r="974" spans="1:5" x14ac:dyDescent="0.3">
      <c r="A974" s="1">
        <v>43859</v>
      </c>
      <c r="B974" s="1">
        <v>43831</v>
      </c>
      <c r="C974">
        <v>2020</v>
      </c>
      <c r="D974" t="s">
        <v>100</v>
      </c>
      <c r="E974" t="s">
        <v>129</v>
      </c>
    </row>
    <row r="975" spans="1:5" x14ac:dyDescent="0.3">
      <c r="A975" s="1">
        <v>43860</v>
      </c>
      <c r="B975" s="1">
        <v>43831</v>
      </c>
      <c r="C975">
        <v>2020</v>
      </c>
      <c r="D975" t="s">
        <v>100</v>
      </c>
      <c r="E975" t="s">
        <v>129</v>
      </c>
    </row>
    <row r="976" spans="1:5" x14ac:dyDescent="0.3">
      <c r="A976" s="1">
        <v>43861</v>
      </c>
      <c r="B976" s="1">
        <v>43831</v>
      </c>
      <c r="C976">
        <v>2020</v>
      </c>
      <c r="D976" t="s">
        <v>100</v>
      </c>
      <c r="E976" t="s">
        <v>129</v>
      </c>
    </row>
    <row r="977" spans="1:5" x14ac:dyDescent="0.3">
      <c r="A977" s="1">
        <v>43862</v>
      </c>
      <c r="B977" s="1">
        <v>43862</v>
      </c>
      <c r="C977">
        <v>2020</v>
      </c>
      <c r="D977" t="s">
        <v>102</v>
      </c>
      <c r="E977" t="s">
        <v>130</v>
      </c>
    </row>
    <row r="978" spans="1:5" x14ac:dyDescent="0.3">
      <c r="A978" s="1">
        <v>43863</v>
      </c>
      <c r="B978" s="1">
        <v>43862</v>
      </c>
      <c r="C978">
        <v>2020</v>
      </c>
      <c r="D978" t="s">
        <v>102</v>
      </c>
      <c r="E978" t="s">
        <v>130</v>
      </c>
    </row>
    <row r="979" spans="1:5" x14ac:dyDescent="0.3">
      <c r="A979" s="1">
        <v>43864</v>
      </c>
      <c r="B979" s="1">
        <v>43862</v>
      </c>
      <c r="C979">
        <v>2020</v>
      </c>
      <c r="D979" t="s">
        <v>102</v>
      </c>
      <c r="E979" t="s">
        <v>130</v>
      </c>
    </row>
    <row r="980" spans="1:5" x14ac:dyDescent="0.3">
      <c r="A980" s="1">
        <v>43865</v>
      </c>
      <c r="B980" s="1">
        <v>43862</v>
      </c>
      <c r="C980">
        <v>2020</v>
      </c>
      <c r="D980" t="s">
        <v>102</v>
      </c>
      <c r="E980" t="s">
        <v>130</v>
      </c>
    </row>
    <row r="981" spans="1:5" x14ac:dyDescent="0.3">
      <c r="A981" s="1">
        <v>43866</v>
      </c>
      <c r="B981" s="1">
        <v>43862</v>
      </c>
      <c r="C981">
        <v>2020</v>
      </c>
      <c r="D981" t="s">
        <v>102</v>
      </c>
      <c r="E981" t="s">
        <v>130</v>
      </c>
    </row>
    <row r="982" spans="1:5" x14ac:dyDescent="0.3">
      <c r="A982" s="1">
        <v>43867</v>
      </c>
      <c r="B982" s="1">
        <v>43862</v>
      </c>
      <c r="C982">
        <v>2020</v>
      </c>
      <c r="D982" t="s">
        <v>102</v>
      </c>
      <c r="E982" t="s">
        <v>130</v>
      </c>
    </row>
    <row r="983" spans="1:5" x14ac:dyDescent="0.3">
      <c r="A983" s="1">
        <v>43868</v>
      </c>
      <c r="B983" s="1">
        <v>43862</v>
      </c>
      <c r="C983">
        <v>2020</v>
      </c>
      <c r="D983" t="s">
        <v>102</v>
      </c>
      <c r="E983" t="s">
        <v>130</v>
      </c>
    </row>
    <row r="984" spans="1:5" x14ac:dyDescent="0.3">
      <c r="A984" s="1">
        <v>43869</v>
      </c>
      <c r="B984" s="1">
        <v>43862</v>
      </c>
      <c r="C984">
        <v>2020</v>
      </c>
      <c r="D984" t="s">
        <v>102</v>
      </c>
      <c r="E984" t="s">
        <v>130</v>
      </c>
    </row>
    <row r="985" spans="1:5" x14ac:dyDescent="0.3">
      <c r="A985" s="1">
        <v>43870</v>
      </c>
      <c r="B985" s="1">
        <v>43862</v>
      </c>
      <c r="C985">
        <v>2020</v>
      </c>
      <c r="D985" t="s">
        <v>102</v>
      </c>
      <c r="E985" t="s">
        <v>130</v>
      </c>
    </row>
    <row r="986" spans="1:5" x14ac:dyDescent="0.3">
      <c r="A986" s="1">
        <v>43871</v>
      </c>
      <c r="B986" s="1">
        <v>43862</v>
      </c>
      <c r="C986">
        <v>2020</v>
      </c>
      <c r="D986" t="s">
        <v>102</v>
      </c>
      <c r="E986" t="s">
        <v>130</v>
      </c>
    </row>
    <row r="987" spans="1:5" x14ac:dyDescent="0.3">
      <c r="A987" s="1">
        <v>43872</v>
      </c>
      <c r="B987" s="1">
        <v>43862</v>
      </c>
      <c r="C987">
        <v>2020</v>
      </c>
      <c r="D987" t="s">
        <v>102</v>
      </c>
      <c r="E987" t="s">
        <v>130</v>
      </c>
    </row>
    <row r="988" spans="1:5" x14ac:dyDescent="0.3">
      <c r="A988" s="1">
        <v>43873</v>
      </c>
      <c r="B988" s="1">
        <v>43862</v>
      </c>
      <c r="C988">
        <v>2020</v>
      </c>
      <c r="D988" t="s">
        <v>102</v>
      </c>
      <c r="E988" t="s">
        <v>130</v>
      </c>
    </row>
    <row r="989" spans="1:5" x14ac:dyDescent="0.3">
      <c r="A989" s="1">
        <v>43874</v>
      </c>
      <c r="B989" s="1">
        <v>43862</v>
      </c>
      <c r="C989">
        <v>2020</v>
      </c>
      <c r="D989" t="s">
        <v>102</v>
      </c>
      <c r="E989" t="s">
        <v>130</v>
      </c>
    </row>
    <row r="990" spans="1:5" x14ac:dyDescent="0.3">
      <c r="A990" s="1">
        <v>43875</v>
      </c>
      <c r="B990" s="1">
        <v>43862</v>
      </c>
      <c r="C990">
        <v>2020</v>
      </c>
      <c r="D990" t="s">
        <v>102</v>
      </c>
      <c r="E990" t="s">
        <v>130</v>
      </c>
    </row>
    <row r="991" spans="1:5" x14ac:dyDescent="0.3">
      <c r="A991" s="1">
        <v>43876</v>
      </c>
      <c r="B991" s="1">
        <v>43862</v>
      </c>
      <c r="C991">
        <v>2020</v>
      </c>
      <c r="D991" t="s">
        <v>102</v>
      </c>
      <c r="E991" t="s">
        <v>130</v>
      </c>
    </row>
    <row r="992" spans="1:5" x14ac:dyDescent="0.3">
      <c r="A992" s="1">
        <v>43877</v>
      </c>
      <c r="B992" s="1">
        <v>43862</v>
      </c>
      <c r="C992">
        <v>2020</v>
      </c>
      <c r="D992" t="s">
        <v>102</v>
      </c>
      <c r="E992" t="s">
        <v>130</v>
      </c>
    </row>
    <row r="993" spans="1:5" x14ac:dyDescent="0.3">
      <c r="A993" s="1">
        <v>43878</v>
      </c>
      <c r="B993" s="1">
        <v>43862</v>
      </c>
      <c r="C993">
        <v>2020</v>
      </c>
      <c r="D993" t="s">
        <v>102</v>
      </c>
      <c r="E993" t="s">
        <v>130</v>
      </c>
    </row>
    <row r="994" spans="1:5" x14ac:dyDescent="0.3">
      <c r="A994" s="1">
        <v>43879</v>
      </c>
      <c r="B994" s="1">
        <v>43862</v>
      </c>
      <c r="C994">
        <v>2020</v>
      </c>
      <c r="D994" t="s">
        <v>102</v>
      </c>
      <c r="E994" t="s">
        <v>130</v>
      </c>
    </row>
    <row r="995" spans="1:5" x14ac:dyDescent="0.3">
      <c r="A995" s="1">
        <v>43880</v>
      </c>
      <c r="B995" s="1">
        <v>43862</v>
      </c>
      <c r="C995">
        <v>2020</v>
      </c>
      <c r="D995" t="s">
        <v>102</v>
      </c>
      <c r="E995" t="s">
        <v>130</v>
      </c>
    </row>
    <row r="996" spans="1:5" x14ac:dyDescent="0.3">
      <c r="A996" s="1">
        <v>43881</v>
      </c>
      <c r="B996" s="1">
        <v>43862</v>
      </c>
      <c r="C996">
        <v>2020</v>
      </c>
      <c r="D996" t="s">
        <v>102</v>
      </c>
      <c r="E996" t="s">
        <v>130</v>
      </c>
    </row>
    <row r="997" spans="1:5" x14ac:dyDescent="0.3">
      <c r="A997" s="1">
        <v>43882</v>
      </c>
      <c r="B997" s="1">
        <v>43862</v>
      </c>
      <c r="C997">
        <v>2020</v>
      </c>
      <c r="D997" t="s">
        <v>102</v>
      </c>
      <c r="E997" t="s">
        <v>130</v>
      </c>
    </row>
    <row r="998" spans="1:5" x14ac:dyDescent="0.3">
      <c r="A998" s="1">
        <v>43883</v>
      </c>
      <c r="B998" s="1">
        <v>43862</v>
      </c>
      <c r="C998">
        <v>2020</v>
      </c>
      <c r="D998" t="s">
        <v>102</v>
      </c>
      <c r="E998" t="s">
        <v>130</v>
      </c>
    </row>
    <row r="999" spans="1:5" x14ac:dyDescent="0.3">
      <c r="A999" s="1">
        <v>43884</v>
      </c>
      <c r="B999" s="1">
        <v>43862</v>
      </c>
      <c r="C999">
        <v>2020</v>
      </c>
      <c r="D999" t="s">
        <v>102</v>
      </c>
      <c r="E999" t="s">
        <v>130</v>
      </c>
    </row>
    <row r="1000" spans="1:5" x14ac:dyDescent="0.3">
      <c r="A1000" s="1">
        <v>43885</v>
      </c>
      <c r="B1000" s="1">
        <v>43862</v>
      </c>
      <c r="C1000">
        <v>2020</v>
      </c>
      <c r="D1000" t="s">
        <v>102</v>
      </c>
      <c r="E1000" t="s">
        <v>130</v>
      </c>
    </row>
    <row r="1001" spans="1:5" x14ac:dyDescent="0.3">
      <c r="A1001" s="1">
        <v>43886</v>
      </c>
      <c r="B1001" s="1">
        <v>43862</v>
      </c>
      <c r="C1001">
        <v>2020</v>
      </c>
      <c r="D1001" t="s">
        <v>102</v>
      </c>
      <c r="E1001" t="s">
        <v>130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87AD2-8BB8-4532-AD8A-6BEB3AC174FD}">
  <dimension ref="A1:C18"/>
  <sheetViews>
    <sheetView workbookViewId="0">
      <selection activeCell="B1" sqref="B1:C1"/>
    </sheetView>
  </sheetViews>
  <sheetFormatPr defaultRowHeight="14.4" x14ac:dyDescent="0.3"/>
  <cols>
    <col min="1" max="1" width="15" bestFit="1" customWidth="1"/>
    <col min="2" max="2" width="15.6640625" bestFit="1" customWidth="1"/>
    <col min="3" max="3" width="7.109375" bestFit="1" customWidth="1"/>
    <col min="4" max="4" width="12.33203125" bestFit="1" customWidth="1"/>
    <col min="5" max="5" width="13.109375" bestFit="1" customWidth="1"/>
    <col min="6" max="6" width="10.6640625" bestFit="1" customWidth="1"/>
  </cols>
  <sheetData>
    <row r="1" spans="1:3" x14ac:dyDescent="0.3">
      <c r="A1" t="s">
        <v>132</v>
      </c>
      <c r="B1" t="s">
        <v>133</v>
      </c>
      <c r="C1" t="s">
        <v>134</v>
      </c>
    </row>
    <row r="2" spans="1:3" x14ac:dyDescent="0.3">
      <c r="A2" t="s">
        <v>135</v>
      </c>
      <c r="B2" t="s">
        <v>136</v>
      </c>
      <c r="C2" t="s">
        <v>137</v>
      </c>
    </row>
    <row r="3" spans="1:3" x14ac:dyDescent="0.3">
      <c r="A3" t="s">
        <v>138</v>
      </c>
      <c r="B3" t="s">
        <v>139</v>
      </c>
      <c r="C3" t="s">
        <v>140</v>
      </c>
    </row>
    <row r="4" spans="1:3" x14ac:dyDescent="0.3">
      <c r="A4" t="s">
        <v>141</v>
      </c>
      <c r="B4" t="s">
        <v>142</v>
      </c>
      <c r="C4" t="s">
        <v>143</v>
      </c>
    </row>
    <row r="5" spans="1:3" x14ac:dyDescent="0.3">
      <c r="A5" t="s">
        <v>144</v>
      </c>
      <c r="B5" t="s">
        <v>145</v>
      </c>
      <c r="C5" t="s">
        <v>143</v>
      </c>
    </row>
    <row r="6" spans="1:3" x14ac:dyDescent="0.3">
      <c r="A6" t="s">
        <v>146</v>
      </c>
      <c r="B6" t="s">
        <v>147</v>
      </c>
      <c r="C6" t="s">
        <v>143</v>
      </c>
    </row>
    <row r="7" spans="1:3" x14ac:dyDescent="0.3">
      <c r="A7" t="s">
        <v>148</v>
      </c>
      <c r="B7" t="s">
        <v>149</v>
      </c>
      <c r="C7" t="s">
        <v>137</v>
      </c>
    </row>
    <row r="8" spans="1:3" x14ac:dyDescent="0.3">
      <c r="A8" t="s">
        <v>150</v>
      </c>
      <c r="B8" t="s">
        <v>151</v>
      </c>
      <c r="C8" t="s">
        <v>140</v>
      </c>
    </row>
    <row r="9" spans="1:3" x14ac:dyDescent="0.3">
      <c r="A9" t="s">
        <v>152</v>
      </c>
      <c r="B9" t="s">
        <v>153</v>
      </c>
      <c r="C9" t="s">
        <v>143</v>
      </c>
    </row>
    <row r="10" spans="1:3" x14ac:dyDescent="0.3">
      <c r="A10" t="s">
        <v>154</v>
      </c>
      <c r="B10" t="s">
        <v>155</v>
      </c>
      <c r="C10" t="s">
        <v>143</v>
      </c>
    </row>
    <row r="11" spans="1:3" x14ac:dyDescent="0.3">
      <c r="A11" t="s">
        <v>156</v>
      </c>
      <c r="B11" t="s">
        <v>157</v>
      </c>
      <c r="C11" t="s">
        <v>137</v>
      </c>
    </row>
    <row r="12" spans="1:3" x14ac:dyDescent="0.3">
      <c r="A12" t="s">
        <v>158</v>
      </c>
      <c r="B12" t="s">
        <v>159</v>
      </c>
      <c r="C12" t="s">
        <v>140</v>
      </c>
    </row>
    <row r="13" spans="1:3" x14ac:dyDescent="0.3">
      <c r="A13" t="s">
        <v>160</v>
      </c>
      <c r="B13" t="s">
        <v>161</v>
      </c>
      <c r="C13" t="s">
        <v>143</v>
      </c>
    </row>
    <row r="14" spans="1:3" x14ac:dyDescent="0.3">
      <c r="A14" t="s">
        <v>162</v>
      </c>
      <c r="B14" t="s">
        <v>151</v>
      </c>
      <c r="C14" t="s">
        <v>140</v>
      </c>
    </row>
    <row r="15" spans="1:3" x14ac:dyDescent="0.3">
      <c r="A15" t="s">
        <v>163</v>
      </c>
      <c r="B15" t="s">
        <v>164</v>
      </c>
      <c r="C15" t="s">
        <v>137</v>
      </c>
    </row>
    <row r="16" spans="1:3" x14ac:dyDescent="0.3">
      <c r="A16" t="s">
        <v>165</v>
      </c>
      <c r="B16" t="s">
        <v>166</v>
      </c>
      <c r="C16" t="s">
        <v>137</v>
      </c>
    </row>
    <row r="17" spans="1:3" x14ac:dyDescent="0.3">
      <c r="A17" t="s">
        <v>167</v>
      </c>
      <c r="B17" t="s">
        <v>168</v>
      </c>
      <c r="C17" t="s">
        <v>169</v>
      </c>
    </row>
    <row r="18" spans="1:3" x14ac:dyDescent="0.3">
      <c r="A18" t="s">
        <v>170</v>
      </c>
      <c r="B18" t="s">
        <v>171</v>
      </c>
      <c r="C18" t="s">
        <v>169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66767-EA7C-4C0F-A21E-FBDBDF39CF6E}">
  <dimension ref="A1:C280"/>
  <sheetViews>
    <sheetView topLeftCell="A223" workbookViewId="0">
      <selection activeCell="I173" sqref="I173:Q289"/>
    </sheetView>
  </sheetViews>
  <sheetFormatPr defaultRowHeight="14.4" x14ac:dyDescent="0.3"/>
  <cols>
    <col min="1" max="1" width="14.6640625" bestFit="1" customWidth="1"/>
    <col min="2" max="2" width="14.21875" hidden="1" customWidth="1"/>
    <col min="3" max="3" width="15.33203125" bestFit="1" customWidth="1"/>
    <col min="4" max="4" width="11.33203125" bestFit="1" customWidth="1"/>
  </cols>
  <sheetData>
    <row r="1" spans="1:3" x14ac:dyDescent="0.3">
      <c r="A1" t="s">
        <v>172</v>
      </c>
      <c r="B1" t="s">
        <v>173</v>
      </c>
      <c r="C1" t="s">
        <v>464</v>
      </c>
    </row>
    <row r="2" spans="1:3" hidden="1" x14ac:dyDescent="0.3">
      <c r="A2" t="s">
        <v>174</v>
      </c>
      <c r="B2" t="s">
        <v>175</v>
      </c>
      <c r="C2" t="str">
        <f>TRIM(CLEAN(product_table[[#This Row],[product_type]]))</f>
        <v>Own Brand</v>
      </c>
    </row>
    <row r="3" spans="1:3" hidden="1" x14ac:dyDescent="0.3">
      <c r="A3" t="s">
        <v>176</v>
      </c>
      <c r="B3" t="s">
        <v>175</v>
      </c>
      <c r="C3" t="str">
        <f>TRIM(CLEAN(product_table[[#This Row],[product_type]]))</f>
        <v>Own Brand</v>
      </c>
    </row>
    <row r="4" spans="1:3" hidden="1" x14ac:dyDescent="0.3">
      <c r="A4" t="s">
        <v>177</v>
      </c>
      <c r="B4" t="s">
        <v>175</v>
      </c>
      <c r="C4" t="str">
        <f>TRIM(CLEAN(product_table[[#This Row],[product_type]]))</f>
        <v>Own Brand</v>
      </c>
    </row>
    <row r="5" spans="1:3" hidden="1" x14ac:dyDescent="0.3">
      <c r="A5" t="s">
        <v>178</v>
      </c>
      <c r="B5" t="s">
        <v>175</v>
      </c>
      <c r="C5" t="str">
        <f>TRIM(CLEAN(product_table[[#This Row],[product_type]]))</f>
        <v>Own Brand</v>
      </c>
    </row>
    <row r="6" spans="1:3" hidden="1" x14ac:dyDescent="0.3">
      <c r="A6" t="s">
        <v>179</v>
      </c>
      <c r="B6" t="s">
        <v>175</v>
      </c>
      <c r="C6" t="str">
        <f>TRIM(CLEAN(product_table[[#This Row],[product_type]]))</f>
        <v>Own Brand</v>
      </c>
    </row>
    <row r="7" spans="1:3" hidden="1" x14ac:dyDescent="0.3">
      <c r="A7" t="s">
        <v>180</v>
      </c>
      <c r="B7" t="s">
        <v>175</v>
      </c>
      <c r="C7" t="str">
        <f>TRIM(CLEAN(product_table[[#This Row],[product_type]]))</f>
        <v>Own Brand</v>
      </c>
    </row>
    <row r="8" spans="1:3" hidden="1" x14ac:dyDescent="0.3">
      <c r="A8" t="s">
        <v>181</v>
      </c>
      <c r="B8" t="s">
        <v>175</v>
      </c>
      <c r="C8" t="str">
        <f>TRIM(CLEAN(product_table[[#This Row],[product_type]]))</f>
        <v>Own Brand</v>
      </c>
    </row>
    <row r="9" spans="1:3" hidden="1" x14ac:dyDescent="0.3">
      <c r="A9" t="s">
        <v>182</v>
      </c>
      <c r="B9" t="s">
        <v>175</v>
      </c>
      <c r="C9" t="str">
        <f>TRIM(CLEAN(product_table[[#This Row],[product_type]]))</f>
        <v>Own Brand</v>
      </c>
    </row>
    <row r="10" spans="1:3" hidden="1" x14ac:dyDescent="0.3">
      <c r="A10" t="s">
        <v>183</v>
      </c>
      <c r="B10" t="s">
        <v>175</v>
      </c>
      <c r="C10" t="str">
        <f>TRIM(CLEAN(product_table[[#This Row],[product_type]]))</f>
        <v>Own Brand</v>
      </c>
    </row>
    <row r="11" spans="1:3" hidden="1" x14ac:dyDescent="0.3">
      <c r="A11" t="s">
        <v>184</v>
      </c>
      <c r="B11" t="s">
        <v>175</v>
      </c>
      <c r="C11" t="str">
        <f>TRIM(CLEAN(product_table[[#This Row],[product_type]]))</f>
        <v>Own Brand</v>
      </c>
    </row>
    <row r="12" spans="1:3" hidden="1" x14ac:dyDescent="0.3">
      <c r="A12" t="s">
        <v>185</v>
      </c>
      <c r="B12" t="s">
        <v>175</v>
      </c>
      <c r="C12" t="str">
        <f>TRIM(CLEAN(product_table[[#This Row],[product_type]]))</f>
        <v>Own Brand</v>
      </c>
    </row>
    <row r="13" spans="1:3" hidden="1" x14ac:dyDescent="0.3">
      <c r="A13" t="s">
        <v>186</v>
      </c>
      <c r="B13" t="s">
        <v>175</v>
      </c>
      <c r="C13" t="str">
        <f>TRIM(CLEAN(product_table[[#This Row],[product_type]]))</f>
        <v>Own Brand</v>
      </c>
    </row>
    <row r="14" spans="1:3" hidden="1" x14ac:dyDescent="0.3">
      <c r="A14" t="s">
        <v>187</v>
      </c>
      <c r="B14" t="s">
        <v>175</v>
      </c>
      <c r="C14" t="str">
        <f>TRIM(CLEAN(product_table[[#This Row],[product_type]]))</f>
        <v>Own Brand</v>
      </c>
    </row>
    <row r="15" spans="1:3" hidden="1" x14ac:dyDescent="0.3">
      <c r="A15" t="s">
        <v>188</v>
      </c>
      <c r="B15" t="s">
        <v>175</v>
      </c>
      <c r="C15" t="str">
        <f>TRIM(CLEAN(product_table[[#This Row],[product_type]]))</f>
        <v>Own Brand</v>
      </c>
    </row>
    <row r="16" spans="1:3" hidden="1" x14ac:dyDescent="0.3">
      <c r="A16" t="s">
        <v>189</v>
      </c>
      <c r="B16" t="s">
        <v>175</v>
      </c>
      <c r="C16" t="str">
        <f>TRIM(CLEAN(product_table[[#This Row],[product_type]]))</f>
        <v>Own Brand</v>
      </c>
    </row>
    <row r="17" spans="1:3" hidden="1" x14ac:dyDescent="0.3">
      <c r="A17" t="s">
        <v>190</v>
      </c>
      <c r="B17" t="s">
        <v>175</v>
      </c>
      <c r="C17" t="str">
        <f>TRIM(CLEAN(product_table[[#This Row],[product_type]]))</f>
        <v>Own Brand</v>
      </c>
    </row>
    <row r="18" spans="1:3" hidden="1" x14ac:dyDescent="0.3">
      <c r="A18" t="s">
        <v>191</v>
      </c>
      <c r="B18" t="s">
        <v>175</v>
      </c>
      <c r="C18" t="str">
        <f>TRIM(CLEAN(product_table[[#This Row],[product_type]]))</f>
        <v>Own Brand</v>
      </c>
    </row>
    <row r="19" spans="1:3" hidden="1" x14ac:dyDescent="0.3">
      <c r="A19" t="s">
        <v>192</v>
      </c>
      <c r="B19" t="s">
        <v>175</v>
      </c>
      <c r="C19" t="str">
        <f>TRIM(CLEAN(product_table[[#This Row],[product_type]]))</f>
        <v>Own Brand</v>
      </c>
    </row>
    <row r="20" spans="1:3" hidden="1" x14ac:dyDescent="0.3">
      <c r="A20" t="s">
        <v>193</v>
      </c>
      <c r="B20" t="s">
        <v>175</v>
      </c>
      <c r="C20" t="str">
        <f>TRIM(CLEAN(product_table[[#This Row],[product_type]]))</f>
        <v>Own Brand</v>
      </c>
    </row>
    <row r="21" spans="1:3" hidden="1" x14ac:dyDescent="0.3">
      <c r="A21" t="s">
        <v>194</v>
      </c>
      <c r="B21" t="s">
        <v>175</v>
      </c>
      <c r="C21" t="str">
        <f>TRIM(CLEAN(product_table[[#This Row],[product_type]]))</f>
        <v>Own Brand</v>
      </c>
    </row>
    <row r="22" spans="1:3" hidden="1" x14ac:dyDescent="0.3">
      <c r="A22" t="s">
        <v>195</v>
      </c>
      <c r="B22" t="s">
        <v>175</v>
      </c>
      <c r="C22" t="str">
        <f>TRIM(CLEAN(product_table[[#This Row],[product_type]]))</f>
        <v>Own Brand</v>
      </c>
    </row>
    <row r="23" spans="1:3" x14ac:dyDescent="0.3">
      <c r="A23" t="s">
        <v>196</v>
      </c>
      <c r="B23" t="s">
        <v>197</v>
      </c>
      <c r="C23" t="str">
        <f>TRIM(CLEAN(product_table[[#This Row],[product_type]]))</f>
        <v>Distribution</v>
      </c>
    </row>
    <row r="24" spans="1:3" x14ac:dyDescent="0.3">
      <c r="A24" t="s">
        <v>198</v>
      </c>
      <c r="B24" t="s">
        <v>197</v>
      </c>
      <c r="C24" t="str">
        <f>TRIM(CLEAN(product_table[[#This Row],[product_type]]))</f>
        <v>Distribution</v>
      </c>
    </row>
    <row r="25" spans="1:3" x14ac:dyDescent="0.3">
      <c r="A25" t="s">
        <v>199</v>
      </c>
      <c r="B25" t="s">
        <v>197</v>
      </c>
      <c r="C25" t="str">
        <f>TRIM(CLEAN(product_table[[#This Row],[product_type]]))</f>
        <v>Distribution</v>
      </c>
    </row>
    <row r="26" spans="1:3" x14ac:dyDescent="0.3">
      <c r="A26" t="s">
        <v>200</v>
      </c>
      <c r="B26" t="s">
        <v>197</v>
      </c>
      <c r="C26" t="str">
        <f>TRIM(CLEAN(product_table[[#This Row],[product_type]]))</f>
        <v>Distribution</v>
      </c>
    </row>
    <row r="27" spans="1:3" x14ac:dyDescent="0.3">
      <c r="A27" t="s">
        <v>201</v>
      </c>
      <c r="B27" t="s">
        <v>197</v>
      </c>
      <c r="C27" t="str">
        <f>TRIM(CLEAN(product_table[[#This Row],[product_type]]))</f>
        <v>Distribution</v>
      </c>
    </row>
    <row r="28" spans="1:3" x14ac:dyDescent="0.3">
      <c r="A28" t="s">
        <v>202</v>
      </c>
      <c r="B28" t="s">
        <v>197</v>
      </c>
      <c r="C28" t="str">
        <f>TRIM(CLEAN(product_table[[#This Row],[product_type]]))</f>
        <v>Distribution</v>
      </c>
    </row>
    <row r="29" spans="1:3" x14ac:dyDescent="0.3">
      <c r="A29" t="s">
        <v>203</v>
      </c>
      <c r="B29" t="s">
        <v>197</v>
      </c>
      <c r="C29" t="str">
        <f>TRIM(CLEAN(product_table[[#This Row],[product_type]]))</f>
        <v>Distribution</v>
      </c>
    </row>
    <row r="30" spans="1:3" x14ac:dyDescent="0.3">
      <c r="A30" t="s">
        <v>204</v>
      </c>
      <c r="B30" t="s">
        <v>197</v>
      </c>
      <c r="C30" t="str">
        <f>TRIM(CLEAN(product_table[[#This Row],[product_type]]))</f>
        <v>Distribution</v>
      </c>
    </row>
    <row r="31" spans="1:3" x14ac:dyDescent="0.3">
      <c r="A31" t="s">
        <v>205</v>
      </c>
      <c r="B31" t="s">
        <v>197</v>
      </c>
      <c r="C31" t="str">
        <f>TRIM(CLEAN(product_table[[#This Row],[product_type]]))</f>
        <v>Distribution</v>
      </c>
    </row>
    <row r="32" spans="1:3" x14ac:dyDescent="0.3">
      <c r="A32" t="s">
        <v>206</v>
      </c>
      <c r="B32" t="s">
        <v>197</v>
      </c>
      <c r="C32" t="str">
        <f>TRIM(CLEAN(product_table[[#This Row],[product_type]]))</f>
        <v>Distribution</v>
      </c>
    </row>
    <row r="33" spans="1:3" x14ac:dyDescent="0.3">
      <c r="A33" t="s">
        <v>207</v>
      </c>
      <c r="B33" t="s">
        <v>197</v>
      </c>
      <c r="C33" t="str">
        <f>TRIM(CLEAN(product_table[[#This Row],[product_type]]))</f>
        <v>Distribution</v>
      </c>
    </row>
    <row r="34" spans="1:3" x14ac:dyDescent="0.3">
      <c r="A34" t="s">
        <v>208</v>
      </c>
      <c r="B34" t="s">
        <v>197</v>
      </c>
      <c r="C34" t="str">
        <f>TRIM(CLEAN(product_table[[#This Row],[product_type]]))</f>
        <v>Distribution</v>
      </c>
    </row>
    <row r="35" spans="1:3" hidden="1" x14ac:dyDescent="0.3">
      <c r="A35" t="s">
        <v>209</v>
      </c>
      <c r="B35" t="s">
        <v>175</v>
      </c>
      <c r="C35" t="str">
        <f>TRIM(CLEAN(product_table[[#This Row],[product_type]]))</f>
        <v>Own Brand</v>
      </c>
    </row>
    <row r="36" spans="1:3" hidden="1" x14ac:dyDescent="0.3">
      <c r="A36" t="s">
        <v>210</v>
      </c>
      <c r="B36" t="s">
        <v>175</v>
      </c>
      <c r="C36" t="str">
        <f>TRIM(CLEAN(product_table[[#This Row],[product_type]]))</f>
        <v>Own Brand</v>
      </c>
    </row>
    <row r="37" spans="1:3" hidden="1" x14ac:dyDescent="0.3">
      <c r="A37" t="s">
        <v>211</v>
      </c>
      <c r="B37" t="s">
        <v>175</v>
      </c>
      <c r="C37" t="str">
        <f>TRIM(CLEAN(product_table[[#This Row],[product_type]]))</f>
        <v>Own Brand</v>
      </c>
    </row>
    <row r="38" spans="1:3" hidden="1" x14ac:dyDescent="0.3">
      <c r="A38" t="s">
        <v>212</v>
      </c>
      <c r="B38" t="s">
        <v>175</v>
      </c>
      <c r="C38" t="str">
        <f>TRIM(CLEAN(product_table[[#This Row],[product_type]]))</f>
        <v>Own Brand</v>
      </c>
    </row>
    <row r="39" spans="1:3" hidden="1" x14ac:dyDescent="0.3">
      <c r="A39" t="s">
        <v>213</v>
      </c>
      <c r="B39" t="s">
        <v>175</v>
      </c>
      <c r="C39" t="str">
        <f>TRIM(CLEAN(product_table[[#This Row],[product_type]]))</f>
        <v>Own Brand</v>
      </c>
    </row>
    <row r="40" spans="1:3" hidden="1" x14ac:dyDescent="0.3">
      <c r="A40" t="s">
        <v>214</v>
      </c>
      <c r="B40" t="s">
        <v>175</v>
      </c>
      <c r="C40" t="str">
        <f>TRIM(CLEAN(product_table[[#This Row],[product_type]]))</f>
        <v>Own Brand</v>
      </c>
    </row>
    <row r="41" spans="1:3" hidden="1" x14ac:dyDescent="0.3">
      <c r="A41" t="s">
        <v>215</v>
      </c>
      <c r="B41" t="s">
        <v>175</v>
      </c>
      <c r="C41" t="str">
        <f>TRIM(CLEAN(product_table[[#This Row],[product_type]]))</f>
        <v>Own Brand</v>
      </c>
    </row>
    <row r="42" spans="1:3" hidden="1" x14ac:dyDescent="0.3">
      <c r="A42" t="s">
        <v>216</v>
      </c>
      <c r="B42" t="s">
        <v>175</v>
      </c>
      <c r="C42" t="str">
        <f>TRIM(CLEAN(product_table[[#This Row],[product_type]]))</f>
        <v>Own Brand</v>
      </c>
    </row>
    <row r="43" spans="1:3" hidden="1" x14ac:dyDescent="0.3">
      <c r="A43" t="s">
        <v>217</v>
      </c>
      <c r="B43" t="s">
        <v>175</v>
      </c>
      <c r="C43" t="str">
        <f>TRIM(CLEAN(product_table[[#This Row],[product_type]]))</f>
        <v>Own Brand</v>
      </c>
    </row>
    <row r="44" spans="1:3" hidden="1" x14ac:dyDescent="0.3">
      <c r="A44" t="s">
        <v>218</v>
      </c>
      <c r="B44" t="s">
        <v>175</v>
      </c>
      <c r="C44" t="str">
        <f>TRIM(CLEAN(product_table[[#This Row],[product_type]]))</f>
        <v>Own Brand</v>
      </c>
    </row>
    <row r="45" spans="1:3" hidden="1" x14ac:dyDescent="0.3">
      <c r="A45" t="s">
        <v>219</v>
      </c>
      <c r="B45" t="s">
        <v>175</v>
      </c>
      <c r="C45" t="str">
        <f>TRIM(CLEAN(product_table[[#This Row],[product_type]]))</f>
        <v>Own Brand</v>
      </c>
    </row>
    <row r="46" spans="1:3" hidden="1" x14ac:dyDescent="0.3">
      <c r="A46" t="s">
        <v>220</v>
      </c>
      <c r="B46" t="s">
        <v>175</v>
      </c>
      <c r="C46" t="str">
        <f>TRIM(CLEAN(product_table[[#This Row],[product_type]]))</f>
        <v>Own Brand</v>
      </c>
    </row>
    <row r="47" spans="1:3" hidden="1" x14ac:dyDescent="0.3">
      <c r="A47" t="s">
        <v>221</v>
      </c>
      <c r="B47" t="s">
        <v>175</v>
      </c>
      <c r="C47" t="str">
        <f>TRIM(CLEAN(product_table[[#This Row],[product_type]]))</f>
        <v>Own Brand</v>
      </c>
    </row>
    <row r="48" spans="1:3" hidden="1" x14ac:dyDescent="0.3">
      <c r="A48" t="s">
        <v>222</v>
      </c>
      <c r="B48" t="s">
        <v>175</v>
      </c>
      <c r="C48" t="str">
        <f>TRIM(CLEAN(product_table[[#This Row],[product_type]]))</f>
        <v>Own Brand</v>
      </c>
    </row>
    <row r="49" spans="1:3" hidden="1" x14ac:dyDescent="0.3">
      <c r="A49" t="s">
        <v>223</v>
      </c>
      <c r="B49" t="s">
        <v>175</v>
      </c>
      <c r="C49" t="str">
        <f>TRIM(CLEAN(product_table[[#This Row],[product_type]]))</f>
        <v>Own Brand</v>
      </c>
    </row>
    <row r="50" spans="1:3" hidden="1" x14ac:dyDescent="0.3">
      <c r="A50" t="s">
        <v>224</v>
      </c>
      <c r="B50" t="s">
        <v>175</v>
      </c>
      <c r="C50" t="str">
        <f>TRIM(CLEAN(product_table[[#This Row],[product_type]]))</f>
        <v>Own Brand</v>
      </c>
    </row>
    <row r="51" spans="1:3" hidden="1" x14ac:dyDescent="0.3">
      <c r="A51" t="s">
        <v>225</v>
      </c>
      <c r="B51" t="s">
        <v>175</v>
      </c>
      <c r="C51" t="str">
        <f>TRIM(CLEAN(product_table[[#This Row],[product_type]]))</f>
        <v>Own Brand</v>
      </c>
    </row>
    <row r="52" spans="1:3" hidden="1" x14ac:dyDescent="0.3">
      <c r="A52" t="s">
        <v>226</v>
      </c>
      <c r="B52" t="s">
        <v>175</v>
      </c>
      <c r="C52" t="str">
        <f>TRIM(CLEAN(product_table[[#This Row],[product_type]]))</f>
        <v>Own Brand</v>
      </c>
    </row>
    <row r="53" spans="1:3" hidden="1" x14ac:dyDescent="0.3">
      <c r="A53" t="s">
        <v>227</v>
      </c>
      <c r="B53" t="s">
        <v>175</v>
      </c>
      <c r="C53" t="str">
        <f>TRIM(CLEAN(product_table[[#This Row],[product_type]]))</f>
        <v>Own Brand</v>
      </c>
    </row>
    <row r="54" spans="1:3" hidden="1" x14ac:dyDescent="0.3">
      <c r="A54" t="s">
        <v>228</v>
      </c>
      <c r="B54" t="s">
        <v>175</v>
      </c>
      <c r="C54" t="str">
        <f>TRIM(CLEAN(product_table[[#This Row],[product_type]]))</f>
        <v>Own Brand</v>
      </c>
    </row>
    <row r="55" spans="1:3" hidden="1" x14ac:dyDescent="0.3">
      <c r="A55" t="s">
        <v>229</v>
      </c>
      <c r="B55" t="s">
        <v>175</v>
      </c>
      <c r="C55" t="str">
        <f>TRIM(CLEAN(product_table[[#This Row],[product_type]]))</f>
        <v>Own Brand</v>
      </c>
    </row>
    <row r="56" spans="1:3" hidden="1" x14ac:dyDescent="0.3">
      <c r="A56" t="s">
        <v>230</v>
      </c>
      <c r="B56" t="s">
        <v>175</v>
      </c>
      <c r="C56" t="str">
        <f>TRIM(CLEAN(product_table[[#This Row],[product_type]]))</f>
        <v>Own Brand</v>
      </c>
    </row>
    <row r="57" spans="1:3" hidden="1" x14ac:dyDescent="0.3">
      <c r="A57" t="s">
        <v>231</v>
      </c>
      <c r="B57" t="s">
        <v>175</v>
      </c>
      <c r="C57" t="str">
        <f>TRIM(CLEAN(product_table[[#This Row],[product_type]]))</f>
        <v>Own Brand</v>
      </c>
    </row>
    <row r="58" spans="1:3" hidden="1" x14ac:dyDescent="0.3">
      <c r="A58" t="s">
        <v>232</v>
      </c>
      <c r="B58" t="s">
        <v>175</v>
      </c>
      <c r="C58" t="str">
        <f>TRIM(CLEAN(product_table[[#This Row],[product_type]]))</f>
        <v>Own Brand</v>
      </c>
    </row>
    <row r="59" spans="1:3" hidden="1" x14ac:dyDescent="0.3">
      <c r="A59" t="s">
        <v>233</v>
      </c>
      <c r="B59" t="s">
        <v>175</v>
      </c>
      <c r="C59" t="str">
        <f>TRIM(CLEAN(product_table[[#This Row],[product_type]]))</f>
        <v>Own Brand</v>
      </c>
    </row>
    <row r="60" spans="1:3" hidden="1" x14ac:dyDescent="0.3">
      <c r="A60" t="s">
        <v>234</v>
      </c>
      <c r="B60" t="s">
        <v>175</v>
      </c>
      <c r="C60" t="str">
        <f>TRIM(CLEAN(product_table[[#This Row],[product_type]]))</f>
        <v>Own Brand</v>
      </c>
    </row>
    <row r="61" spans="1:3" hidden="1" x14ac:dyDescent="0.3">
      <c r="A61" t="s">
        <v>235</v>
      </c>
      <c r="B61" t="s">
        <v>175</v>
      </c>
      <c r="C61" t="str">
        <f>TRIM(CLEAN(product_table[[#This Row],[product_type]]))</f>
        <v>Own Brand</v>
      </c>
    </row>
    <row r="62" spans="1:3" hidden="1" x14ac:dyDescent="0.3">
      <c r="A62" t="s">
        <v>236</v>
      </c>
      <c r="B62" t="s">
        <v>175</v>
      </c>
      <c r="C62" t="str">
        <f>TRIM(CLEAN(product_table[[#This Row],[product_type]]))</f>
        <v>Own Brand</v>
      </c>
    </row>
    <row r="63" spans="1:3" hidden="1" x14ac:dyDescent="0.3">
      <c r="A63" t="s">
        <v>237</v>
      </c>
      <c r="B63" t="s">
        <v>175</v>
      </c>
      <c r="C63" t="str">
        <f>TRIM(CLEAN(product_table[[#This Row],[product_type]]))</f>
        <v>Own Brand</v>
      </c>
    </row>
    <row r="64" spans="1:3" hidden="1" x14ac:dyDescent="0.3">
      <c r="A64" t="s">
        <v>238</v>
      </c>
      <c r="B64" t="s">
        <v>175</v>
      </c>
      <c r="C64" t="str">
        <f>TRIM(CLEAN(product_table[[#This Row],[product_type]]))</f>
        <v>Own Brand</v>
      </c>
    </row>
    <row r="65" spans="1:3" hidden="1" x14ac:dyDescent="0.3">
      <c r="A65" t="s">
        <v>239</v>
      </c>
      <c r="B65" t="s">
        <v>175</v>
      </c>
      <c r="C65" t="str">
        <f>TRIM(CLEAN(product_table[[#This Row],[product_type]]))</f>
        <v>Own Brand</v>
      </c>
    </row>
    <row r="66" spans="1:3" hidden="1" x14ac:dyDescent="0.3">
      <c r="A66" t="s">
        <v>240</v>
      </c>
      <c r="B66" t="s">
        <v>175</v>
      </c>
      <c r="C66" t="str">
        <f>TRIM(CLEAN(product_table[[#This Row],[product_type]]))</f>
        <v>Own Brand</v>
      </c>
    </row>
    <row r="67" spans="1:3" x14ac:dyDescent="0.3">
      <c r="A67" t="s">
        <v>241</v>
      </c>
      <c r="B67" t="s">
        <v>197</v>
      </c>
      <c r="C67" t="str">
        <f>TRIM(CLEAN(product_table[[#This Row],[product_type]]))</f>
        <v>Distribution</v>
      </c>
    </row>
    <row r="68" spans="1:3" x14ac:dyDescent="0.3">
      <c r="A68" t="s">
        <v>242</v>
      </c>
      <c r="B68" t="s">
        <v>197</v>
      </c>
      <c r="C68" t="str">
        <f>TRIM(CLEAN(product_table[[#This Row],[product_type]]))</f>
        <v>Distribution</v>
      </c>
    </row>
    <row r="69" spans="1:3" x14ac:dyDescent="0.3">
      <c r="A69" t="s">
        <v>243</v>
      </c>
      <c r="B69" t="s">
        <v>197</v>
      </c>
      <c r="C69" t="str">
        <f>TRIM(CLEAN(product_table[[#This Row],[product_type]]))</f>
        <v>Distribution</v>
      </c>
    </row>
    <row r="70" spans="1:3" x14ac:dyDescent="0.3">
      <c r="A70" t="s">
        <v>244</v>
      </c>
      <c r="B70" t="s">
        <v>197</v>
      </c>
      <c r="C70" t="str">
        <f>TRIM(CLEAN(product_table[[#This Row],[product_type]]))</f>
        <v>Distribution</v>
      </c>
    </row>
    <row r="71" spans="1:3" x14ac:dyDescent="0.3">
      <c r="A71" t="s">
        <v>245</v>
      </c>
      <c r="B71" t="s">
        <v>197</v>
      </c>
      <c r="C71" t="str">
        <f>TRIM(CLEAN(product_table[[#This Row],[product_type]]))</f>
        <v>Distribution</v>
      </c>
    </row>
    <row r="72" spans="1:3" x14ac:dyDescent="0.3">
      <c r="A72" t="s">
        <v>246</v>
      </c>
      <c r="B72" t="s">
        <v>197</v>
      </c>
      <c r="C72" t="str">
        <f>TRIM(CLEAN(product_table[[#This Row],[product_type]]))</f>
        <v>Distribution</v>
      </c>
    </row>
    <row r="73" spans="1:3" x14ac:dyDescent="0.3">
      <c r="A73" t="s">
        <v>247</v>
      </c>
      <c r="B73" t="s">
        <v>197</v>
      </c>
      <c r="C73" t="str">
        <f>TRIM(CLEAN(product_table[[#This Row],[product_type]]))</f>
        <v>Distribution</v>
      </c>
    </row>
    <row r="74" spans="1:3" x14ac:dyDescent="0.3">
      <c r="A74" t="s">
        <v>248</v>
      </c>
      <c r="B74" t="s">
        <v>197</v>
      </c>
      <c r="C74" t="str">
        <f>TRIM(CLEAN(product_table[[#This Row],[product_type]]))</f>
        <v>Distribution</v>
      </c>
    </row>
    <row r="75" spans="1:3" x14ac:dyDescent="0.3">
      <c r="A75" t="s">
        <v>249</v>
      </c>
      <c r="B75" t="s">
        <v>197</v>
      </c>
      <c r="C75" t="str">
        <f>TRIM(CLEAN(product_table[[#This Row],[product_type]]))</f>
        <v>Distribution</v>
      </c>
    </row>
    <row r="76" spans="1:3" x14ac:dyDescent="0.3">
      <c r="A76" t="s">
        <v>250</v>
      </c>
      <c r="B76" t="s">
        <v>197</v>
      </c>
      <c r="C76" t="str">
        <f>TRIM(CLEAN(product_table[[#This Row],[product_type]]))</f>
        <v>Distribution</v>
      </c>
    </row>
    <row r="77" spans="1:3" x14ac:dyDescent="0.3">
      <c r="A77" t="s">
        <v>251</v>
      </c>
      <c r="B77" t="s">
        <v>197</v>
      </c>
      <c r="C77" t="str">
        <f>TRIM(CLEAN(product_table[[#This Row],[product_type]]))</f>
        <v>Distribution</v>
      </c>
    </row>
    <row r="78" spans="1:3" x14ac:dyDescent="0.3">
      <c r="A78" t="s">
        <v>252</v>
      </c>
      <c r="B78" t="s">
        <v>197</v>
      </c>
      <c r="C78" t="str">
        <f>TRIM(CLEAN(product_table[[#This Row],[product_type]]))</f>
        <v>Distribution</v>
      </c>
    </row>
    <row r="79" spans="1:3" hidden="1" x14ac:dyDescent="0.3">
      <c r="A79" t="s">
        <v>253</v>
      </c>
      <c r="B79" t="s">
        <v>175</v>
      </c>
      <c r="C79" t="str">
        <f>TRIM(CLEAN(product_table[[#This Row],[product_type]]))</f>
        <v>Own Brand</v>
      </c>
    </row>
    <row r="80" spans="1:3" hidden="1" x14ac:dyDescent="0.3">
      <c r="A80" t="s">
        <v>254</v>
      </c>
      <c r="B80" t="s">
        <v>175</v>
      </c>
      <c r="C80" t="str">
        <f>TRIM(CLEAN(product_table[[#This Row],[product_type]]))</f>
        <v>Own Brand</v>
      </c>
    </row>
    <row r="81" spans="1:3" hidden="1" x14ac:dyDescent="0.3">
      <c r="A81" t="s">
        <v>255</v>
      </c>
      <c r="B81" t="s">
        <v>175</v>
      </c>
      <c r="C81" t="str">
        <f>TRIM(CLEAN(product_table[[#This Row],[product_type]]))</f>
        <v>Own Brand</v>
      </c>
    </row>
    <row r="82" spans="1:3" hidden="1" x14ac:dyDescent="0.3">
      <c r="A82" t="s">
        <v>256</v>
      </c>
      <c r="B82" t="s">
        <v>175</v>
      </c>
      <c r="C82" t="str">
        <f>TRIM(CLEAN(product_table[[#This Row],[product_type]]))</f>
        <v>Own Brand</v>
      </c>
    </row>
    <row r="83" spans="1:3" hidden="1" x14ac:dyDescent="0.3">
      <c r="A83" t="s">
        <v>257</v>
      </c>
      <c r="B83" t="s">
        <v>175</v>
      </c>
      <c r="C83" t="str">
        <f>TRIM(CLEAN(product_table[[#This Row],[product_type]]))</f>
        <v>Own Brand</v>
      </c>
    </row>
    <row r="84" spans="1:3" hidden="1" x14ac:dyDescent="0.3">
      <c r="A84" t="s">
        <v>258</v>
      </c>
      <c r="B84" t="s">
        <v>175</v>
      </c>
      <c r="C84" t="str">
        <f>TRIM(CLEAN(product_table[[#This Row],[product_type]]))</f>
        <v>Own Brand</v>
      </c>
    </row>
    <row r="85" spans="1:3" hidden="1" x14ac:dyDescent="0.3">
      <c r="A85" t="s">
        <v>259</v>
      </c>
      <c r="B85" t="s">
        <v>175</v>
      </c>
      <c r="C85" t="str">
        <f>TRIM(CLEAN(product_table[[#This Row],[product_type]]))</f>
        <v>Own Brand</v>
      </c>
    </row>
    <row r="86" spans="1:3" hidden="1" x14ac:dyDescent="0.3">
      <c r="A86" t="s">
        <v>260</v>
      </c>
      <c r="B86" t="s">
        <v>175</v>
      </c>
      <c r="C86" t="str">
        <f>TRIM(CLEAN(product_table[[#This Row],[product_type]]))</f>
        <v>Own Brand</v>
      </c>
    </row>
    <row r="87" spans="1:3" hidden="1" x14ac:dyDescent="0.3">
      <c r="A87" t="s">
        <v>261</v>
      </c>
      <c r="B87" t="s">
        <v>175</v>
      </c>
      <c r="C87" t="str">
        <f>TRIM(CLEAN(product_table[[#This Row],[product_type]]))</f>
        <v>Own Brand</v>
      </c>
    </row>
    <row r="88" spans="1:3" hidden="1" x14ac:dyDescent="0.3">
      <c r="A88" t="s">
        <v>262</v>
      </c>
      <c r="B88" t="s">
        <v>175</v>
      </c>
      <c r="C88" t="str">
        <f>TRIM(CLEAN(product_table[[#This Row],[product_type]]))</f>
        <v>Own Brand</v>
      </c>
    </row>
    <row r="89" spans="1:3" hidden="1" x14ac:dyDescent="0.3">
      <c r="A89" t="s">
        <v>263</v>
      </c>
      <c r="B89" t="s">
        <v>175</v>
      </c>
      <c r="C89" t="str">
        <f>TRIM(CLEAN(product_table[[#This Row],[product_type]]))</f>
        <v>Own Brand</v>
      </c>
    </row>
    <row r="90" spans="1:3" hidden="1" x14ac:dyDescent="0.3">
      <c r="A90" t="s">
        <v>264</v>
      </c>
      <c r="B90" t="s">
        <v>175</v>
      </c>
      <c r="C90" t="str">
        <f>TRIM(CLEAN(product_table[[#This Row],[product_type]]))</f>
        <v>Own Brand</v>
      </c>
    </row>
    <row r="91" spans="1:3" hidden="1" x14ac:dyDescent="0.3">
      <c r="A91" t="s">
        <v>265</v>
      </c>
      <c r="B91" t="s">
        <v>175</v>
      </c>
      <c r="C91" t="str">
        <f>TRIM(CLEAN(product_table[[#This Row],[product_type]]))</f>
        <v>Own Brand</v>
      </c>
    </row>
    <row r="92" spans="1:3" hidden="1" x14ac:dyDescent="0.3">
      <c r="A92" t="s">
        <v>266</v>
      </c>
      <c r="B92" t="s">
        <v>175</v>
      </c>
      <c r="C92" t="str">
        <f>TRIM(CLEAN(product_table[[#This Row],[product_type]]))</f>
        <v>Own Brand</v>
      </c>
    </row>
    <row r="93" spans="1:3" hidden="1" x14ac:dyDescent="0.3">
      <c r="A93" t="s">
        <v>267</v>
      </c>
      <c r="B93" t="s">
        <v>175</v>
      </c>
      <c r="C93" t="str">
        <f>TRIM(CLEAN(product_table[[#This Row],[product_type]]))</f>
        <v>Own Brand</v>
      </c>
    </row>
    <row r="94" spans="1:3" hidden="1" x14ac:dyDescent="0.3">
      <c r="A94" t="s">
        <v>268</v>
      </c>
      <c r="B94" t="s">
        <v>175</v>
      </c>
      <c r="C94" t="str">
        <f>TRIM(CLEAN(product_table[[#This Row],[product_type]]))</f>
        <v>Own Brand</v>
      </c>
    </row>
    <row r="95" spans="1:3" hidden="1" x14ac:dyDescent="0.3">
      <c r="A95" t="s">
        <v>269</v>
      </c>
      <c r="B95" t="s">
        <v>175</v>
      </c>
      <c r="C95" t="str">
        <f>TRIM(CLEAN(product_table[[#This Row],[product_type]]))</f>
        <v>Own Brand</v>
      </c>
    </row>
    <row r="96" spans="1:3" hidden="1" x14ac:dyDescent="0.3">
      <c r="A96" t="s">
        <v>270</v>
      </c>
      <c r="B96" t="s">
        <v>175</v>
      </c>
      <c r="C96" t="str">
        <f>TRIM(CLEAN(product_table[[#This Row],[product_type]]))</f>
        <v>Own Brand</v>
      </c>
    </row>
    <row r="97" spans="1:3" hidden="1" x14ac:dyDescent="0.3">
      <c r="A97" t="s">
        <v>271</v>
      </c>
      <c r="B97" t="s">
        <v>175</v>
      </c>
      <c r="C97" t="str">
        <f>TRIM(CLEAN(product_table[[#This Row],[product_type]]))</f>
        <v>Own Brand</v>
      </c>
    </row>
    <row r="98" spans="1:3" hidden="1" x14ac:dyDescent="0.3">
      <c r="A98" t="s">
        <v>272</v>
      </c>
      <c r="B98" t="s">
        <v>175</v>
      </c>
      <c r="C98" t="str">
        <f>TRIM(CLEAN(product_table[[#This Row],[product_type]]))</f>
        <v>Own Brand</v>
      </c>
    </row>
    <row r="99" spans="1:3" hidden="1" x14ac:dyDescent="0.3">
      <c r="A99" t="s">
        <v>273</v>
      </c>
      <c r="B99" t="s">
        <v>175</v>
      </c>
      <c r="C99" t="str">
        <f>TRIM(CLEAN(product_table[[#This Row],[product_type]]))</f>
        <v>Own Brand</v>
      </c>
    </row>
    <row r="100" spans="1:3" hidden="1" x14ac:dyDescent="0.3">
      <c r="A100" t="s">
        <v>274</v>
      </c>
      <c r="B100" t="s">
        <v>175</v>
      </c>
      <c r="C100" t="str">
        <f>TRIM(CLEAN(product_table[[#This Row],[product_type]]))</f>
        <v>Own Brand</v>
      </c>
    </row>
    <row r="101" spans="1:3" hidden="1" x14ac:dyDescent="0.3">
      <c r="A101" t="s">
        <v>275</v>
      </c>
      <c r="B101" t="s">
        <v>175</v>
      </c>
      <c r="C101" t="str">
        <f>TRIM(CLEAN(product_table[[#This Row],[product_type]]))</f>
        <v>Own Brand</v>
      </c>
    </row>
    <row r="102" spans="1:3" hidden="1" x14ac:dyDescent="0.3">
      <c r="A102" t="s">
        <v>276</v>
      </c>
      <c r="B102" t="s">
        <v>175</v>
      </c>
      <c r="C102" t="str">
        <f>TRIM(CLEAN(product_table[[#This Row],[product_type]]))</f>
        <v>Own Brand</v>
      </c>
    </row>
    <row r="103" spans="1:3" hidden="1" x14ac:dyDescent="0.3">
      <c r="A103" t="s">
        <v>277</v>
      </c>
      <c r="B103" t="s">
        <v>175</v>
      </c>
      <c r="C103" t="str">
        <f>TRIM(CLEAN(product_table[[#This Row],[product_type]]))</f>
        <v>Own Brand</v>
      </c>
    </row>
    <row r="104" spans="1:3" hidden="1" x14ac:dyDescent="0.3">
      <c r="A104" t="s">
        <v>278</v>
      </c>
      <c r="B104" t="s">
        <v>175</v>
      </c>
      <c r="C104" t="str">
        <f>TRIM(CLEAN(product_table[[#This Row],[product_type]]))</f>
        <v>Own Brand</v>
      </c>
    </row>
    <row r="105" spans="1:3" hidden="1" x14ac:dyDescent="0.3">
      <c r="A105" t="s">
        <v>279</v>
      </c>
      <c r="B105" t="s">
        <v>175</v>
      </c>
      <c r="C105" t="str">
        <f>TRIM(CLEAN(product_table[[#This Row],[product_type]]))</f>
        <v>Own Brand</v>
      </c>
    </row>
    <row r="106" spans="1:3" hidden="1" x14ac:dyDescent="0.3">
      <c r="A106" t="s">
        <v>280</v>
      </c>
      <c r="B106" t="s">
        <v>175</v>
      </c>
      <c r="C106" t="str">
        <f>TRIM(CLEAN(product_table[[#This Row],[product_type]]))</f>
        <v>Own Brand</v>
      </c>
    </row>
    <row r="107" spans="1:3" hidden="1" x14ac:dyDescent="0.3">
      <c r="A107" t="s">
        <v>281</v>
      </c>
      <c r="B107" t="s">
        <v>175</v>
      </c>
      <c r="C107" t="str">
        <f>TRIM(CLEAN(product_table[[#This Row],[product_type]]))</f>
        <v>Own Brand</v>
      </c>
    </row>
    <row r="108" spans="1:3" hidden="1" x14ac:dyDescent="0.3">
      <c r="A108" t="s">
        <v>282</v>
      </c>
      <c r="B108" t="s">
        <v>175</v>
      </c>
      <c r="C108" t="str">
        <f>TRIM(CLEAN(product_table[[#This Row],[product_type]]))</f>
        <v>Own Brand</v>
      </c>
    </row>
    <row r="109" spans="1:3" hidden="1" x14ac:dyDescent="0.3">
      <c r="A109" t="s">
        <v>283</v>
      </c>
      <c r="B109" t="s">
        <v>175</v>
      </c>
      <c r="C109" t="str">
        <f>TRIM(CLEAN(product_table[[#This Row],[product_type]]))</f>
        <v>Own Brand</v>
      </c>
    </row>
    <row r="110" spans="1:3" hidden="1" x14ac:dyDescent="0.3">
      <c r="A110" t="s">
        <v>284</v>
      </c>
      <c r="B110" t="s">
        <v>175</v>
      </c>
      <c r="C110" t="str">
        <f>TRIM(CLEAN(product_table[[#This Row],[product_type]]))</f>
        <v>Own Brand</v>
      </c>
    </row>
    <row r="111" spans="1:3" x14ac:dyDescent="0.3">
      <c r="A111" t="s">
        <v>285</v>
      </c>
      <c r="B111" t="s">
        <v>197</v>
      </c>
      <c r="C111" t="str">
        <f>TRIM(CLEAN(product_table[[#This Row],[product_type]]))</f>
        <v>Distribution</v>
      </c>
    </row>
    <row r="112" spans="1:3" x14ac:dyDescent="0.3">
      <c r="A112" t="s">
        <v>286</v>
      </c>
      <c r="B112" t="s">
        <v>197</v>
      </c>
      <c r="C112" t="str">
        <f>TRIM(CLEAN(product_table[[#This Row],[product_type]]))</f>
        <v>Distribution</v>
      </c>
    </row>
    <row r="113" spans="1:3" x14ac:dyDescent="0.3">
      <c r="A113" t="s">
        <v>287</v>
      </c>
      <c r="B113" t="s">
        <v>197</v>
      </c>
      <c r="C113" t="str">
        <f>TRIM(CLEAN(product_table[[#This Row],[product_type]]))</f>
        <v>Distribution</v>
      </c>
    </row>
    <row r="114" spans="1:3" x14ac:dyDescent="0.3">
      <c r="A114" t="s">
        <v>288</v>
      </c>
      <c r="B114" t="s">
        <v>197</v>
      </c>
      <c r="C114" t="str">
        <f>TRIM(CLEAN(product_table[[#This Row],[product_type]]))</f>
        <v>Distribution</v>
      </c>
    </row>
    <row r="115" spans="1:3" x14ac:dyDescent="0.3">
      <c r="A115" t="s">
        <v>289</v>
      </c>
      <c r="B115" t="s">
        <v>197</v>
      </c>
      <c r="C115" t="str">
        <f>TRIM(CLEAN(product_table[[#This Row],[product_type]]))</f>
        <v>Distribution</v>
      </c>
    </row>
    <row r="116" spans="1:3" x14ac:dyDescent="0.3">
      <c r="A116" t="s">
        <v>290</v>
      </c>
      <c r="B116" t="s">
        <v>197</v>
      </c>
      <c r="C116" t="str">
        <f>TRIM(CLEAN(product_table[[#This Row],[product_type]]))</f>
        <v>Distribution</v>
      </c>
    </row>
    <row r="117" spans="1:3" x14ac:dyDescent="0.3">
      <c r="A117" t="s">
        <v>291</v>
      </c>
      <c r="B117" t="s">
        <v>197</v>
      </c>
      <c r="C117" t="str">
        <f>TRIM(CLEAN(product_table[[#This Row],[product_type]]))</f>
        <v>Distribution</v>
      </c>
    </row>
    <row r="118" spans="1:3" x14ac:dyDescent="0.3">
      <c r="A118" t="s">
        <v>292</v>
      </c>
      <c r="B118" t="s">
        <v>197</v>
      </c>
      <c r="C118" t="str">
        <f>TRIM(CLEAN(product_table[[#This Row],[product_type]]))</f>
        <v>Distribution</v>
      </c>
    </row>
    <row r="119" spans="1:3" x14ac:dyDescent="0.3">
      <c r="A119" t="s">
        <v>293</v>
      </c>
      <c r="B119" t="s">
        <v>197</v>
      </c>
      <c r="C119" t="str">
        <f>TRIM(CLEAN(product_table[[#This Row],[product_type]]))</f>
        <v>Distribution</v>
      </c>
    </row>
    <row r="120" spans="1:3" x14ac:dyDescent="0.3">
      <c r="A120" t="s">
        <v>294</v>
      </c>
      <c r="B120" t="s">
        <v>197</v>
      </c>
      <c r="C120" t="str">
        <f>TRIM(CLEAN(product_table[[#This Row],[product_type]]))</f>
        <v>Distribution</v>
      </c>
    </row>
    <row r="121" spans="1:3" x14ac:dyDescent="0.3">
      <c r="A121" t="s">
        <v>295</v>
      </c>
      <c r="B121" t="s">
        <v>197</v>
      </c>
      <c r="C121" t="str">
        <f>TRIM(CLEAN(product_table[[#This Row],[product_type]]))</f>
        <v>Distribution</v>
      </c>
    </row>
    <row r="122" spans="1:3" x14ac:dyDescent="0.3">
      <c r="A122" t="s">
        <v>296</v>
      </c>
      <c r="B122" t="s">
        <v>197</v>
      </c>
      <c r="C122" t="str">
        <f>TRIM(CLEAN(product_table[[#This Row],[product_type]]))</f>
        <v>Distribution</v>
      </c>
    </row>
    <row r="123" spans="1:3" hidden="1" x14ac:dyDescent="0.3">
      <c r="A123" t="s">
        <v>297</v>
      </c>
      <c r="B123" t="s">
        <v>175</v>
      </c>
      <c r="C123" t="str">
        <f>TRIM(CLEAN(product_table[[#This Row],[product_type]]))</f>
        <v>Own Brand</v>
      </c>
    </row>
    <row r="124" spans="1:3" hidden="1" x14ac:dyDescent="0.3">
      <c r="A124" t="s">
        <v>298</v>
      </c>
      <c r="B124" t="s">
        <v>175</v>
      </c>
      <c r="C124" t="str">
        <f>TRIM(CLEAN(product_table[[#This Row],[product_type]]))</f>
        <v>Own Brand</v>
      </c>
    </row>
    <row r="125" spans="1:3" hidden="1" x14ac:dyDescent="0.3">
      <c r="A125" t="s">
        <v>299</v>
      </c>
      <c r="B125" t="s">
        <v>175</v>
      </c>
      <c r="C125" t="str">
        <f>TRIM(CLEAN(product_table[[#This Row],[product_type]]))</f>
        <v>Own Brand</v>
      </c>
    </row>
    <row r="126" spans="1:3" hidden="1" x14ac:dyDescent="0.3">
      <c r="A126" t="s">
        <v>300</v>
      </c>
      <c r="B126" t="s">
        <v>175</v>
      </c>
      <c r="C126" t="str">
        <f>TRIM(CLEAN(product_table[[#This Row],[product_type]]))</f>
        <v>Own Brand</v>
      </c>
    </row>
    <row r="127" spans="1:3" hidden="1" x14ac:dyDescent="0.3">
      <c r="A127" t="s">
        <v>301</v>
      </c>
      <c r="B127" t="s">
        <v>175</v>
      </c>
      <c r="C127" t="str">
        <f>TRIM(CLEAN(product_table[[#This Row],[product_type]]))</f>
        <v>Own Brand</v>
      </c>
    </row>
    <row r="128" spans="1:3" hidden="1" x14ac:dyDescent="0.3">
      <c r="A128" t="s">
        <v>302</v>
      </c>
      <c r="B128" t="s">
        <v>175</v>
      </c>
      <c r="C128" t="str">
        <f>TRIM(CLEAN(product_table[[#This Row],[product_type]]))</f>
        <v>Own Brand</v>
      </c>
    </row>
    <row r="129" spans="1:3" x14ac:dyDescent="0.3">
      <c r="A129" t="s">
        <v>303</v>
      </c>
      <c r="B129" t="s">
        <v>197</v>
      </c>
      <c r="C129" t="str">
        <f>TRIM(CLEAN(product_table[[#This Row],[product_type]]))</f>
        <v>Distribution</v>
      </c>
    </row>
    <row r="130" spans="1:3" x14ac:dyDescent="0.3">
      <c r="A130" t="s">
        <v>304</v>
      </c>
      <c r="B130" t="s">
        <v>197</v>
      </c>
      <c r="C130" t="str">
        <f>TRIM(CLEAN(product_table[[#This Row],[product_type]]))</f>
        <v>Distribution</v>
      </c>
    </row>
    <row r="131" spans="1:3" x14ac:dyDescent="0.3">
      <c r="A131" t="s">
        <v>305</v>
      </c>
      <c r="B131" t="s">
        <v>197</v>
      </c>
      <c r="C131" t="str">
        <f>TRIM(CLEAN(product_table[[#This Row],[product_type]]))</f>
        <v>Distribution</v>
      </c>
    </row>
    <row r="132" spans="1:3" x14ac:dyDescent="0.3">
      <c r="A132" t="s">
        <v>306</v>
      </c>
      <c r="B132" t="s">
        <v>197</v>
      </c>
      <c r="C132" t="str">
        <f>TRIM(CLEAN(product_table[[#This Row],[product_type]]))</f>
        <v>Distribution</v>
      </c>
    </row>
    <row r="133" spans="1:3" x14ac:dyDescent="0.3">
      <c r="A133" t="s">
        <v>307</v>
      </c>
      <c r="B133" t="s">
        <v>197</v>
      </c>
      <c r="C133" t="str">
        <f>TRIM(CLEAN(product_table[[#This Row],[product_type]]))</f>
        <v>Distribution</v>
      </c>
    </row>
    <row r="134" spans="1:3" hidden="1" x14ac:dyDescent="0.3">
      <c r="A134" t="s">
        <v>308</v>
      </c>
      <c r="B134" t="s">
        <v>175</v>
      </c>
      <c r="C134" t="str">
        <f>TRIM(CLEAN(product_table[[#This Row],[product_type]]))</f>
        <v>Own Brand</v>
      </c>
    </row>
    <row r="135" spans="1:3" hidden="1" x14ac:dyDescent="0.3">
      <c r="A135" t="s">
        <v>309</v>
      </c>
      <c r="B135" t="s">
        <v>175</v>
      </c>
      <c r="C135" t="str">
        <f>TRIM(CLEAN(product_table[[#This Row],[product_type]]))</f>
        <v>Own Brand</v>
      </c>
    </row>
    <row r="136" spans="1:3" hidden="1" x14ac:dyDescent="0.3">
      <c r="A136" t="s">
        <v>310</v>
      </c>
      <c r="B136" t="s">
        <v>175</v>
      </c>
      <c r="C136" t="str">
        <f>TRIM(CLEAN(product_table[[#This Row],[product_type]]))</f>
        <v>Own Brand</v>
      </c>
    </row>
    <row r="137" spans="1:3" hidden="1" x14ac:dyDescent="0.3">
      <c r="A137" t="s">
        <v>311</v>
      </c>
      <c r="B137" t="s">
        <v>175</v>
      </c>
      <c r="C137" t="str">
        <f>TRIM(CLEAN(product_table[[#This Row],[product_type]]))</f>
        <v>Own Brand</v>
      </c>
    </row>
    <row r="138" spans="1:3" hidden="1" x14ac:dyDescent="0.3">
      <c r="A138" t="s">
        <v>312</v>
      </c>
      <c r="B138" t="s">
        <v>175</v>
      </c>
      <c r="C138" t="str">
        <f>TRIM(CLEAN(product_table[[#This Row],[product_type]]))</f>
        <v>Own Brand</v>
      </c>
    </row>
    <row r="139" spans="1:3" hidden="1" x14ac:dyDescent="0.3">
      <c r="A139" t="s">
        <v>313</v>
      </c>
      <c r="B139" t="s">
        <v>175</v>
      </c>
      <c r="C139" t="str">
        <f>TRIM(CLEAN(product_table[[#This Row],[product_type]]))</f>
        <v>Own Brand</v>
      </c>
    </row>
    <row r="140" spans="1:3" hidden="1" x14ac:dyDescent="0.3">
      <c r="A140" t="s">
        <v>314</v>
      </c>
      <c r="B140" t="s">
        <v>175</v>
      </c>
      <c r="C140" t="str">
        <f>TRIM(CLEAN(product_table[[#This Row],[product_type]]))</f>
        <v>Own Brand</v>
      </c>
    </row>
    <row r="141" spans="1:3" hidden="1" x14ac:dyDescent="0.3">
      <c r="A141" t="s">
        <v>315</v>
      </c>
      <c r="B141" t="s">
        <v>175</v>
      </c>
      <c r="C141" t="str">
        <f>TRIM(CLEAN(product_table[[#This Row],[product_type]]))</f>
        <v>Own Brand</v>
      </c>
    </row>
    <row r="142" spans="1:3" hidden="1" x14ac:dyDescent="0.3">
      <c r="A142" t="s">
        <v>316</v>
      </c>
      <c r="B142" t="s">
        <v>175</v>
      </c>
      <c r="C142" t="str">
        <f>TRIM(CLEAN(product_table[[#This Row],[product_type]]))</f>
        <v>Own Brand</v>
      </c>
    </row>
    <row r="143" spans="1:3" hidden="1" x14ac:dyDescent="0.3">
      <c r="A143" t="s">
        <v>317</v>
      </c>
      <c r="B143" t="s">
        <v>175</v>
      </c>
      <c r="C143" t="str">
        <f>TRIM(CLEAN(product_table[[#This Row],[product_type]]))</f>
        <v>Own Brand</v>
      </c>
    </row>
    <row r="144" spans="1:3" x14ac:dyDescent="0.3">
      <c r="A144" t="s">
        <v>318</v>
      </c>
      <c r="B144" t="s">
        <v>197</v>
      </c>
      <c r="C144" t="str">
        <f>TRIM(CLEAN(product_table[[#This Row],[product_type]]))</f>
        <v>Distribution</v>
      </c>
    </row>
    <row r="145" spans="1:3" x14ac:dyDescent="0.3">
      <c r="A145" t="s">
        <v>319</v>
      </c>
      <c r="B145" t="s">
        <v>197</v>
      </c>
      <c r="C145" t="str">
        <f>TRIM(CLEAN(product_table[[#This Row],[product_type]]))</f>
        <v>Distribution</v>
      </c>
    </row>
    <row r="146" spans="1:3" x14ac:dyDescent="0.3">
      <c r="A146" t="s">
        <v>320</v>
      </c>
      <c r="B146" t="s">
        <v>197</v>
      </c>
      <c r="C146" t="str">
        <f>TRIM(CLEAN(product_table[[#This Row],[product_type]]))</f>
        <v>Distribution</v>
      </c>
    </row>
    <row r="147" spans="1:3" x14ac:dyDescent="0.3">
      <c r="A147" t="s">
        <v>321</v>
      </c>
      <c r="B147" t="s">
        <v>197</v>
      </c>
      <c r="C147" t="str">
        <f>TRIM(CLEAN(product_table[[#This Row],[product_type]]))</f>
        <v>Distribution</v>
      </c>
    </row>
    <row r="148" spans="1:3" x14ac:dyDescent="0.3">
      <c r="A148" t="s">
        <v>322</v>
      </c>
      <c r="B148" t="s">
        <v>197</v>
      </c>
      <c r="C148" t="str">
        <f>TRIM(CLEAN(product_table[[#This Row],[product_type]]))</f>
        <v>Distribution</v>
      </c>
    </row>
    <row r="149" spans="1:3" hidden="1" x14ac:dyDescent="0.3">
      <c r="A149" t="s">
        <v>323</v>
      </c>
      <c r="B149" t="s">
        <v>175</v>
      </c>
      <c r="C149" t="str">
        <f>TRIM(CLEAN(product_table[[#This Row],[product_type]]))</f>
        <v>Own Brand</v>
      </c>
    </row>
    <row r="150" spans="1:3" hidden="1" x14ac:dyDescent="0.3">
      <c r="A150" t="s">
        <v>324</v>
      </c>
      <c r="B150" t="s">
        <v>175</v>
      </c>
      <c r="C150" t="str">
        <f>TRIM(CLEAN(product_table[[#This Row],[product_type]]))</f>
        <v>Own Brand</v>
      </c>
    </row>
    <row r="151" spans="1:3" hidden="1" x14ac:dyDescent="0.3">
      <c r="A151" t="s">
        <v>325</v>
      </c>
      <c r="B151" t="s">
        <v>175</v>
      </c>
      <c r="C151" t="str">
        <f>TRIM(CLEAN(product_table[[#This Row],[product_type]]))</f>
        <v>Own Brand</v>
      </c>
    </row>
    <row r="152" spans="1:3" hidden="1" x14ac:dyDescent="0.3">
      <c r="A152" t="s">
        <v>326</v>
      </c>
      <c r="B152" t="s">
        <v>175</v>
      </c>
      <c r="C152" t="str">
        <f>TRIM(CLEAN(product_table[[#This Row],[product_type]]))</f>
        <v>Own Brand</v>
      </c>
    </row>
    <row r="153" spans="1:3" hidden="1" x14ac:dyDescent="0.3">
      <c r="A153" t="s">
        <v>327</v>
      </c>
      <c r="B153" t="s">
        <v>175</v>
      </c>
      <c r="C153" t="str">
        <f>TRIM(CLEAN(product_table[[#This Row],[product_type]]))</f>
        <v>Own Brand</v>
      </c>
    </row>
    <row r="154" spans="1:3" hidden="1" x14ac:dyDescent="0.3">
      <c r="A154" t="s">
        <v>328</v>
      </c>
      <c r="B154" t="s">
        <v>175</v>
      </c>
      <c r="C154" t="str">
        <f>TRIM(CLEAN(product_table[[#This Row],[product_type]]))</f>
        <v>Own Brand</v>
      </c>
    </row>
    <row r="155" spans="1:3" hidden="1" x14ac:dyDescent="0.3">
      <c r="A155" t="s">
        <v>329</v>
      </c>
      <c r="B155" t="s">
        <v>175</v>
      </c>
      <c r="C155" t="str">
        <f>TRIM(CLEAN(product_table[[#This Row],[product_type]]))</f>
        <v>Own Brand</v>
      </c>
    </row>
    <row r="156" spans="1:3" hidden="1" x14ac:dyDescent="0.3">
      <c r="A156" t="s">
        <v>330</v>
      </c>
      <c r="B156" t="s">
        <v>175</v>
      </c>
      <c r="C156" t="str">
        <f>TRIM(CLEAN(product_table[[#This Row],[product_type]]))</f>
        <v>Own Brand</v>
      </c>
    </row>
    <row r="157" spans="1:3" hidden="1" x14ac:dyDescent="0.3">
      <c r="A157" t="s">
        <v>331</v>
      </c>
      <c r="B157" t="s">
        <v>175</v>
      </c>
      <c r="C157" t="str">
        <f>TRIM(CLEAN(product_table[[#This Row],[product_type]]))</f>
        <v>Own Brand</v>
      </c>
    </row>
    <row r="158" spans="1:3" hidden="1" x14ac:dyDescent="0.3">
      <c r="A158" t="s">
        <v>332</v>
      </c>
      <c r="B158" t="s">
        <v>175</v>
      </c>
      <c r="C158" t="str">
        <f>TRIM(CLEAN(product_table[[#This Row],[product_type]]))</f>
        <v>Own Brand</v>
      </c>
    </row>
    <row r="159" spans="1:3" x14ac:dyDescent="0.3">
      <c r="A159" t="s">
        <v>333</v>
      </c>
      <c r="B159" t="s">
        <v>197</v>
      </c>
      <c r="C159" t="str">
        <f>TRIM(CLEAN(product_table[[#This Row],[product_type]]))</f>
        <v>Distribution</v>
      </c>
    </row>
    <row r="160" spans="1:3" x14ac:dyDescent="0.3">
      <c r="A160" t="s">
        <v>334</v>
      </c>
      <c r="B160" t="s">
        <v>197</v>
      </c>
      <c r="C160" t="str">
        <f>TRIM(CLEAN(product_table[[#This Row],[product_type]]))</f>
        <v>Distribution</v>
      </c>
    </row>
    <row r="161" spans="1:3" x14ac:dyDescent="0.3">
      <c r="A161" t="s">
        <v>335</v>
      </c>
      <c r="B161" t="s">
        <v>197</v>
      </c>
      <c r="C161" t="str">
        <f>TRIM(CLEAN(product_table[[#This Row],[product_type]]))</f>
        <v>Distribution</v>
      </c>
    </row>
    <row r="162" spans="1:3" x14ac:dyDescent="0.3">
      <c r="A162" t="s">
        <v>336</v>
      </c>
      <c r="B162" t="s">
        <v>197</v>
      </c>
      <c r="C162" t="str">
        <f>TRIM(CLEAN(product_table[[#This Row],[product_type]]))</f>
        <v>Distribution</v>
      </c>
    </row>
    <row r="163" spans="1:3" x14ac:dyDescent="0.3">
      <c r="A163" t="s">
        <v>337</v>
      </c>
      <c r="B163" t="s">
        <v>197</v>
      </c>
      <c r="C163" t="str">
        <f>TRIM(CLEAN(product_table[[#This Row],[product_type]]))</f>
        <v>Distribution</v>
      </c>
    </row>
    <row r="164" spans="1:3" hidden="1" x14ac:dyDescent="0.3">
      <c r="A164" t="s">
        <v>338</v>
      </c>
      <c r="B164" t="s">
        <v>175</v>
      </c>
      <c r="C164" t="str">
        <f>TRIM(CLEAN(product_table[[#This Row],[product_type]]))</f>
        <v>Own Brand</v>
      </c>
    </row>
    <row r="165" spans="1:3" hidden="1" x14ac:dyDescent="0.3">
      <c r="A165" t="s">
        <v>339</v>
      </c>
      <c r="B165" t="s">
        <v>175</v>
      </c>
      <c r="C165" t="str">
        <f>TRIM(CLEAN(product_table[[#This Row],[product_type]]))</f>
        <v>Own Brand</v>
      </c>
    </row>
    <row r="166" spans="1:3" hidden="1" x14ac:dyDescent="0.3">
      <c r="A166" t="s">
        <v>340</v>
      </c>
      <c r="B166" t="s">
        <v>175</v>
      </c>
      <c r="C166" t="str">
        <f>TRIM(CLEAN(product_table[[#This Row],[product_type]]))</f>
        <v>Own Brand</v>
      </c>
    </row>
    <row r="167" spans="1:3" hidden="1" x14ac:dyDescent="0.3">
      <c r="A167" t="s">
        <v>341</v>
      </c>
      <c r="B167" t="s">
        <v>175</v>
      </c>
      <c r="C167" t="str">
        <f>TRIM(CLEAN(product_table[[#This Row],[product_type]]))</f>
        <v>Own Brand</v>
      </c>
    </row>
    <row r="168" spans="1:3" hidden="1" x14ac:dyDescent="0.3">
      <c r="A168" t="s">
        <v>342</v>
      </c>
      <c r="B168" t="s">
        <v>175</v>
      </c>
      <c r="C168" t="str">
        <f>TRIM(CLEAN(product_table[[#This Row],[product_type]]))</f>
        <v>Own Brand</v>
      </c>
    </row>
    <row r="169" spans="1:3" hidden="1" x14ac:dyDescent="0.3">
      <c r="A169" t="s">
        <v>343</v>
      </c>
      <c r="B169" t="s">
        <v>175</v>
      </c>
      <c r="C169" t="str">
        <f>TRIM(CLEAN(product_table[[#This Row],[product_type]]))</f>
        <v>Own Brand</v>
      </c>
    </row>
    <row r="170" spans="1:3" hidden="1" x14ac:dyDescent="0.3">
      <c r="A170" t="s">
        <v>344</v>
      </c>
      <c r="B170" t="s">
        <v>175</v>
      </c>
      <c r="C170" t="str">
        <f>TRIM(CLEAN(product_table[[#This Row],[product_type]]))</f>
        <v>Own Brand</v>
      </c>
    </row>
    <row r="171" spans="1:3" hidden="1" x14ac:dyDescent="0.3">
      <c r="A171" t="s">
        <v>345</v>
      </c>
      <c r="B171" t="s">
        <v>175</v>
      </c>
      <c r="C171" t="str">
        <f>TRIM(CLEAN(product_table[[#This Row],[product_type]]))</f>
        <v>Own Brand</v>
      </c>
    </row>
    <row r="172" spans="1:3" hidden="1" x14ac:dyDescent="0.3">
      <c r="A172" t="s">
        <v>346</v>
      </c>
      <c r="B172" t="s">
        <v>175</v>
      </c>
      <c r="C172" t="str">
        <f>TRIM(CLEAN(product_table[[#This Row],[product_type]]))</f>
        <v>Own Brand</v>
      </c>
    </row>
    <row r="173" spans="1:3" hidden="1" x14ac:dyDescent="0.3">
      <c r="A173" t="s">
        <v>347</v>
      </c>
      <c r="B173" t="s">
        <v>175</v>
      </c>
      <c r="C173" t="str">
        <f>TRIM(CLEAN(product_table[[#This Row],[product_type]]))</f>
        <v>Own Brand</v>
      </c>
    </row>
    <row r="174" spans="1:3" x14ac:dyDescent="0.3">
      <c r="A174" t="s">
        <v>348</v>
      </c>
      <c r="B174" t="s">
        <v>197</v>
      </c>
      <c r="C174" t="str">
        <f>TRIM(CLEAN(product_table[[#This Row],[product_type]]))</f>
        <v>Distribution</v>
      </c>
    </row>
    <row r="175" spans="1:3" x14ac:dyDescent="0.3">
      <c r="A175" t="s">
        <v>349</v>
      </c>
      <c r="B175" t="s">
        <v>197</v>
      </c>
      <c r="C175" t="str">
        <f>TRIM(CLEAN(product_table[[#This Row],[product_type]]))</f>
        <v>Distribution</v>
      </c>
    </row>
    <row r="176" spans="1:3" x14ac:dyDescent="0.3">
      <c r="A176" t="s">
        <v>350</v>
      </c>
      <c r="B176" t="s">
        <v>197</v>
      </c>
      <c r="C176" t="str">
        <f>TRIM(CLEAN(product_table[[#This Row],[product_type]]))</f>
        <v>Distribution</v>
      </c>
    </row>
    <row r="177" spans="1:3" x14ac:dyDescent="0.3">
      <c r="A177" t="s">
        <v>351</v>
      </c>
      <c r="B177" t="s">
        <v>197</v>
      </c>
      <c r="C177" t="str">
        <f>TRIM(CLEAN(product_table[[#This Row],[product_type]]))</f>
        <v>Distribution</v>
      </c>
    </row>
    <row r="178" spans="1:3" x14ac:dyDescent="0.3">
      <c r="A178" t="s">
        <v>352</v>
      </c>
      <c r="B178" t="s">
        <v>197</v>
      </c>
      <c r="C178" t="str">
        <f>TRIM(CLEAN(product_table[[#This Row],[product_type]]))</f>
        <v>Distribution</v>
      </c>
    </row>
    <row r="179" spans="1:3" hidden="1" x14ac:dyDescent="0.3">
      <c r="A179" t="s">
        <v>353</v>
      </c>
      <c r="B179" t="s">
        <v>175</v>
      </c>
      <c r="C179" t="str">
        <f>TRIM(CLEAN(product_table[[#This Row],[product_type]]))</f>
        <v>Own Brand</v>
      </c>
    </row>
    <row r="180" spans="1:3" hidden="1" x14ac:dyDescent="0.3">
      <c r="A180" t="s">
        <v>354</v>
      </c>
      <c r="B180" t="s">
        <v>175</v>
      </c>
      <c r="C180" t="str">
        <f>TRIM(CLEAN(product_table[[#This Row],[product_type]]))</f>
        <v>Own Brand</v>
      </c>
    </row>
    <row r="181" spans="1:3" hidden="1" x14ac:dyDescent="0.3">
      <c r="A181" t="s">
        <v>355</v>
      </c>
      <c r="B181" t="s">
        <v>175</v>
      </c>
      <c r="C181" t="str">
        <f>TRIM(CLEAN(product_table[[#This Row],[product_type]]))</f>
        <v>Own Brand</v>
      </c>
    </row>
    <row r="182" spans="1:3" hidden="1" x14ac:dyDescent="0.3">
      <c r="A182" t="s">
        <v>356</v>
      </c>
      <c r="B182" t="s">
        <v>175</v>
      </c>
      <c r="C182" t="str">
        <f>TRIM(CLEAN(product_table[[#This Row],[product_type]]))</f>
        <v>Own Brand</v>
      </c>
    </row>
    <row r="183" spans="1:3" hidden="1" x14ac:dyDescent="0.3">
      <c r="A183" t="s">
        <v>357</v>
      </c>
      <c r="B183" t="s">
        <v>175</v>
      </c>
      <c r="C183" t="str">
        <f>TRIM(CLEAN(product_table[[#This Row],[product_type]]))</f>
        <v>Own Brand</v>
      </c>
    </row>
    <row r="184" spans="1:3" hidden="1" x14ac:dyDescent="0.3">
      <c r="A184" t="s">
        <v>358</v>
      </c>
      <c r="B184" t="s">
        <v>175</v>
      </c>
      <c r="C184" t="str">
        <f>TRIM(CLEAN(product_table[[#This Row],[product_type]]))</f>
        <v>Own Brand</v>
      </c>
    </row>
    <row r="185" spans="1:3" hidden="1" x14ac:dyDescent="0.3">
      <c r="A185" t="s">
        <v>359</v>
      </c>
      <c r="B185" t="s">
        <v>175</v>
      </c>
      <c r="C185" t="str">
        <f>TRIM(CLEAN(product_table[[#This Row],[product_type]]))</f>
        <v>Own Brand</v>
      </c>
    </row>
    <row r="186" spans="1:3" hidden="1" x14ac:dyDescent="0.3">
      <c r="A186" t="s">
        <v>360</v>
      </c>
      <c r="B186" t="s">
        <v>175</v>
      </c>
      <c r="C186" t="str">
        <f>TRIM(CLEAN(product_table[[#This Row],[product_type]]))</f>
        <v>Own Brand</v>
      </c>
    </row>
    <row r="187" spans="1:3" hidden="1" x14ac:dyDescent="0.3">
      <c r="A187" t="s">
        <v>361</v>
      </c>
      <c r="B187" t="s">
        <v>175</v>
      </c>
      <c r="C187" t="str">
        <f>TRIM(CLEAN(product_table[[#This Row],[product_type]]))</f>
        <v>Own Brand</v>
      </c>
    </row>
    <row r="188" spans="1:3" hidden="1" x14ac:dyDescent="0.3">
      <c r="A188" t="s">
        <v>362</v>
      </c>
      <c r="B188" t="s">
        <v>175</v>
      </c>
      <c r="C188" t="str">
        <f>TRIM(CLEAN(product_table[[#This Row],[product_type]]))</f>
        <v>Own Brand</v>
      </c>
    </row>
    <row r="189" spans="1:3" x14ac:dyDescent="0.3">
      <c r="A189" t="s">
        <v>363</v>
      </c>
      <c r="B189" t="s">
        <v>197</v>
      </c>
      <c r="C189" t="str">
        <f>TRIM(CLEAN(product_table[[#This Row],[product_type]]))</f>
        <v>Distribution</v>
      </c>
    </row>
    <row r="190" spans="1:3" x14ac:dyDescent="0.3">
      <c r="A190" t="s">
        <v>364</v>
      </c>
      <c r="B190" t="s">
        <v>197</v>
      </c>
      <c r="C190" t="str">
        <f>TRIM(CLEAN(product_table[[#This Row],[product_type]]))</f>
        <v>Distribution</v>
      </c>
    </row>
    <row r="191" spans="1:3" x14ac:dyDescent="0.3">
      <c r="A191" t="s">
        <v>365</v>
      </c>
      <c r="B191" t="s">
        <v>197</v>
      </c>
      <c r="C191" t="str">
        <f>TRIM(CLEAN(product_table[[#This Row],[product_type]]))</f>
        <v>Distribution</v>
      </c>
    </row>
    <row r="192" spans="1:3" x14ac:dyDescent="0.3">
      <c r="A192" t="s">
        <v>366</v>
      </c>
      <c r="B192" t="s">
        <v>197</v>
      </c>
      <c r="C192" t="str">
        <f>TRIM(CLEAN(product_table[[#This Row],[product_type]]))</f>
        <v>Distribution</v>
      </c>
    </row>
    <row r="193" spans="1:3" x14ac:dyDescent="0.3">
      <c r="A193" t="s">
        <v>367</v>
      </c>
      <c r="B193" t="s">
        <v>197</v>
      </c>
      <c r="C193" t="str">
        <f>TRIM(CLEAN(product_table[[#This Row],[product_type]]))</f>
        <v>Distribution</v>
      </c>
    </row>
    <row r="194" spans="1:3" hidden="1" x14ac:dyDescent="0.3">
      <c r="A194" t="s">
        <v>368</v>
      </c>
      <c r="B194" t="s">
        <v>175</v>
      </c>
      <c r="C194" t="str">
        <f>TRIM(CLEAN(product_table[[#This Row],[product_type]]))</f>
        <v>Own Brand</v>
      </c>
    </row>
    <row r="195" spans="1:3" hidden="1" x14ac:dyDescent="0.3">
      <c r="A195" t="s">
        <v>369</v>
      </c>
      <c r="B195" t="s">
        <v>175</v>
      </c>
      <c r="C195" t="str">
        <f>TRIM(CLEAN(product_table[[#This Row],[product_type]]))</f>
        <v>Own Brand</v>
      </c>
    </row>
    <row r="196" spans="1:3" hidden="1" x14ac:dyDescent="0.3">
      <c r="A196" t="s">
        <v>370</v>
      </c>
      <c r="B196" t="s">
        <v>175</v>
      </c>
      <c r="C196" t="str">
        <f>TRIM(CLEAN(product_table[[#This Row],[product_type]]))</f>
        <v>Own Brand</v>
      </c>
    </row>
    <row r="197" spans="1:3" hidden="1" x14ac:dyDescent="0.3">
      <c r="A197" t="s">
        <v>371</v>
      </c>
      <c r="B197" t="s">
        <v>175</v>
      </c>
      <c r="C197" t="str">
        <f>TRIM(CLEAN(product_table[[#This Row],[product_type]]))</f>
        <v>Own Brand</v>
      </c>
    </row>
    <row r="198" spans="1:3" hidden="1" x14ac:dyDescent="0.3">
      <c r="A198" t="s">
        <v>372</v>
      </c>
      <c r="B198" t="s">
        <v>175</v>
      </c>
      <c r="C198" t="str">
        <f>TRIM(CLEAN(product_table[[#This Row],[product_type]]))</f>
        <v>Own Brand</v>
      </c>
    </row>
    <row r="199" spans="1:3" hidden="1" x14ac:dyDescent="0.3">
      <c r="A199" t="s">
        <v>373</v>
      </c>
      <c r="B199" t="s">
        <v>175</v>
      </c>
      <c r="C199" t="str">
        <f>TRIM(CLEAN(product_table[[#This Row],[product_type]]))</f>
        <v>Own Brand</v>
      </c>
    </row>
    <row r="200" spans="1:3" hidden="1" x14ac:dyDescent="0.3">
      <c r="A200" t="s">
        <v>374</v>
      </c>
      <c r="B200" t="s">
        <v>175</v>
      </c>
      <c r="C200" t="str">
        <f>TRIM(CLEAN(product_table[[#This Row],[product_type]]))</f>
        <v>Own Brand</v>
      </c>
    </row>
    <row r="201" spans="1:3" hidden="1" x14ac:dyDescent="0.3">
      <c r="A201" t="s">
        <v>375</v>
      </c>
      <c r="B201" t="s">
        <v>175</v>
      </c>
      <c r="C201" t="str">
        <f>TRIM(CLEAN(product_table[[#This Row],[product_type]]))</f>
        <v>Own Brand</v>
      </c>
    </row>
    <row r="202" spans="1:3" hidden="1" x14ac:dyDescent="0.3">
      <c r="A202" t="s">
        <v>376</v>
      </c>
      <c r="B202" t="s">
        <v>175</v>
      </c>
      <c r="C202" t="str">
        <f>TRIM(CLEAN(product_table[[#This Row],[product_type]]))</f>
        <v>Own Brand</v>
      </c>
    </row>
    <row r="203" spans="1:3" hidden="1" x14ac:dyDescent="0.3">
      <c r="A203" t="s">
        <v>377</v>
      </c>
      <c r="B203" t="s">
        <v>175</v>
      </c>
      <c r="C203" t="str">
        <f>TRIM(CLEAN(product_table[[#This Row],[product_type]]))</f>
        <v>Own Brand</v>
      </c>
    </row>
    <row r="204" spans="1:3" x14ac:dyDescent="0.3">
      <c r="A204" t="s">
        <v>378</v>
      </c>
      <c r="B204" t="s">
        <v>197</v>
      </c>
      <c r="C204" t="str">
        <f>TRIM(CLEAN(product_table[[#This Row],[product_type]]))</f>
        <v>Distribution</v>
      </c>
    </row>
    <row r="205" spans="1:3" x14ac:dyDescent="0.3">
      <c r="A205" t="s">
        <v>379</v>
      </c>
      <c r="B205" t="s">
        <v>197</v>
      </c>
      <c r="C205" t="str">
        <f>TRIM(CLEAN(product_table[[#This Row],[product_type]]))</f>
        <v>Distribution</v>
      </c>
    </row>
    <row r="206" spans="1:3" x14ac:dyDescent="0.3">
      <c r="A206" t="s">
        <v>380</v>
      </c>
      <c r="B206" t="s">
        <v>197</v>
      </c>
      <c r="C206" t="str">
        <f>TRIM(CLEAN(product_table[[#This Row],[product_type]]))</f>
        <v>Distribution</v>
      </c>
    </row>
    <row r="207" spans="1:3" x14ac:dyDescent="0.3">
      <c r="A207" t="s">
        <v>381</v>
      </c>
      <c r="B207" t="s">
        <v>197</v>
      </c>
      <c r="C207" t="str">
        <f>TRIM(CLEAN(product_table[[#This Row],[product_type]]))</f>
        <v>Distribution</v>
      </c>
    </row>
    <row r="208" spans="1:3" x14ac:dyDescent="0.3">
      <c r="A208" t="s">
        <v>382</v>
      </c>
      <c r="B208" t="s">
        <v>197</v>
      </c>
      <c r="C208" t="str">
        <f>TRIM(CLEAN(product_table[[#This Row],[product_type]]))</f>
        <v>Distribution</v>
      </c>
    </row>
    <row r="209" spans="1:3" hidden="1" x14ac:dyDescent="0.3">
      <c r="A209" t="s">
        <v>383</v>
      </c>
      <c r="B209" t="s">
        <v>175</v>
      </c>
      <c r="C209" t="str">
        <f>TRIM(CLEAN(product_table[[#This Row],[product_type]]))</f>
        <v>Own Brand</v>
      </c>
    </row>
    <row r="210" spans="1:3" hidden="1" x14ac:dyDescent="0.3">
      <c r="A210" t="s">
        <v>384</v>
      </c>
      <c r="B210" t="s">
        <v>175</v>
      </c>
      <c r="C210" t="str">
        <f>TRIM(CLEAN(product_table[[#This Row],[product_type]]))</f>
        <v>Own Brand</v>
      </c>
    </row>
    <row r="211" spans="1:3" hidden="1" x14ac:dyDescent="0.3">
      <c r="A211" t="s">
        <v>385</v>
      </c>
      <c r="B211" t="s">
        <v>175</v>
      </c>
      <c r="C211" t="str">
        <f>TRIM(CLEAN(product_table[[#This Row],[product_type]]))</f>
        <v>Own Brand</v>
      </c>
    </row>
    <row r="212" spans="1:3" hidden="1" x14ac:dyDescent="0.3">
      <c r="A212" t="s">
        <v>386</v>
      </c>
      <c r="B212" t="s">
        <v>175</v>
      </c>
      <c r="C212" t="str">
        <f>TRIM(CLEAN(product_table[[#This Row],[product_type]]))</f>
        <v>Own Brand</v>
      </c>
    </row>
    <row r="213" spans="1:3" hidden="1" x14ac:dyDescent="0.3">
      <c r="A213" t="s">
        <v>387</v>
      </c>
      <c r="B213" t="s">
        <v>175</v>
      </c>
      <c r="C213" t="str">
        <f>TRIM(CLEAN(product_table[[#This Row],[product_type]]))</f>
        <v>Own Brand</v>
      </c>
    </row>
    <row r="214" spans="1:3" hidden="1" x14ac:dyDescent="0.3">
      <c r="A214" t="s">
        <v>388</v>
      </c>
      <c r="B214" t="s">
        <v>175</v>
      </c>
      <c r="C214" t="str">
        <f>TRIM(CLEAN(product_table[[#This Row],[product_type]]))</f>
        <v>Own Brand</v>
      </c>
    </row>
    <row r="215" spans="1:3" hidden="1" x14ac:dyDescent="0.3">
      <c r="A215" t="s">
        <v>389</v>
      </c>
      <c r="B215" t="s">
        <v>175</v>
      </c>
      <c r="C215" t="str">
        <f>TRIM(CLEAN(product_table[[#This Row],[product_type]]))</f>
        <v>Own Brand</v>
      </c>
    </row>
    <row r="216" spans="1:3" hidden="1" x14ac:dyDescent="0.3">
      <c r="A216" t="s">
        <v>390</v>
      </c>
      <c r="B216" t="s">
        <v>175</v>
      </c>
      <c r="C216" t="str">
        <f>TRIM(CLEAN(product_table[[#This Row],[product_type]]))</f>
        <v>Own Brand</v>
      </c>
    </row>
    <row r="217" spans="1:3" hidden="1" x14ac:dyDescent="0.3">
      <c r="A217" t="s">
        <v>391</v>
      </c>
      <c r="B217" t="s">
        <v>175</v>
      </c>
      <c r="C217" t="str">
        <f>TRIM(CLEAN(product_table[[#This Row],[product_type]]))</f>
        <v>Own Brand</v>
      </c>
    </row>
    <row r="218" spans="1:3" hidden="1" x14ac:dyDescent="0.3">
      <c r="A218" t="s">
        <v>392</v>
      </c>
      <c r="B218" t="s">
        <v>175</v>
      </c>
      <c r="C218" t="str">
        <f>TRIM(CLEAN(product_table[[#This Row],[product_type]]))</f>
        <v>Own Brand</v>
      </c>
    </row>
    <row r="219" spans="1:3" x14ac:dyDescent="0.3">
      <c r="A219" t="s">
        <v>393</v>
      </c>
      <c r="B219" t="s">
        <v>197</v>
      </c>
      <c r="C219" t="str">
        <f>TRIM(CLEAN(product_table[[#This Row],[product_type]]))</f>
        <v>Distribution</v>
      </c>
    </row>
    <row r="220" spans="1:3" x14ac:dyDescent="0.3">
      <c r="A220" t="s">
        <v>394</v>
      </c>
      <c r="B220" t="s">
        <v>197</v>
      </c>
      <c r="C220" t="str">
        <f>TRIM(CLEAN(product_table[[#This Row],[product_type]]))</f>
        <v>Distribution</v>
      </c>
    </row>
    <row r="221" spans="1:3" x14ac:dyDescent="0.3">
      <c r="A221" t="s">
        <v>395</v>
      </c>
      <c r="B221" t="s">
        <v>197</v>
      </c>
      <c r="C221" t="str">
        <f>TRIM(CLEAN(product_table[[#This Row],[product_type]]))</f>
        <v>Distribution</v>
      </c>
    </row>
    <row r="222" spans="1:3" x14ac:dyDescent="0.3">
      <c r="A222" t="s">
        <v>396</v>
      </c>
      <c r="B222" t="s">
        <v>197</v>
      </c>
      <c r="C222" t="str">
        <f>TRIM(CLEAN(product_table[[#This Row],[product_type]]))</f>
        <v>Distribution</v>
      </c>
    </row>
    <row r="223" spans="1:3" x14ac:dyDescent="0.3">
      <c r="A223" t="s">
        <v>397</v>
      </c>
      <c r="B223" t="s">
        <v>197</v>
      </c>
      <c r="C223" t="str">
        <f>TRIM(CLEAN(product_table[[#This Row],[product_type]]))</f>
        <v>Distribution</v>
      </c>
    </row>
    <row r="224" spans="1:3" hidden="1" x14ac:dyDescent="0.3">
      <c r="A224" t="s">
        <v>398</v>
      </c>
      <c r="B224" t="s">
        <v>175</v>
      </c>
      <c r="C224" t="str">
        <f>TRIM(CLEAN(product_table[[#This Row],[product_type]]))</f>
        <v>Own Brand</v>
      </c>
    </row>
    <row r="225" spans="1:3" hidden="1" x14ac:dyDescent="0.3">
      <c r="A225" t="s">
        <v>399</v>
      </c>
      <c r="B225" t="s">
        <v>175</v>
      </c>
      <c r="C225" t="str">
        <f>TRIM(CLEAN(product_table[[#This Row],[product_type]]))</f>
        <v>Own Brand</v>
      </c>
    </row>
    <row r="226" spans="1:3" hidden="1" x14ac:dyDescent="0.3">
      <c r="A226" t="s">
        <v>400</v>
      </c>
      <c r="B226" t="s">
        <v>175</v>
      </c>
      <c r="C226" t="str">
        <f>TRIM(CLEAN(product_table[[#This Row],[product_type]]))</f>
        <v>Own Brand</v>
      </c>
    </row>
    <row r="227" spans="1:3" hidden="1" x14ac:dyDescent="0.3">
      <c r="A227" t="s">
        <v>401</v>
      </c>
      <c r="B227" t="s">
        <v>175</v>
      </c>
      <c r="C227" t="str">
        <f>TRIM(CLEAN(product_table[[#This Row],[product_type]]))</f>
        <v>Own Brand</v>
      </c>
    </row>
    <row r="228" spans="1:3" hidden="1" x14ac:dyDescent="0.3">
      <c r="A228" t="s">
        <v>402</v>
      </c>
      <c r="B228" t="s">
        <v>175</v>
      </c>
      <c r="C228" t="str">
        <f>TRIM(CLEAN(product_table[[#This Row],[product_type]]))</f>
        <v>Own Brand</v>
      </c>
    </row>
    <row r="229" spans="1:3" hidden="1" x14ac:dyDescent="0.3">
      <c r="A229" t="s">
        <v>403</v>
      </c>
      <c r="B229" t="s">
        <v>175</v>
      </c>
      <c r="C229" t="str">
        <f>TRIM(CLEAN(product_table[[#This Row],[product_type]]))</f>
        <v>Own Brand</v>
      </c>
    </row>
    <row r="230" spans="1:3" hidden="1" x14ac:dyDescent="0.3">
      <c r="A230" t="s">
        <v>404</v>
      </c>
      <c r="B230" t="s">
        <v>175</v>
      </c>
      <c r="C230" t="str">
        <f>TRIM(CLEAN(product_table[[#This Row],[product_type]]))</f>
        <v>Own Brand</v>
      </c>
    </row>
    <row r="231" spans="1:3" hidden="1" x14ac:dyDescent="0.3">
      <c r="A231" t="s">
        <v>405</v>
      </c>
      <c r="B231" t="s">
        <v>175</v>
      </c>
      <c r="C231" t="str">
        <f>TRIM(CLEAN(product_table[[#This Row],[product_type]]))</f>
        <v>Own Brand</v>
      </c>
    </row>
    <row r="232" spans="1:3" hidden="1" x14ac:dyDescent="0.3">
      <c r="A232" t="s">
        <v>406</v>
      </c>
      <c r="B232" t="s">
        <v>175</v>
      </c>
      <c r="C232" t="str">
        <f>TRIM(CLEAN(product_table[[#This Row],[product_type]]))</f>
        <v>Own Brand</v>
      </c>
    </row>
    <row r="233" spans="1:3" hidden="1" x14ac:dyDescent="0.3">
      <c r="A233" t="s">
        <v>407</v>
      </c>
      <c r="B233" t="s">
        <v>175</v>
      </c>
      <c r="C233" t="str">
        <f>TRIM(CLEAN(product_table[[#This Row],[product_type]]))</f>
        <v>Own Brand</v>
      </c>
    </row>
    <row r="234" spans="1:3" x14ac:dyDescent="0.3">
      <c r="A234" t="s">
        <v>408</v>
      </c>
      <c r="B234" t="s">
        <v>197</v>
      </c>
      <c r="C234" t="str">
        <f>TRIM(CLEAN(product_table[[#This Row],[product_type]]))</f>
        <v>Distribution</v>
      </c>
    </row>
    <row r="235" spans="1:3" x14ac:dyDescent="0.3">
      <c r="A235" t="s">
        <v>409</v>
      </c>
      <c r="B235" t="s">
        <v>197</v>
      </c>
      <c r="C235" t="str">
        <f>TRIM(CLEAN(product_table[[#This Row],[product_type]]))</f>
        <v>Distribution</v>
      </c>
    </row>
    <row r="236" spans="1:3" x14ac:dyDescent="0.3">
      <c r="A236" t="s">
        <v>410</v>
      </c>
      <c r="B236" t="s">
        <v>197</v>
      </c>
      <c r="C236" t="str">
        <f>TRIM(CLEAN(product_table[[#This Row],[product_type]]))</f>
        <v>Distribution</v>
      </c>
    </row>
    <row r="237" spans="1:3" x14ac:dyDescent="0.3">
      <c r="A237" t="s">
        <v>411</v>
      </c>
      <c r="B237" t="s">
        <v>197</v>
      </c>
      <c r="C237" t="str">
        <f>TRIM(CLEAN(product_table[[#This Row],[product_type]]))</f>
        <v>Distribution</v>
      </c>
    </row>
    <row r="238" spans="1:3" x14ac:dyDescent="0.3">
      <c r="A238" t="s">
        <v>412</v>
      </c>
      <c r="B238" t="s">
        <v>197</v>
      </c>
      <c r="C238" t="str">
        <f>TRIM(CLEAN(product_table[[#This Row],[product_type]]))</f>
        <v>Distribution</v>
      </c>
    </row>
    <row r="239" spans="1:3" hidden="1" x14ac:dyDescent="0.3">
      <c r="A239" t="s">
        <v>413</v>
      </c>
      <c r="B239" t="s">
        <v>175</v>
      </c>
      <c r="C239" t="str">
        <f>TRIM(CLEAN(product_table[[#This Row],[product_type]]))</f>
        <v>Own Brand</v>
      </c>
    </row>
    <row r="240" spans="1:3" hidden="1" x14ac:dyDescent="0.3">
      <c r="A240" t="s">
        <v>414</v>
      </c>
      <c r="B240" t="s">
        <v>175</v>
      </c>
      <c r="C240" t="str">
        <f>TRIM(CLEAN(product_table[[#This Row],[product_type]]))</f>
        <v>Own Brand</v>
      </c>
    </row>
    <row r="241" spans="1:3" hidden="1" x14ac:dyDescent="0.3">
      <c r="A241" t="s">
        <v>415</v>
      </c>
      <c r="B241" t="s">
        <v>175</v>
      </c>
      <c r="C241" t="str">
        <f>TRIM(CLEAN(product_table[[#This Row],[product_type]]))</f>
        <v>Own Brand</v>
      </c>
    </row>
    <row r="242" spans="1:3" hidden="1" x14ac:dyDescent="0.3">
      <c r="A242" t="s">
        <v>416</v>
      </c>
      <c r="B242" t="s">
        <v>175</v>
      </c>
      <c r="C242" t="str">
        <f>TRIM(CLEAN(product_table[[#This Row],[product_type]]))</f>
        <v>Own Brand</v>
      </c>
    </row>
    <row r="243" spans="1:3" hidden="1" x14ac:dyDescent="0.3">
      <c r="A243" t="s">
        <v>417</v>
      </c>
      <c r="B243" t="s">
        <v>175</v>
      </c>
      <c r="C243" t="str">
        <f>TRIM(CLEAN(product_table[[#This Row],[product_type]]))</f>
        <v>Own Brand</v>
      </c>
    </row>
    <row r="244" spans="1:3" hidden="1" x14ac:dyDescent="0.3">
      <c r="A244" t="s">
        <v>418</v>
      </c>
      <c r="B244" t="s">
        <v>175</v>
      </c>
      <c r="C244" t="str">
        <f>TRIM(CLEAN(product_table[[#This Row],[product_type]]))</f>
        <v>Own Brand</v>
      </c>
    </row>
    <row r="245" spans="1:3" hidden="1" x14ac:dyDescent="0.3">
      <c r="A245" t="s">
        <v>419</v>
      </c>
      <c r="B245" t="s">
        <v>175</v>
      </c>
      <c r="C245" t="str">
        <f>TRIM(CLEAN(product_table[[#This Row],[product_type]]))</f>
        <v>Own Brand</v>
      </c>
    </row>
    <row r="246" spans="1:3" hidden="1" x14ac:dyDescent="0.3">
      <c r="A246" t="s">
        <v>420</v>
      </c>
      <c r="B246" t="s">
        <v>175</v>
      </c>
      <c r="C246" t="str">
        <f>TRIM(CLEAN(product_table[[#This Row],[product_type]]))</f>
        <v>Own Brand</v>
      </c>
    </row>
    <row r="247" spans="1:3" hidden="1" x14ac:dyDescent="0.3">
      <c r="A247" t="s">
        <v>421</v>
      </c>
      <c r="B247" t="s">
        <v>175</v>
      </c>
      <c r="C247" t="str">
        <f>TRIM(CLEAN(product_table[[#This Row],[product_type]]))</f>
        <v>Own Brand</v>
      </c>
    </row>
    <row r="248" spans="1:3" hidden="1" x14ac:dyDescent="0.3">
      <c r="A248" t="s">
        <v>422</v>
      </c>
      <c r="B248" t="s">
        <v>175</v>
      </c>
      <c r="C248" t="str">
        <f>TRIM(CLEAN(product_table[[#This Row],[product_type]]))</f>
        <v>Own Brand</v>
      </c>
    </row>
    <row r="249" spans="1:3" x14ac:dyDescent="0.3">
      <c r="A249" t="s">
        <v>423</v>
      </c>
      <c r="B249" t="s">
        <v>197</v>
      </c>
      <c r="C249" t="str">
        <f>TRIM(CLEAN(product_table[[#This Row],[product_type]]))</f>
        <v>Distribution</v>
      </c>
    </row>
    <row r="250" spans="1:3" x14ac:dyDescent="0.3">
      <c r="A250" t="s">
        <v>424</v>
      </c>
      <c r="B250" t="s">
        <v>197</v>
      </c>
      <c r="C250" t="str">
        <f>TRIM(CLEAN(product_table[[#This Row],[product_type]]))</f>
        <v>Distribution</v>
      </c>
    </row>
    <row r="251" spans="1:3" x14ac:dyDescent="0.3">
      <c r="A251" t="s">
        <v>425</v>
      </c>
      <c r="B251" t="s">
        <v>197</v>
      </c>
      <c r="C251" t="str">
        <f>TRIM(CLEAN(product_table[[#This Row],[product_type]]))</f>
        <v>Distribution</v>
      </c>
    </row>
    <row r="252" spans="1:3" x14ac:dyDescent="0.3">
      <c r="A252" t="s">
        <v>426</v>
      </c>
      <c r="B252" t="s">
        <v>197</v>
      </c>
      <c r="C252" t="str">
        <f>TRIM(CLEAN(product_table[[#This Row],[product_type]]))</f>
        <v>Distribution</v>
      </c>
    </row>
    <row r="253" spans="1:3" x14ac:dyDescent="0.3">
      <c r="A253" t="s">
        <v>427</v>
      </c>
      <c r="B253" t="s">
        <v>197</v>
      </c>
      <c r="C253" t="str">
        <f>TRIM(CLEAN(product_table[[#This Row],[product_type]]))</f>
        <v>Distribution</v>
      </c>
    </row>
    <row r="254" spans="1:3" hidden="1" x14ac:dyDescent="0.3">
      <c r="A254" t="s">
        <v>428</v>
      </c>
      <c r="B254" t="s">
        <v>175</v>
      </c>
      <c r="C254" t="str">
        <f>TRIM(CLEAN(product_table[[#This Row],[product_type]]))</f>
        <v>Own Brand</v>
      </c>
    </row>
    <row r="255" spans="1:3" hidden="1" x14ac:dyDescent="0.3">
      <c r="A255" t="s">
        <v>429</v>
      </c>
      <c r="B255" t="s">
        <v>175</v>
      </c>
      <c r="C255" t="str">
        <f>TRIM(CLEAN(product_table[[#This Row],[product_type]]))</f>
        <v>Own Brand</v>
      </c>
    </row>
    <row r="256" spans="1:3" hidden="1" x14ac:dyDescent="0.3">
      <c r="A256" t="s">
        <v>430</v>
      </c>
      <c r="B256" t="s">
        <v>175</v>
      </c>
      <c r="C256" t="str">
        <f>TRIM(CLEAN(product_table[[#This Row],[product_type]]))</f>
        <v>Own Brand</v>
      </c>
    </row>
    <row r="257" spans="1:3" hidden="1" x14ac:dyDescent="0.3">
      <c r="A257" t="s">
        <v>431</v>
      </c>
      <c r="B257" t="s">
        <v>175</v>
      </c>
      <c r="C257" t="str">
        <f>TRIM(CLEAN(product_table[[#This Row],[product_type]]))</f>
        <v>Own Brand</v>
      </c>
    </row>
    <row r="258" spans="1:3" hidden="1" x14ac:dyDescent="0.3">
      <c r="A258" t="s">
        <v>432</v>
      </c>
      <c r="B258" t="s">
        <v>175</v>
      </c>
      <c r="C258" t="str">
        <f>TRIM(CLEAN(product_table[[#This Row],[product_type]]))</f>
        <v>Own Brand</v>
      </c>
    </row>
    <row r="259" spans="1:3" hidden="1" x14ac:dyDescent="0.3">
      <c r="A259" t="s">
        <v>433</v>
      </c>
      <c r="B259" t="s">
        <v>175</v>
      </c>
      <c r="C259" t="str">
        <f>TRIM(CLEAN(product_table[[#This Row],[product_type]]))</f>
        <v>Own Brand</v>
      </c>
    </row>
    <row r="260" spans="1:3" hidden="1" x14ac:dyDescent="0.3">
      <c r="A260" t="s">
        <v>434</v>
      </c>
      <c r="B260" t="s">
        <v>175</v>
      </c>
      <c r="C260" t="str">
        <f>TRIM(CLEAN(product_table[[#This Row],[product_type]]))</f>
        <v>Own Brand</v>
      </c>
    </row>
    <row r="261" spans="1:3" hidden="1" x14ac:dyDescent="0.3">
      <c r="A261" t="s">
        <v>435</v>
      </c>
      <c r="B261" t="s">
        <v>175</v>
      </c>
      <c r="C261" t="str">
        <f>TRIM(CLEAN(product_table[[#This Row],[product_type]]))</f>
        <v>Own Brand</v>
      </c>
    </row>
    <row r="262" spans="1:3" hidden="1" x14ac:dyDescent="0.3">
      <c r="A262" t="s">
        <v>436</v>
      </c>
      <c r="B262" t="s">
        <v>175</v>
      </c>
      <c r="C262" t="str">
        <f>TRIM(CLEAN(product_table[[#This Row],[product_type]]))</f>
        <v>Own Brand</v>
      </c>
    </row>
    <row r="263" spans="1:3" hidden="1" x14ac:dyDescent="0.3">
      <c r="A263" t="s">
        <v>437</v>
      </c>
      <c r="B263" t="s">
        <v>175</v>
      </c>
      <c r="C263" t="str">
        <f>TRIM(CLEAN(product_table[[#This Row],[product_type]]))</f>
        <v>Own Brand</v>
      </c>
    </row>
    <row r="264" spans="1:3" x14ac:dyDescent="0.3">
      <c r="A264" t="s">
        <v>438</v>
      </c>
      <c r="B264" t="s">
        <v>197</v>
      </c>
      <c r="C264" t="str">
        <f>TRIM(CLEAN(product_table[[#This Row],[product_type]]))</f>
        <v>Distribution</v>
      </c>
    </row>
    <row r="265" spans="1:3" x14ac:dyDescent="0.3">
      <c r="A265" t="s">
        <v>439</v>
      </c>
      <c r="B265" t="s">
        <v>197</v>
      </c>
      <c r="C265" t="str">
        <f>TRIM(CLEAN(product_table[[#This Row],[product_type]]))</f>
        <v>Distribution</v>
      </c>
    </row>
    <row r="266" spans="1:3" x14ac:dyDescent="0.3">
      <c r="A266" t="s">
        <v>440</v>
      </c>
      <c r="B266" t="s">
        <v>197</v>
      </c>
      <c r="C266" t="str">
        <f>TRIM(CLEAN(product_table[[#This Row],[product_type]]))</f>
        <v>Distribution</v>
      </c>
    </row>
    <row r="267" spans="1:3" x14ac:dyDescent="0.3">
      <c r="A267" t="s">
        <v>441</v>
      </c>
      <c r="B267" t="s">
        <v>197</v>
      </c>
      <c r="C267" t="str">
        <f>TRIM(CLEAN(product_table[[#This Row],[product_type]]))</f>
        <v>Distribution</v>
      </c>
    </row>
    <row r="268" spans="1:3" x14ac:dyDescent="0.3">
      <c r="A268" t="s">
        <v>442</v>
      </c>
      <c r="B268" t="s">
        <v>197</v>
      </c>
      <c r="C268" t="str">
        <f>TRIM(CLEAN(product_table[[#This Row],[product_type]]))</f>
        <v>Distribution</v>
      </c>
    </row>
    <row r="269" spans="1:3" hidden="1" x14ac:dyDescent="0.3">
      <c r="A269" t="s">
        <v>443</v>
      </c>
      <c r="B269" t="s">
        <v>175</v>
      </c>
      <c r="C269" t="str">
        <f>TRIM(CLEAN(product_table[[#This Row],[product_type]]))</f>
        <v>Own Brand</v>
      </c>
    </row>
    <row r="270" spans="1:3" hidden="1" x14ac:dyDescent="0.3">
      <c r="A270" t="s">
        <v>444</v>
      </c>
      <c r="B270" t="s">
        <v>175</v>
      </c>
      <c r="C270" t="str">
        <f>TRIM(CLEAN(product_table[[#This Row],[product_type]]))</f>
        <v>Own Brand</v>
      </c>
    </row>
    <row r="271" spans="1:3" hidden="1" x14ac:dyDescent="0.3">
      <c r="A271" t="s">
        <v>445</v>
      </c>
      <c r="B271" t="s">
        <v>175</v>
      </c>
      <c r="C271" t="str">
        <f>TRIM(CLEAN(product_table[[#This Row],[product_type]]))</f>
        <v>Own Brand</v>
      </c>
    </row>
    <row r="272" spans="1:3" hidden="1" x14ac:dyDescent="0.3">
      <c r="A272" t="s">
        <v>446</v>
      </c>
      <c r="B272" t="s">
        <v>175</v>
      </c>
      <c r="C272" t="str">
        <f>TRIM(CLEAN(product_table[[#This Row],[product_type]]))</f>
        <v>Own Brand</v>
      </c>
    </row>
    <row r="273" spans="1:3" hidden="1" x14ac:dyDescent="0.3">
      <c r="A273" t="s">
        <v>447</v>
      </c>
      <c r="B273" t="s">
        <v>175</v>
      </c>
      <c r="C273" t="str">
        <f>TRIM(CLEAN(product_table[[#This Row],[product_type]]))</f>
        <v>Own Brand</v>
      </c>
    </row>
    <row r="274" spans="1:3" hidden="1" x14ac:dyDescent="0.3">
      <c r="A274" t="s">
        <v>448</v>
      </c>
      <c r="B274" t="s">
        <v>175</v>
      </c>
      <c r="C274" t="str">
        <f>TRIM(CLEAN(product_table[[#This Row],[product_type]]))</f>
        <v>Own Brand</v>
      </c>
    </row>
    <row r="275" spans="1:3" hidden="1" x14ac:dyDescent="0.3">
      <c r="A275" t="s">
        <v>449</v>
      </c>
      <c r="B275" t="s">
        <v>175</v>
      </c>
      <c r="C275" t="str">
        <f>TRIM(CLEAN(product_table[[#This Row],[product_type]]))</f>
        <v>Own Brand</v>
      </c>
    </row>
    <row r="276" spans="1:3" hidden="1" x14ac:dyDescent="0.3">
      <c r="A276" t="s">
        <v>450</v>
      </c>
      <c r="B276" t="s">
        <v>175</v>
      </c>
      <c r="C276" t="str">
        <f>TRIM(CLEAN(product_table[[#This Row],[product_type]]))</f>
        <v>Own Brand</v>
      </c>
    </row>
    <row r="277" spans="1:3" hidden="1" x14ac:dyDescent="0.3">
      <c r="A277" t="s">
        <v>451</v>
      </c>
      <c r="B277" t="s">
        <v>175</v>
      </c>
      <c r="C277" t="str">
        <f>TRIM(CLEAN(product_table[[#This Row],[product_type]]))</f>
        <v>Own Brand</v>
      </c>
    </row>
    <row r="278" spans="1:3" hidden="1" x14ac:dyDescent="0.3">
      <c r="A278" t="s">
        <v>452</v>
      </c>
      <c r="B278" t="s">
        <v>175</v>
      </c>
      <c r="C278" t="str">
        <f>TRIM(CLEAN(product_table[[#This Row],[product_type]]))</f>
        <v>Own Brand</v>
      </c>
    </row>
    <row r="279" spans="1:3" x14ac:dyDescent="0.3">
      <c r="A279" t="s">
        <v>453</v>
      </c>
      <c r="B279" t="s">
        <v>197</v>
      </c>
      <c r="C279" t="str">
        <f>TRIM(CLEAN(product_table[[#This Row],[product_type]]))</f>
        <v>Distribution</v>
      </c>
    </row>
    <row r="280" spans="1:3" x14ac:dyDescent="0.3">
      <c r="A280" t="s">
        <v>454</v>
      </c>
      <c r="B280" t="s">
        <v>197</v>
      </c>
      <c r="C280" t="str">
        <f>TRIM(CLEAN(product_table[[#This Row],[product_type]]))</f>
        <v>Distribution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E5FF2-1443-4C14-8CF0-0995776DEEF3}">
  <dimension ref="A1:G1001"/>
  <sheetViews>
    <sheetView workbookViewId="0">
      <selection activeCell="I2" sqref="I2"/>
    </sheetView>
  </sheetViews>
  <sheetFormatPr defaultRowHeight="14.4" x14ac:dyDescent="0.3"/>
  <cols>
    <col min="1" max="1" width="14.6640625" bestFit="1" customWidth="1"/>
    <col min="2" max="2" width="16.109375" bestFit="1" customWidth="1"/>
    <col min="3" max="3" width="14.109375" bestFit="1" customWidth="1"/>
    <col min="4" max="4" width="12.21875" bestFit="1" customWidth="1"/>
    <col min="5" max="5" width="11" bestFit="1" customWidth="1"/>
    <col min="6" max="6" width="14.6640625" bestFit="1" customWidth="1"/>
    <col min="7" max="7" width="10.44140625" bestFit="1" customWidth="1"/>
  </cols>
  <sheetData>
    <row r="1" spans="1:7" x14ac:dyDescent="0.3">
      <c r="A1" t="s">
        <v>172</v>
      </c>
      <c r="B1" t="s">
        <v>0</v>
      </c>
      <c r="C1" t="s">
        <v>455</v>
      </c>
      <c r="D1" t="s">
        <v>456</v>
      </c>
      <c r="E1" t="s">
        <v>457</v>
      </c>
      <c r="F1" t="s">
        <v>458</v>
      </c>
      <c r="G1" t="s">
        <v>459</v>
      </c>
    </row>
    <row r="2" spans="1:7" x14ac:dyDescent="0.3">
      <c r="A2" t="s">
        <v>174</v>
      </c>
      <c r="B2" t="s">
        <v>3</v>
      </c>
      <c r="C2" t="s">
        <v>135</v>
      </c>
      <c r="D2" s="1">
        <v>43018</v>
      </c>
      <c r="E2">
        <v>100</v>
      </c>
      <c r="F2">
        <v>41241</v>
      </c>
      <c r="G2" t="s">
        <v>460</v>
      </c>
    </row>
    <row r="3" spans="1:7" x14ac:dyDescent="0.3">
      <c r="A3" t="s">
        <v>174</v>
      </c>
      <c r="B3" t="s">
        <v>6</v>
      </c>
      <c r="C3" t="s">
        <v>138</v>
      </c>
      <c r="D3" s="1">
        <v>43228</v>
      </c>
      <c r="E3">
        <v>3</v>
      </c>
      <c r="F3">
        <v>-1</v>
      </c>
      <c r="G3" t="s">
        <v>460</v>
      </c>
    </row>
    <row r="4" spans="1:7" x14ac:dyDescent="0.3">
      <c r="A4" t="s">
        <v>176</v>
      </c>
      <c r="B4" t="s">
        <v>8</v>
      </c>
      <c r="C4" t="s">
        <v>141</v>
      </c>
      <c r="D4" s="1">
        <v>43196</v>
      </c>
      <c r="E4">
        <v>1</v>
      </c>
      <c r="F4">
        <v>875</v>
      </c>
      <c r="G4" t="s">
        <v>460</v>
      </c>
    </row>
    <row r="5" spans="1:7" x14ac:dyDescent="0.3">
      <c r="A5" t="s">
        <v>176</v>
      </c>
      <c r="B5" t="s">
        <v>8</v>
      </c>
      <c r="C5" t="s">
        <v>141</v>
      </c>
      <c r="D5" s="1">
        <v>43201</v>
      </c>
      <c r="E5">
        <v>1</v>
      </c>
      <c r="F5">
        <v>583</v>
      </c>
      <c r="G5" t="s">
        <v>460</v>
      </c>
    </row>
    <row r="6" spans="1:7" x14ac:dyDescent="0.3">
      <c r="A6" t="s">
        <v>176</v>
      </c>
      <c r="B6" t="s">
        <v>10</v>
      </c>
      <c r="C6" t="s">
        <v>141</v>
      </c>
      <c r="D6" s="1">
        <v>43269</v>
      </c>
      <c r="E6">
        <v>6</v>
      </c>
      <c r="F6">
        <v>7176</v>
      </c>
      <c r="G6" t="s">
        <v>460</v>
      </c>
    </row>
    <row r="7" spans="1:7" x14ac:dyDescent="0.3">
      <c r="A7" t="s">
        <v>177</v>
      </c>
      <c r="B7" t="s">
        <v>12</v>
      </c>
      <c r="C7" t="s">
        <v>144</v>
      </c>
      <c r="D7" s="1">
        <v>43059</v>
      </c>
      <c r="E7">
        <v>59</v>
      </c>
      <c r="F7">
        <v>500</v>
      </c>
      <c r="G7" t="s">
        <v>461</v>
      </c>
    </row>
    <row r="8" spans="1:7" x14ac:dyDescent="0.3">
      <c r="A8" t="s">
        <v>177</v>
      </c>
      <c r="B8" t="s">
        <v>12</v>
      </c>
      <c r="C8" t="s">
        <v>144</v>
      </c>
      <c r="D8" s="1">
        <v>43061</v>
      </c>
      <c r="E8">
        <v>36</v>
      </c>
      <c r="F8">
        <v>250</v>
      </c>
      <c r="G8" t="s">
        <v>461</v>
      </c>
    </row>
    <row r="9" spans="1:7" x14ac:dyDescent="0.3">
      <c r="A9" t="s">
        <v>177</v>
      </c>
      <c r="B9" t="s">
        <v>12</v>
      </c>
      <c r="C9" t="s">
        <v>144</v>
      </c>
      <c r="D9" s="1">
        <v>43062</v>
      </c>
      <c r="E9">
        <v>39</v>
      </c>
      <c r="F9">
        <v>21412</v>
      </c>
      <c r="G9" t="s">
        <v>460</v>
      </c>
    </row>
    <row r="10" spans="1:7" x14ac:dyDescent="0.3">
      <c r="A10" t="s">
        <v>177</v>
      </c>
      <c r="B10" t="s">
        <v>12</v>
      </c>
      <c r="C10" t="s">
        <v>144</v>
      </c>
      <c r="D10" s="1">
        <v>43066</v>
      </c>
      <c r="E10">
        <v>35</v>
      </c>
      <c r="F10">
        <v>19213</v>
      </c>
      <c r="G10" t="s">
        <v>460</v>
      </c>
    </row>
    <row r="11" spans="1:7" x14ac:dyDescent="0.3">
      <c r="A11" t="s">
        <v>177</v>
      </c>
      <c r="B11" t="s">
        <v>12</v>
      </c>
      <c r="C11" t="s">
        <v>144</v>
      </c>
      <c r="D11" s="1">
        <v>43067</v>
      </c>
      <c r="E11">
        <v>310</v>
      </c>
      <c r="F11">
        <v>170185</v>
      </c>
      <c r="G11" t="s">
        <v>460</v>
      </c>
    </row>
    <row r="12" spans="1:7" x14ac:dyDescent="0.3">
      <c r="A12" t="s">
        <v>177</v>
      </c>
      <c r="B12" t="s">
        <v>12</v>
      </c>
      <c r="C12" t="s">
        <v>144</v>
      </c>
      <c r="D12" s="1">
        <v>43068</v>
      </c>
      <c r="E12">
        <v>184</v>
      </c>
      <c r="F12">
        <v>101194</v>
      </c>
      <c r="G12" t="s">
        <v>460</v>
      </c>
    </row>
    <row r="13" spans="1:7" x14ac:dyDescent="0.3">
      <c r="A13" t="s">
        <v>177</v>
      </c>
      <c r="B13" t="s">
        <v>12</v>
      </c>
      <c r="C13" t="s">
        <v>144</v>
      </c>
      <c r="D13" s="1">
        <v>43069</v>
      </c>
      <c r="E13">
        <v>35</v>
      </c>
      <c r="F13">
        <v>19213</v>
      </c>
      <c r="G13" t="s">
        <v>460</v>
      </c>
    </row>
    <row r="14" spans="1:7" x14ac:dyDescent="0.3">
      <c r="A14" t="s">
        <v>178</v>
      </c>
      <c r="B14" t="s">
        <v>12</v>
      </c>
      <c r="C14" t="s">
        <v>144</v>
      </c>
      <c r="D14" s="1">
        <v>43068</v>
      </c>
      <c r="E14">
        <v>17</v>
      </c>
      <c r="F14">
        <v>9426</v>
      </c>
      <c r="G14" t="s">
        <v>460</v>
      </c>
    </row>
    <row r="15" spans="1:7" x14ac:dyDescent="0.3">
      <c r="A15" t="s">
        <v>178</v>
      </c>
      <c r="B15" t="s">
        <v>12</v>
      </c>
      <c r="C15" t="s">
        <v>144</v>
      </c>
      <c r="D15" s="1">
        <v>43088</v>
      </c>
      <c r="E15">
        <v>1</v>
      </c>
      <c r="F15">
        <v>218</v>
      </c>
      <c r="G15" t="s">
        <v>460</v>
      </c>
    </row>
    <row r="16" spans="1:7" x14ac:dyDescent="0.3">
      <c r="A16" t="s">
        <v>179</v>
      </c>
      <c r="B16" t="s">
        <v>12</v>
      </c>
      <c r="C16" t="s">
        <v>144</v>
      </c>
      <c r="D16" s="1">
        <v>43319</v>
      </c>
      <c r="E16">
        <v>5</v>
      </c>
      <c r="F16">
        <v>3093</v>
      </c>
      <c r="G16" t="s">
        <v>460</v>
      </c>
    </row>
    <row r="17" spans="1:7" x14ac:dyDescent="0.3">
      <c r="A17" t="s">
        <v>177</v>
      </c>
      <c r="B17" t="s">
        <v>14</v>
      </c>
      <c r="C17" t="s">
        <v>144</v>
      </c>
      <c r="D17" s="1">
        <v>43073</v>
      </c>
      <c r="E17">
        <v>58</v>
      </c>
      <c r="F17">
        <v>30306</v>
      </c>
      <c r="G17" t="s">
        <v>460</v>
      </c>
    </row>
    <row r="18" spans="1:7" x14ac:dyDescent="0.3">
      <c r="A18" t="s">
        <v>179</v>
      </c>
      <c r="B18" t="s">
        <v>14</v>
      </c>
      <c r="C18" t="s">
        <v>144</v>
      </c>
      <c r="D18" s="1">
        <v>43280</v>
      </c>
      <c r="E18">
        <v>38</v>
      </c>
      <c r="F18">
        <v>52319</v>
      </c>
      <c r="G18" t="s">
        <v>460</v>
      </c>
    </row>
    <row r="19" spans="1:7" x14ac:dyDescent="0.3">
      <c r="A19" t="s">
        <v>179</v>
      </c>
      <c r="B19" t="s">
        <v>14</v>
      </c>
      <c r="C19" t="s">
        <v>144</v>
      </c>
      <c r="D19" s="1">
        <v>43283</v>
      </c>
      <c r="E19">
        <v>93</v>
      </c>
      <c r="F19">
        <v>126296</v>
      </c>
      <c r="G19" t="s">
        <v>460</v>
      </c>
    </row>
    <row r="20" spans="1:7" x14ac:dyDescent="0.3">
      <c r="A20" t="s">
        <v>179</v>
      </c>
      <c r="B20" t="s">
        <v>14</v>
      </c>
      <c r="C20" t="s">
        <v>144</v>
      </c>
      <c r="D20" s="1">
        <v>43284</v>
      </c>
      <c r="E20">
        <v>79</v>
      </c>
      <c r="F20">
        <v>107500</v>
      </c>
      <c r="G20" t="s">
        <v>460</v>
      </c>
    </row>
    <row r="21" spans="1:7" x14ac:dyDescent="0.3">
      <c r="A21" t="s">
        <v>179</v>
      </c>
      <c r="B21" t="s">
        <v>14</v>
      </c>
      <c r="C21" t="s">
        <v>144</v>
      </c>
      <c r="D21" s="1">
        <v>43285</v>
      </c>
      <c r="E21">
        <v>1</v>
      </c>
      <c r="F21">
        <v>273</v>
      </c>
      <c r="G21" t="s">
        <v>460</v>
      </c>
    </row>
    <row r="22" spans="1:7" x14ac:dyDescent="0.3">
      <c r="A22" t="s">
        <v>179</v>
      </c>
      <c r="B22" t="s">
        <v>14</v>
      </c>
      <c r="C22" t="s">
        <v>144</v>
      </c>
      <c r="D22" s="1">
        <v>43287</v>
      </c>
      <c r="E22">
        <v>3</v>
      </c>
      <c r="F22">
        <v>3574</v>
      </c>
      <c r="G22" t="s">
        <v>460</v>
      </c>
    </row>
    <row r="23" spans="1:7" x14ac:dyDescent="0.3">
      <c r="A23" t="s">
        <v>179</v>
      </c>
      <c r="B23" t="s">
        <v>14</v>
      </c>
      <c r="C23" t="s">
        <v>144</v>
      </c>
      <c r="D23" s="1">
        <v>43294</v>
      </c>
      <c r="E23">
        <v>1</v>
      </c>
      <c r="F23">
        <v>273</v>
      </c>
      <c r="G23" t="s">
        <v>460</v>
      </c>
    </row>
    <row r="24" spans="1:7" x14ac:dyDescent="0.3">
      <c r="A24" t="s">
        <v>179</v>
      </c>
      <c r="B24" t="s">
        <v>14</v>
      </c>
      <c r="C24" t="s">
        <v>144</v>
      </c>
      <c r="D24" s="1">
        <v>43623</v>
      </c>
      <c r="E24">
        <v>20</v>
      </c>
      <c r="F24">
        <v>23403</v>
      </c>
      <c r="G24" t="s">
        <v>460</v>
      </c>
    </row>
    <row r="25" spans="1:7" x14ac:dyDescent="0.3">
      <c r="A25" t="s">
        <v>179</v>
      </c>
      <c r="B25" t="s">
        <v>14</v>
      </c>
      <c r="C25" t="s">
        <v>144</v>
      </c>
      <c r="D25" s="1">
        <v>43675</v>
      </c>
      <c r="E25">
        <v>81</v>
      </c>
      <c r="F25">
        <v>76329</v>
      </c>
      <c r="G25" t="s">
        <v>460</v>
      </c>
    </row>
    <row r="26" spans="1:7" x14ac:dyDescent="0.3">
      <c r="A26" t="s">
        <v>179</v>
      </c>
      <c r="B26" t="s">
        <v>14</v>
      </c>
      <c r="C26" t="s">
        <v>144</v>
      </c>
      <c r="D26" s="1">
        <v>43678</v>
      </c>
      <c r="E26">
        <v>5</v>
      </c>
      <c r="F26">
        <v>4542</v>
      </c>
      <c r="G26" t="s">
        <v>460</v>
      </c>
    </row>
    <row r="27" spans="1:7" x14ac:dyDescent="0.3">
      <c r="A27" t="s">
        <v>179</v>
      </c>
      <c r="B27" t="s">
        <v>14</v>
      </c>
      <c r="C27" t="s">
        <v>144</v>
      </c>
      <c r="D27" s="1">
        <v>43727</v>
      </c>
      <c r="E27">
        <v>18</v>
      </c>
      <c r="F27">
        <v>16579</v>
      </c>
      <c r="G27" t="s">
        <v>460</v>
      </c>
    </row>
    <row r="28" spans="1:7" x14ac:dyDescent="0.3">
      <c r="A28" t="s">
        <v>179</v>
      </c>
      <c r="B28" t="s">
        <v>14</v>
      </c>
      <c r="C28" t="s">
        <v>144</v>
      </c>
      <c r="D28" s="1">
        <v>43735</v>
      </c>
      <c r="E28">
        <v>90</v>
      </c>
      <c r="F28">
        <v>105301</v>
      </c>
      <c r="G28" t="s">
        <v>460</v>
      </c>
    </row>
    <row r="29" spans="1:7" x14ac:dyDescent="0.3">
      <c r="A29" t="s">
        <v>178</v>
      </c>
      <c r="B29" t="s">
        <v>16</v>
      </c>
      <c r="C29" t="s">
        <v>144</v>
      </c>
      <c r="D29" s="1">
        <v>43017</v>
      </c>
      <c r="E29">
        <v>1</v>
      </c>
      <c r="F29">
        <v>185</v>
      </c>
      <c r="G29" t="s">
        <v>460</v>
      </c>
    </row>
    <row r="30" spans="1:7" x14ac:dyDescent="0.3">
      <c r="A30" t="s">
        <v>178</v>
      </c>
      <c r="B30" t="s">
        <v>16</v>
      </c>
      <c r="C30" t="s">
        <v>144</v>
      </c>
      <c r="D30" s="1">
        <v>43021</v>
      </c>
      <c r="E30">
        <v>1</v>
      </c>
      <c r="F30">
        <v>556</v>
      </c>
      <c r="G30" t="s">
        <v>460</v>
      </c>
    </row>
    <row r="31" spans="1:7" x14ac:dyDescent="0.3">
      <c r="A31" t="s">
        <v>178</v>
      </c>
      <c r="B31" t="s">
        <v>16</v>
      </c>
      <c r="C31" t="s">
        <v>144</v>
      </c>
      <c r="D31" s="1">
        <v>43035</v>
      </c>
      <c r="E31">
        <v>1</v>
      </c>
      <c r="F31">
        <v>551</v>
      </c>
      <c r="G31" t="s">
        <v>460</v>
      </c>
    </row>
    <row r="32" spans="1:7" x14ac:dyDescent="0.3">
      <c r="A32" t="s">
        <v>178</v>
      </c>
      <c r="B32" t="s">
        <v>16</v>
      </c>
      <c r="C32" t="s">
        <v>144</v>
      </c>
      <c r="D32" s="1">
        <v>43042</v>
      </c>
      <c r="E32">
        <v>1</v>
      </c>
      <c r="F32">
        <v>167</v>
      </c>
      <c r="G32" t="s">
        <v>460</v>
      </c>
    </row>
    <row r="33" spans="1:7" x14ac:dyDescent="0.3">
      <c r="A33" t="s">
        <v>178</v>
      </c>
      <c r="B33" t="s">
        <v>16</v>
      </c>
      <c r="C33" t="s">
        <v>144</v>
      </c>
      <c r="D33" s="1">
        <v>43045</v>
      </c>
      <c r="E33">
        <v>1</v>
      </c>
      <c r="F33">
        <v>333</v>
      </c>
      <c r="G33" t="s">
        <v>460</v>
      </c>
    </row>
    <row r="34" spans="1:7" x14ac:dyDescent="0.3">
      <c r="A34" t="s">
        <v>178</v>
      </c>
      <c r="B34" t="s">
        <v>16</v>
      </c>
      <c r="C34" t="s">
        <v>144</v>
      </c>
      <c r="D34" s="1">
        <v>43049</v>
      </c>
      <c r="E34">
        <v>1</v>
      </c>
      <c r="F34">
        <v>500</v>
      </c>
      <c r="G34" t="s">
        <v>460</v>
      </c>
    </row>
    <row r="35" spans="1:7" x14ac:dyDescent="0.3">
      <c r="A35" t="s">
        <v>178</v>
      </c>
      <c r="B35" t="s">
        <v>16</v>
      </c>
      <c r="C35" t="s">
        <v>144</v>
      </c>
      <c r="D35" s="1">
        <v>43055</v>
      </c>
      <c r="E35">
        <v>1</v>
      </c>
      <c r="F35">
        <v>333</v>
      </c>
      <c r="G35" t="s">
        <v>460</v>
      </c>
    </row>
    <row r="36" spans="1:7" x14ac:dyDescent="0.3">
      <c r="A36" t="s">
        <v>178</v>
      </c>
      <c r="B36" t="s">
        <v>16</v>
      </c>
      <c r="C36" t="s">
        <v>144</v>
      </c>
      <c r="D36" s="1">
        <v>43056</v>
      </c>
      <c r="E36">
        <v>1</v>
      </c>
      <c r="F36">
        <v>333</v>
      </c>
      <c r="G36" t="s">
        <v>460</v>
      </c>
    </row>
    <row r="37" spans="1:7" x14ac:dyDescent="0.3">
      <c r="A37" t="s">
        <v>178</v>
      </c>
      <c r="B37" t="s">
        <v>16</v>
      </c>
      <c r="C37" t="s">
        <v>144</v>
      </c>
      <c r="D37" s="1">
        <v>43066</v>
      </c>
      <c r="E37">
        <v>1</v>
      </c>
      <c r="F37">
        <v>500</v>
      </c>
      <c r="G37" t="s">
        <v>460</v>
      </c>
    </row>
    <row r="38" spans="1:7" x14ac:dyDescent="0.3">
      <c r="A38" t="s">
        <v>178</v>
      </c>
      <c r="B38" t="s">
        <v>16</v>
      </c>
      <c r="C38" t="s">
        <v>144</v>
      </c>
      <c r="D38" s="1">
        <v>43073</v>
      </c>
      <c r="E38">
        <v>1</v>
      </c>
      <c r="F38">
        <v>833</v>
      </c>
      <c r="G38" t="s">
        <v>460</v>
      </c>
    </row>
    <row r="39" spans="1:7" x14ac:dyDescent="0.3">
      <c r="A39" t="s">
        <v>178</v>
      </c>
      <c r="B39" t="s">
        <v>16</v>
      </c>
      <c r="C39" t="s">
        <v>144</v>
      </c>
      <c r="D39" s="1">
        <v>43077</v>
      </c>
      <c r="E39">
        <v>1</v>
      </c>
      <c r="F39">
        <v>167</v>
      </c>
      <c r="G39" t="s">
        <v>460</v>
      </c>
    </row>
    <row r="40" spans="1:7" x14ac:dyDescent="0.3">
      <c r="A40" t="s">
        <v>178</v>
      </c>
      <c r="B40" t="s">
        <v>16</v>
      </c>
      <c r="C40" t="s">
        <v>144</v>
      </c>
      <c r="D40" s="1">
        <v>43080</v>
      </c>
      <c r="E40">
        <v>1</v>
      </c>
      <c r="F40">
        <v>833</v>
      </c>
      <c r="G40" t="s">
        <v>460</v>
      </c>
    </row>
    <row r="41" spans="1:7" x14ac:dyDescent="0.3">
      <c r="A41" t="s">
        <v>178</v>
      </c>
      <c r="B41" t="s">
        <v>16</v>
      </c>
      <c r="C41" t="s">
        <v>144</v>
      </c>
      <c r="D41" s="1">
        <v>43087</v>
      </c>
      <c r="E41">
        <v>1</v>
      </c>
      <c r="F41">
        <v>1000</v>
      </c>
      <c r="G41" t="s">
        <v>460</v>
      </c>
    </row>
    <row r="42" spans="1:7" x14ac:dyDescent="0.3">
      <c r="A42" t="s">
        <v>178</v>
      </c>
      <c r="B42" t="s">
        <v>16</v>
      </c>
      <c r="C42" t="s">
        <v>144</v>
      </c>
      <c r="D42" s="1">
        <v>43096</v>
      </c>
      <c r="E42">
        <v>2</v>
      </c>
      <c r="F42">
        <v>1833</v>
      </c>
      <c r="G42" t="s">
        <v>460</v>
      </c>
    </row>
    <row r="43" spans="1:7" x14ac:dyDescent="0.3">
      <c r="A43" t="s">
        <v>178</v>
      </c>
      <c r="B43" t="s">
        <v>16</v>
      </c>
      <c r="C43" t="s">
        <v>144</v>
      </c>
      <c r="D43" s="1">
        <v>43097</v>
      </c>
      <c r="E43">
        <v>1</v>
      </c>
      <c r="F43">
        <v>167</v>
      </c>
      <c r="G43" t="s">
        <v>460</v>
      </c>
    </row>
    <row r="44" spans="1:7" x14ac:dyDescent="0.3">
      <c r="A44" t="s">
        <v>178</v>
      </c>
      <c r="B44" t="s">
        <v>16</v>
      </c>
      <c r="C44" t="s">
        <v>144</v>
      </c>
      <c r="D44" s="1">
        <v>43105</v>
      </c>
      <c r="E44">
        <v>1</v>
      </c>
      <c r="F44">
        <v>167</v>
      </c>
      <c r="G44" t="s">
        <v>460</v>
      </c>
    </row>
    <row r="45" spans="1:7" x14ac:dyDescent="0.3">
      <c r="A45" t="s">
        <v>178</v>
      </c>
      <c r="B45" t="s">
        <v>16</v>
      </c>
      <c r="C45" t="s">
        <v>144</v>
      </c>
      <c r="D45" s="1">
        <v>43108</v>
      </c>
      <c r="E45">
        <v>1</v>
      </c>
      <c r="F45">
        <v>833</v>
      </c>
      <c r="G45" t="s">
        <v>460</v>
      </c>
    </row>
    <row r="46" spans="1:7" x14ac:dyDescent="0.3">
      <c r="A46" t="s">
        <v>178</v>
      </c>
      <c r="B46" t="s">
        <v>16</v>
      </c>
      <c r="C46" t="s">
        <v>144</v>
      </c>
      <c r="D46" s="1">
        <v>43122</v>
      </c>
      <c r="E46">
        <v>1</v>
      </c>
      <c r="F46">
        <v>167</v>
      </c>
      <c r="G46" t="s">
        <v>460</v>
      </c>
    </row>
    <row r="47" spans="1:7" x14ac:dyDescent="0.3">
      <c r="A47" t="s">
        <v>178</v>
      </c>
      <c r="B47" t="s">
        <v>16</v>
      </c>
      <c r="C47" t="s">
        <v>144</v>
      </c>
      <c r="D47" s="1">
        <v>43152</v>
      </c>
      <c r="E47">
        <v>26</v>
      </c>
      <c r="F47">
        <v>10657</v>
      </c>
      <c r="G47" t="s">
        <v>460</v>
      </c>
    </row>
    <row r="48" spans="1:7" x14ac:dyDescent="0.3">
      <c r="A48" t="s">
        <v>178</v>
      </c>
      <c r="B48" t="s">
        <v>16</v>
      </c>
      <c r="C48" t="s">
        <v>144</v>
      </c>
      <c r="D48" s="1">
        <v>43154</v>
      </c>
      <c r="E48">
        <v>1</v>
      </c>
      <c r="F48">
        <v>167</v>
      </c>
      <c r="G48" t="s">
        <v>460</v>
      </c>
    </row>
    <row r="49" spans="1:7" x14ac:dyDescent="0.3">
      <c r="A49" t="s">
        <v>179</v>
      </c>
      <c r="B49" t="s">
        <v>16</v>
      </c>
      <c r="C49" t="s">
        <v>144</v>
      </c>
      <c r="D49" s="1">
        <v>43315</v>
      </c>
      <c r="E49">
        <v>1</v>
      </c>
      <c r="F49">
        <v>157</v>
      </c>
      <c r="G49" t="s">
        <v>460</v>
      </c>
    </row>
    <row r="50" spans="1:7" x14ac:dyDescent="0.3">
      <c r="A50" t="s">
        <v>179</v>
      </c>
      <c r="B50" t="s">
        <v>16</v>
      </c>
      <c r="C50" t="s">
        <v>144</v>
      </c>
      <c r="D50" s="1">
        <v>43336</v>
      </c>
      <c r="E50">
        <v>1</v>
      </c>
      <c r="F50">
        <v>315</v>
      </c>
      <c r="G50" t="s">
        <v>460</v>
      </c>
    </row>
    <row r="51" spans="1:7" x14ac:dyDescent="0.3">
      <c r="A51" t="s">
        <v>179</v>
      </c>
      <c r="B51" t="s">
        <v>16</v>
      </c>
      <c r="C51" t="s">
        <v>144</v>
      </c>
      <c r="D51" s="1">
        <v>43364</v>
      </c>
      <c r="E51">
        <v>1</v>
      </c>
      <c r="F51">
        <v>630</v>
      </c>
      <c r="G51" t="s">
        <v>460</v>
      </c>
    </row>
    <row r="52" spans="1:7" x14ac:dyDescent="0.3">
      <c r="A52" t="s">
        <v>179</v>
      </c>
      <c r="B52" t="s">
        <v>16</v>
      </c>
      <c r="C52" t="s">
        <v>144</v>
      </c>
      <c r="D52" s="1">
        <v>43371</v>
      </c>
      <c r="E52">
        <v>1</v>
      </c>
      <c r="F52">
        <v>315</v>
      </c>
      <c r="G52" t="s">
        <v>460</v>
      </c>
    </row>
    <row r="53" spans="1:7" x14ac:dyDescent="0.3">
      <c r="A53" t="s">
        <v>179</v>
      </c>
      <c r="B53" t="s">
        <v>16</v>
      </c>
      <c r="C53" t="s">
        <v>144</v>
      </c>
      <c r="D53" s="1">
        <v>43413</v>
      </c>
      <c r="E53">
        <v>1</v>
      </c>
      <c r="F53">
        <v>157</v>
      </c>
      <c r="G53" t="s">
        <v>460</v>
      </c>
    </row>
    <row r="54" spans="1:7" x14ac:dyDescent="0.3">
      <c r="A54" t="s">
        <v>179</v>
      </c>
      <c r="B54" t="s">
        <v>16</v>
      </c>
      <c r="C54" t="s">
        <v>144</v>
      </c>
      <c r="D54" s="1">
        <v>43420</v>
      </c>
      <c r="E54">
        <v>1</v>
      </c>
      <c r="F54">
        <v>472</v>
      </c>
      <c r="G54" t="s">
        <v>460</v>
      </c>
    </row>
    <row r="55" spans="1:7" x14ac:dyDescent="0.3">
      <c r="A55" t="s">
        <v>179</v>
      </c>
      <c r="B55" t="s">
        <v>16</v>
      </c>
      <c r="C55" t="s">
        <v>144</v>
      </c>
      <c r="D55" s="1">
        <v>43441</v>
      </c>
      <c r="E55">
        <v>1</v>
      </c>
      <c r="F55">
        <v>157</v>
      </c>
      <c r="G55" t="s">
        <v>460</v>
      </c>
    </row>
    <row r="56" spans="1:7" x14ac:dyDescent="0.3">
      <c r="A56" t="s">
        <v>179</v>
      </c>
      <c r="B56" t="s">
        <v>16</v>
      </c>
      <c r="C56" t="s">
        <v>144</v>
      </c>
      <c r="D56" s="1">
        <v>43448</v>
      </c>
      <c r="E56">
        <v>1</v>
      </c>
      <c r="F56">
        <v>157</v>
      </c>
      <c r="G56" t="s">
        <v>460</v>
      </c>
    </row>
    <row r="57" spans="1:7" x14ac:dyDescent="0.3">
      <c r="A57" t="s">
        <v>179</v>
      </c>
      <c r="B57" t="s">
        <v>16</v>
      </c>
      <c r="C57" t="s">
        <v>144</v>
      </c>
      <c r="D57" s="1">
        <v>43490</v>
      </c>
      <c r="E57">
        <v>1</v>
      </c>
      <c r="F57">
        <v>315</v>
      </c>
      <c r="G57" t="s">
        <v>460</v>
      </c>
    </row>
    <row r="58" spans="1:7" x14ac:dyDescent="0.3">
      <c r="A58" t="s">
        <v>179</v>
      </c>
      <c r="B58" t="s">
        <v>16</v>
      </c>
      <c r="C58" t="s">
        <v>144</v>
      </c>
      <c r="D58" s="1">
        <v>43497</v>
      </c>
      <c r="E58">
        <v>1</v>
      </c>
      <c r="F58">
        <v>157</v>
      </c>
      <c r="G58" t="s">
        <v>460</v>
      </c>
    </row>
    <row r="59" spans="1:7" x14ac:dyDescent="0.3">
      <c r="A59" t="s">
        <v>179</v>
      </c>
      <c r="B59" t="s">
        <v>16</v>
      </c>
      <c r="C59" t="s">
        <v>144</v>
      </c>
      <c r="D59" s="1">
        <v>43504</v>
      </c>
      <c r="E59">
        <v>1</v>
      </c>
      <c r="F59">
        <v>472</v>
      </c>
      <c r="G59" t="s">
        <v>460</v>
      </c>
    </row>
    <row r="60" spans="1:7" x14ac:dyDescent="0.3">
      <c r="A60" t="s">
        <v>179</v>
      </c>
      <c r="B60" t="s">
        <v>16</v>
      </c>
      <c r="C60" t="s">
        <v>144</v>
      </c>
      <c r="D60" s="1">
        <v>43511</v>
      </c>
      <c r="E60">
        <v>1</v>
      </c>
      <c r="F60">
        <v>472</v>
      </c>
      <c r="G60" t="s">
        <v>460</v>
      </c>
    </row>
    <row r="61" spans="1:7" x14ac:dyDescent="0.3">
      <c r="A61" t="s">
        <v>179</v>
      </c>
      <c r="B61" t="s">
        <v>16</v>
      </c>
      <c r="C61" t="s">
        <v>144</v>
      </c>
      <c r="D61" s="1">
        <v>43518</v>
      </c>
      <c r="E61">
        <v>1</v>
      </c>
      <c r="F61">
        <v>315</v>
      </c>
      <c r="G61" t="s">
        <v>460</v>
      </c>
    </row>
    <row r="62" spans="1:7" x14ac:dyDescent="0.3">
      <c r="A62" t="s">
        <v>179</v>
      </c>
      <c r="B62" t="s">
        <v>16</v>
      </c>
      <c r="C62" t="s">
        <v>144</v>
      </c>
      <c r="D62" s="1">
        <v>43525</v>
      </c>
      <c r="E62">
        <v>1</v>
      </c>
      <c r="F62">
        <v>472</v>
      </c>
      <c r="G62" t="s">
        <v>460</v>
      </c>
    </row>
    <row r="63" spans="1:7" x14ac:dyDescent="0.3">
      <c r="A63" t="s">
        <v>179</v>
      </c>
      <c r="B63" t="s">
        <v>16</v>
      </c>
      <c r="C63" t="s">
        <v>144</v>
      </c>
      <c r="D63" s="1">
        <v>43532</v>
      </c>
      <c r="E63">
        <v>1</v>
      </c>
      <c r="F63">
        <v>315</v>
      </c>
      <c r="G63" t="s">
        <v>460</v>
      </c>
    </row>
    <row r="64" spans="1:7" x14ac:dyDescent="0.3">
      <c r="A64" t="s">
        <v>179</v>
      </c>
      <c r="B64" t="s">
        <v>16</v>
      </c>
      <c r="C64" t="s">
        <v>144</v>
      </c>
      <c r="D64" s="1">
        <v>43539</v>
      </c>
      <c r="E64">
        <v>1</v>
      </c>
      <c r="F64">
        <v>157</v>
      </c>
      <c r="G64" t="s">
        <v>460</v>
      </c>
    </row>
    <row r="65" spans="1:7" x14ac:dyDescent="0.3">
      <c r="A65" t="s">
        <v>179</v>
      </c>
      <c r="B65" t="s">
        <v>16</v>
      </c>
      <c r="C65" t="s">
        <v>144</v>
      </c>
      <c r="D65" s="1">
        <v>43546</v>
      </c>
      <c r="E65">
        <v>1</v>
      </c>
      <c r="F65">
        <v>315</v>
      </c>
      <c r="G65" t="s">
        <v>460</v>
      </c>
    </row>
    <row r="66" spans="1:7" x14ac:dyDescent="0.3">
      <c r="A66" t="s">
        <v>179</v>
      </c>
      <c r="B66" t="s">
        <v>16</v>
      </c>
      <c r="C66" t="s">
        <v>144</v>
      </c>
      <c r="D66" s="1">
        <v>43553</v>
      </c>
      <c r="E66">
        <v>1</v>
      </c>
      <c r="F66">
        <v>315</v>
      </c>
      <c r="G66" t="s">
        <v>460</v>
      </c>
    </row>
    <row r="67" spans="1:7" x14ac:dyDescent="0.3">
      <c r="A67" t="s">
        <v>179</v>
      </c>
      <c r="B67" t="s">
        <v>16</v>
      </c>
      <c r="C67" t="s">
        <v>144</v>
      </c>
      <c r="D67" s="1">
        <v>43560</v>
      </c>
      <c r="E67">
        <v>1</v>
      </c>
      <c r="F67">
        <v>315</v>
      </c>
      <c r="G67" t="s">
        <v>460</v>
      </c>
    </row>
    <row r="68" spans="1:7" x14ac:dyDescent="0.3">
      <c r="A68" t="s">
        <v>179</v>
      </c>
      <c r="B68" t="s">
        <v>16</v>
      </c>
      <c r="C68" t="s">
        <v>144</v>
      </c>
      <c r="D68" s="1">
        <v>43567</v>
      </c>
      <c r="E68">
        <v>1</v>
      </c>
      <c r="F68">
        <v>787</v>
      </c>
      <c r="G68" t="s">
        <v>460</v>
      </c>
    </row>
    <row r="69" spans="1:7" x14ac:dyDescent="0.3">
      <c r="A69" t="s">
        <v>179</v>
      </c>
      <c r="B69" t="s">
        <v>16</v>
      </c>
      <c r="C69" t="s">
        <v>144</v>
      </c>
      <c r="D69" s="1">
        <v>43578</v>
      </c>
      <c r="E69">
        <v>1</v>
      </c>
      <c r="F69">
        <v>630</v>
      </c>
      <c r="G69" t="s">
        <v>460</v>
      </c>
    </row>
    <row r="70" spans="1:7" x14ac:dyDescent="0.3">
      <c r="A70" t="s">
        <v>179</v>
      </c>
      <c r="B70" t="s">
        <v>16</v>
      </c>
      <c r="C70" t="s">
        <v>144</v>
      </c>
      <c r="D70" s="1">
        <v>43584</v>
      </c>
      <c r="E70">
        <v>1</v>
      </c>
      <c r="F70">
        <v>472</v>
      </c>
      <c r="G70" t="s">
        <v>460</v>
      </c>
    </row>
    <row r="71" spans="1:7" x14ac:dyDescent="0.3">
      <c r="A71" t="s">
        <v>179</v>
      </c>
      <c r="B71" t="s">
        <v>16</v>
      </c>
      <c r="C71" t="s">
        <v>144</v>
      </c>
      <c r="D71" s="1">
        <v>43591</v>
      </c>
      <c r="E71">
        <v>1</v>
      </c>
      <c r="F71">
        <v>315</v>
      </c>
      <c r="G71" t="s">
        <v>460</v>
      </c>
    </row>
    <row r="72" spans="1:7" x14ac:dyDescent="0.3">
      <c r="A72" t="s">
        <v>179</v>
      </c>
      <c r="B72" t="s">
        <v>16</v>
      </c>
      <c r="C72" t="s">
        <v>144</v>
      </c>
      <c r="D72" s="1">
        <v>43595</v>
      </c>
      <c r="E72">
        <v>1</v>
      </c>
      <c r="F72">
        <v>787</v>
      </c>
      <c r="G72" t="s">
        <v>460</v>
      </c>
    </row>
    <row r="73" spans="1:7" x14ac:dyDescent="0.3">
      <c r="A73" t="s">
        <v>179</v>
      </c>
      <c r="B73" t="s">
        <v>16</v>
      </c>
      <c r="C73" t="s">
        <v>144</v>
      </c>
      <c r="D73" s="1">
        <v>43602</v>
      </c>
      <c r="E73">
        <v>1</v>
      </c>
      <c r="F73">
        <v>1102</v>
      </c>
      <c r="G73" t="s">
        <v>460</v>
      </c>
    </row>
    <row r="74" spans="1:7" x14ac:dyDescent="0.3">
      <c r="A74" t="s">
        <v>179</v>
      </c>
      <c r="B74" t="s">
        <v>16</v>
      </c>
      <c r="C74" t="s">
        <v>144</v>
      </c>
      <c r="D74" s="1">
        <v>43619</v>
      </c>
      <c r="E74">
        <v>1</v>
      </c>
      <c r="F74">
        <v>787</v>
      </c>
      <c r="G74" t="s">
        <v>460</v>
      </c>
    </row>
    <row r="75" spans="1:7" x14ac:dyDescent="0.3">
      <c r="A75" t="s">
        <v>179</v>
      </c>
      <c r="B75" t="s">
        <v>16</v>
      </c>
      <c r="C75" t="s">
        <v>144</v>
      </c>
      <c r="D75" s="1">
        <v>43623</v>
      </c>
      <c r="E75">
        <v>1</v>
      </c>
      <c r="F75">
        <v>157</v>
      </c>
      <c r="G75" t="s">
        <v>460</v>
      </c>
    </row>
    <row r="76" spans="1:7" x14ac:dyDescent="0.3">
      <c r="A76" t="s">
        <v>179</v>
      </c>
      <c r="B76" t="s">
        <v>16</v>
      </c>
      <c r="C76" t="s">
        <v>144</v>
      </c>
      <c r="D76" s="1">
        <v>43633</v>
      </c>
      <c r="E76">
        <v>1</v>
      </c>
      <c r="F76">
        <v>315</v>
      </c>
      <c r="G76" t="s">
        <v>460</v>
      </c>
    </row>
    <row r="77" spans="1:7" x14ac:dyDescent="0.3">
      <c r="A77" t="s">
        <v>179</v>
      </c>
      <c r="B77" t="s">
        <v>16</v>
      </c>
      <c r="C77" t="s">
        <v>144</v>
      </c>
      <c r="D77" s="1">
        <v>43640</v>
      </c>
      <c r="E77">
        <v>1</v>
      </c>
      <c r="F77">
        <v>315</v>
      </c>
      <c r="G77" t="s">
        <v>460</v>
      </c>
    </row>
    <row r="78" spans="1:7" x14ac:dyDescent="0.3">
      <c r="A78" t="s">
        <v>179</v>
      </c>
      <c r="B78" t="s">
        <v>16</v>
      </c>
      <c r="C78" t="s">
        <v>144</v>
      </c>
      <c r="D78" s="1">
        <v>43644</v>
      </c>
      <c r="E78">
        <v>1</v>
      </c>
      <c r="F78">
        <v>315</v>
      </c>
      <c r="G78" t="s">
        <v>460</v>
      </c>
    </row>
    <row r="79" spans="1:7" x14ac:dyDescent="0.3">
      <c r="A79" t="s">
        <v>179</v>
      </c>
      <c r="B79" t="s">
        <v>16</v>
      </c>
      <c r="C79" t="s">
        <v>144</v>
      </c>
      <c r="D79" s="1">
        <v>43651</v>
      </c>
      <c r="E79">
        <v>1</v>
      </c>
      <c r="F79">
        <v>472</v>
      </c>
      <c r="G79" t="s">
        <v>460</v>
      </c>
    </row>
    <row r="80" spans="1:7" x14ac:dyDescent="0.3">
      <c r="A80" t="s">
        <v>179</v>
      </c>
      <c r="B80" t="s">
        <v>16</v>
      </c>
      <c r="C80" t="s">
        <v>144</v>
      </c>
      <c r="D80" s="1">
        <v>43658</v>
      </c>
      <c r="E80">
        <v>1</v>
      </c>
      <c r="F80">
        <v>630</v>
      </c>
      <c r="G80" t="s">
        <v>460</v>
      </c>
    </row>
    <row r="81" spans="1:7" x14ac:dyDescent="0.3">
      <c r="A81" t="s">
        <v>179</v>
      </c>
      <c r="B81" t="s">
        <v>16</v>
      </c>
      <c r="C81" t="s">
        <v>144</v>
      </c>
      <c r="D81" s="1">
        <v>43665</v>
      </c>
      <c r="E81">
        <v>1</v>
      </c>
      <c r="F81">
        <v>944</v>
      </c>
      <c r="G81" t="s">
        <v>460</v>
      </c>
    </row>
    <row r="82" spans="1:7" x14ac:dyDescent="0.3">
      <c r="A82" t="s">
        <v>179</v>
      </c>
      <c r="B82" t="s">
        <v>16</v>
      </c>
      <c r="C82" t="s">
        <v>144</v>
      </c>
      <c r="D82" s="1">
        <v>43672</v>
      </c>
      <c r="E82">
        <v>2</v>
      </c>
      <c r="F82">
        <v>1417</v>
      </c>
      <c r="G82" t="s">
        <v>460</v>
      </c>
    </row>
    <row r="83" spans="1:7" x14ac:dyDescent="0.3">
      <c r="A83" t="s">
        <v>179</v>
      </c>
      <c r="B83" t="s">
        <v>16</v>
      </c>
      <c r="C83" t="s">
        <v>144</v>
      </c>
      <c r="D83" s="1">
        <v>43679</v>
      </c>
      <c r="E83">
        <v>2</v>
      </c>
      <c r="F83">
        <v>1417</v>
      </c>
      <c r="G83" t="s">
        <v>460</v>
      </c>
    </row>
    <row r="84" spans="1:7" x14ac:dyDescent="0.3">
      <c r="A84" t="s">
        <v>179</v>
      </c>
      <c r="B84" t="s">
        <v>16</v>
      </c>
      <c r="C84" t="s">
        <v>144</v>
      </c>
      <c r="D84" s="1">
        <v>43686</v>
      </c>
      <c r="E84">
        <v>1</v>
      </c>
      <c r="F84">
        <v>787</v>
      </c>
      <c r="G84" t="s">
        <v>460</v>
      </c>
    </row>
    <row r="85" spans="1:7" x14ac:dyDescent="0.3">
      <c r="A85" t="s">
        <v>179</v>
      </c>
      <c r="B85" t="s">
        <v>16</v>
      </c>
      <c r="C85" t="s">
        <v>144</v>
      </c>
      <c r="D85" s="1">
        <v>43693</v>
      </c>
      <c r="E85">
        <v>1</v>
      </c>
      <c r="F85">
        <v>1259</v>
      </c>
      <c r="G85" t="s">
        <v>460</v>
      </c>
    </row>
    <row r="86" spans="1:7" x14ac:dyDescent="0.3">
      <c r="A86" t="s">
        <v>179</v>
      </c>
      <c r="B86" t="s">
        <v>16</v>
      </c>
      <c r="C86" t="s">
        <v>144</v>
      </c>
      <c r="D86" s="1">
        <v>43710</v>
      </c>
      <c r="E86">
        <v>2</v>
      </c>
      <c r="F86">
        <v>1574</v>
      </c>
      <c r="G86" t="s">
        <v>460</v>
      </c>
    </row>
    <row r="87" spans="1:7" x14ac:dyDescent="0.3">
      <c r="A87" t="s">
        <v>179</v>
      </c>
      <c r="B87" t="s">
        <v>16</v>
      </c>
      <c r="C87" t="s">
        <v>144</v>
      </c>
      <c r="D87" s="1">
        <v>43711</v>
      </c>
      <c r="E87">
        <v>1</v>
      </c>
      <c r="F87">
        <v>630</v>
      </c>
      <c r="G87" t="s">
        <v>460</v>
      </c>
    </row>
    <row r="88" spans="1:7" x14ac:dyDescent="0.3">
      <c r="A88" t="s">
        <v>179</v>
      </c>
      <c r="B88" t="s">
        <v>16</v>
      </c>
      <c r="C88" t="s">
        <v>144</v>
      </c>
      <c r="D88" s="1">
        <v>43714</v>
      </c>
      <c r="E88">
        <v>1</v>
      </c>
      <c r="F88">
        <v>157</v>
      </c>
      <c r="G88" t="s">
        <v>460</v>
      </c>
    </row>
    <row r="89" spans="1:7" x14ac:dyDescent="0.3">
      <c r="A89" t="s">
        <v>179</v>
      </c>
      <c r="B89" t="s">
        <v>16</v>
      </c>
      <c r="C89" t="s">
        <v>144</v>
      </c>
      <c r="D89" s="1">
        <v>43721</v>
      </c>
      <c r="E89">
        <v>2</v>
      </c>
      <c r="F89">
        <v>1417</v>
      </c>
      <c r="G89" t="s">
        <v>460</v>
      </c>
    </row>
    <row r="90" spans="1:7" x14ac:dyDescent="0.3">
      <c r="A90" t="s">
        <v>179</v>
      </c>
      <c r="B90" t="s">
        <v>16</v>
      </c>
      <c r="C90" t="s">
        <v>144</v>
      </c>
      <c r="D90" s="1">
        <v>43728</v>
      </c>
      <c r="E90">
        <v>1</v>
      </c>
      <c r="F90">
        <v>630</v>
      </c>
      <c r="G90" t="s">
        <v>460</v>
      </c>
    </row>
    <row r="91" spans="1:7" x14ac:dyDescent="0.3">
      <c r="A91" t="s">
        <v>179</v>
      </c>
      <c r="B91" t="s">
        <v>16</v>
      </c>
      <c r="C91" t="s">
        <v>144</v>
      </c>
      <c r="D91" s="1">
        <v>43731</v>
      </c>
      <c r="E91">
        <v>200</v>
      </c>
      <c r="F91">
        <v>66111</v>
      </c>
      <c r="G91" t="s">
        <v>460</v>
      </c>
    </row>
    <row r="92" spans="1:7" x14ac:dyDescent="0.3">
      <c r="A92" t="s">
        <v>179</v>
      </c>
      <c r="B92" t="s">
        <v>16</v>
      </c>
      <c r="C92" t="s">
        <v>144</v>
      </c>
      <c r="D92" s="1">
        <v>43735</v>
      </c>
      <c r="E92">
        <v>2</v>
      </c>
      <c r="F92">
        <v>1884</v>
      </c>
      <c r="G92" t="s">
        <v>460</v>
      </c>
    </row>
    <row r="93" spans="1:7" x14ac:dyDescent="0.3">
      <c r="A93" t="s">
        <v>179</v>
      </c>
      <c r="B93" t="s">
        <v>16</v>
      </c>
      <c r="C93" t="s">
        <v>144</v>
      </c>
      <c r="D93" s="1">
        <v>43745</v>
      </c>
      <c r="E93">
        <v>1</v>
      </c>
      <c r="F93">
        <v>944</v>
      </c>
      <c r="G93" t="s">
        <v>460</v>
      </c>
    </row>
    <row r="94" spans="1:7" x14ac:dyDescent="0.3">
      <c r="A94" t="s">
        <v>179</v>
      </c>
      <c r="B94" t="s">
        <v>16</v>
      </c>
      <c r="C94" t="s">
        <v>144</v>
      </c>
      <c r="D94" s="1">
        <v>43766</v>
      </c>
      <c r="E94">
        <v>7</v>
      </c>
      <c r="F94">
        <v>2574</v>
      </c>
      <c r="G94" t="s">
        <v>460</v>
      </c>
    </row>
    <row r="95" spans="1:7" x14ac:dyDescent="0.3">
      <c r="A95" t="s">
        <v>179</v>
      </c>
      <c r="B95" t="s">
        <v>16</v>
      </c>
      <c r="C95" t="s">
        <v>144</v>
      </c>
      <c r="D95" s="1">
        <v>43777</v>
      </c>
      <c r="E95">
        <v>1</v>
      </c>
      <c r="F95">
        <v>630</v>
      </c>
      <c r="G95" t="s">
        <v>460</v>
      </c>
    </row>
    <row r="96" spans="1:7" x14ac:dyDescent="0.3">
      <c r="A96" t="s">
        <v>179</v>
      </c>
      <c r="B96" t="s">
        <v>16</v>
      </c>
      <c r="C96" t="s">
        <v>144</v>
      </c>
      <c r="D96" s="1">
        <v>43784</v>
      </c>
      <c r="E96">
        <v>1</v>
      </c>
      <c r="F96">
        <v>472</v>
      </c>
      <c r="G96" t="s">
        <v>460</v>
      </c>
    </row>
    <row r="97" spans="1:7" x14ac:dyDescent="0.3">
      <c r="A97" t="s">
        <v>179</v>
      </c>
      <c r="B97" t="s">
        <v>16</v>
      </c>
      <c r="C97" t="s">
        <v>144</v>
      </c>
      <c r="D97" s="1">
        <v>43791</v>
      </c>
      <c r="E97">
        <v>1</v>
      </c>
      <c r="F97">
        <v>944</v>
      </c>
      <c r="G97" t="s">
        <v>460</v>
      </c>
    </row>
    <row r="98" spans="1:7" x14ac:dyDescent="0.3">
      <c r="A98" t="s">
        <v>179</v>
      </c>
      <c r="B98" t="s">
        <v>16</v>
      </c>
      <c r="C98" t="s">
        <v>144</v>
      </c>
      <c r="D98" s="1">
        <v>43798</v>
      </c>
      <c r="E98">
        <v>2</v>
      </c>
      <c r="F98">
        <v>1417</v>
      </c>
      <c r="G98" t="s">
        <v>460</v>
      </c>
    </row>
    <row r="99" spans="1:7" x14ac:dyDescent="0.3">
      <c r="A99" t="s">
        <v>179</v>
      </c>
      <c r="B99" t="s">
        <v>16</v>
      </c>
      <c r="C99" t="s">
        <v>144</v>
      </c>
      <c r="D99" s="1">
        <v>43805</v>
      </c>
      <c r="E99">
        <v>1</v>
      </c>
      <c r="F99">
        <v>1259</v>
      </c>
      <c r="G99" t="s">
        <v>460</v>
      </c>
    </row>
    <row r="100" spans="1:7" x14ac:dyDescent="0.3">
      <c r="A100" t="s">
        <v>179</v>
      </c>
      <c r="B100" t="s">
        <v>16</v>
      </c>
      <c r="C100" t="s">
        <v>144</v>
      </c>
      <c r="D100" s="1">
        <v>43812</v>
      </c>
      <c r="E100">
        <v>4</v>
      </c>
      <c r="F100">
        <v>3773</v>
      </c>
      <c r="G100" t="s">
        <v>460</v>
      </c>
    </row>
    <row r="101" spans="1:7" x14ac:dyDescent="0.3">
      <c r="A101" t="s">
        <v>179</v>
      </c>
      <c r="B101" t="s">
        <v>16</v>
      </c>
      <c r="C101" t="s">
        <v>144</v>
      </c>
      <c r="D101" s="1">
        <v>43819</v>
      </c>
      <c r="E101">
        <v>1</v>
      </c>
      <c r="F101">
        <v>315</v>
      </c>
      <c r="G101" t="s">
        <v>460</v>
      </c>
    </row>
    <row r="102" spans="1:7" x14ac:dyDescent="0.3">
      <c r="A102" t="s">
        <v>179</v>
      </c>
      <c r="B102" t="s">
        <v>16</v>
      </c>
      <c r="C102" t="s">
        <v>144</v>
      </c>
      <c r="D102" s="1">
        <v>43839</v>
      </c>
      <c r="E102">
        <v>1</v>
      </c>
      <c r="F102">
        <v>630</v>
      </c>
      <c r="G102" t="s">
        <v>460</v>
      </c>
    </row>
    <row r="103" spans="1:7" x14ac:dyDescent="0.3">
      <c r="A103" t="s">
        <v>179</v>
      </c>
      <c r="B103" t="s">
        <v>16</v>
      </c>
      <c r="C103" t="s">
        <v>144</v>
      </c>
      <c r="D103" s="1">
        <v>43840</v>
      </c>
      <c r="E103">
        <v>1</v>
      </c>
      <c r="F103">
        <v>472</v>
      </c>
      <c r="G103" t="s">
        <v>460</v>
      </c>
    </row>
    <row r="104" spans="1:7" x14ac:dyDescent="0.3">
      <c r="A104" t="s">
        <v>179</v>
      </c>
      <c r="B104" t="s">
        <v>16</v>
      </c>
      <c r="C104" t="s">
        <v>144</v>
      </c>
      <c r="D104" s="1">
        <v>43847</v>
      </c>
      <c r="E104">
        <v>2</v>
      </c>
      <c r="F104">
        <v>2042</v>
      </c>
      <c r="G104" t="s">
        <v>460</v>
      </c>
    </row>
    <row r="105" spans="1:7" x14ac:dyDescent="0.3">
      <c r="A105" t="s">
        <v>179</v>
      </c>
      <c r="B105" t="s">
        <v>16</v>
      </c>
      <c r="C105" t="s">
        <v>144</v>
      </c>
      <c r="D105" s="1">
        <v>43868</v>
      </c>
      <c r="E105">
        <v>1</v>
      </c>
      <c r="F105">
        <v>417</v>
      </c>
      <c r="G105" t="s">
        <v>460</v>
      </c>
    </row>
    <row r="106" spans="1:7" x14ac:dyDescent="0.3">
      <c r="A106" t="s">
        <v>179</v>
      </c>
      <c r="B106" t="s">
        <v>16</v>
      </c>
      <c r="C106" t="s">
        <v>144</v>
      </c>
      <c r="D106" s="1">
        <v>43875</v>
      </c>
      <c r="E106">
        <v>1</v>
      </c>
      <c r="F106">
        <v>310</v>
      </c>
      <c r="G106" t="s">
        <v>460</v>
      </c>
    </row>
    <row r="107" spans="1:7" x14ac:dyDescent="0.3">
      <c r="A107" t="s">
        <v>179</v>
      </c>
      <c r="B107" t="s">
        <v>16</v>
      </c>
      <c r="C107" t="s">
        <v>144</v>
      </c>
      <c r="D107" s="1">
        <v>43889</v>
      </c>
      <c r="E107">
        <v>1</v>
      </c>
      <c r="F107">
        <v>208</v>
      </c>
      <c r="G107" t="s">
        <v>460</v>
      </c>
    </row>
    <row r="108" spans="1:7" x14ac:dyDescent="0.3">
      <c r="A108" t="s">
        <v>179</v>
      </c>
      <c r="B108" t="s">
        <v>16</v>
      </c>
      <c r="C108" t="s">
        <v>144</v>
      </c>
      <c r="D108" s="1">
        <v>43896</v>
      </c>
      <c r="E108">
        <v>1</v>
      </c>
      <c r="F108">
        <v>620</v>
      </c>
      <c r="G108" t="s">
        <v>460</v>
      </c>
    </row>
    <row r="109" spans="1:7" x14ac:dyDescent="0.3">
      <c r="A109" t="s">
        <v>179</v>
      </c>
      <c r="B109" t="s">
        <v>16</v>
      </c>
      <c r="C109" t="s">
        <v>144</v>
      </c>
      <c r="D109" s="1">
        <v>43903</v>
      </c>
      <c r="E109">
        <v>1</v>
      </c>
      <c r="F109">
        <v>620</v>
      </c>
      <c r="G109" t="s">
        <v>460</v>
      </c>
    </row>
    <row r="110" spans="1:7" x14ac:dyDescent="0.3">
      <c r="A110" t="s">
        <v>179</v>
      </c>
      <c r="B110" t="s">
        <v>16</v>
      </c>
      <c r="C110" t="s">
        <v>144</v>
      </c>
      <c r="D110" s="1">
        <v>43924</v>
      </c>
      <c r="E110">
        <v>1</v>
      </c>
      <c r="F110">
        <v>829</v>
      </c>
      <c r="G110" t="s">
        <v>460</v>
      </c>
    </row>
    <row r="111" spans="1:7" x14ac:dyDescent="0.3">
      <c r="A111" t="s">
        <v>179</v>
      </c>
      <c r="B111" t="s">
        <v>16</v>
      </c>
      <c r="C111" t="s">
        <v>144</v>
      </c>
      <c r="D111" s="1">
        <v>43935</v>
      </c>
      <c r="E111">
        <v>4</v>
      </c>
      <c r="F111">
        <v>2694</v>
      </c>
      <c r="G111" t="s">
        <v>460</v>
      </c>
    </row>
    <row r="112" spans="1:7" x14ac:dyDescent="0.3">
      <c r="A112" t="s">
        <v>179</v>
      </c>
      <c r="B112" t="s">
        <v>16</v>
      </c>
      <c r="C112" t="s">
        <v>144</v>
      </c>
      <c r="D112" s="1">
        <v>43941</v>
      </c>
      <c r="E112">
        <v>1</v>
      </c>
      <c r="F112">
        <v>102</v>
      </c>
      <c r="G112" t="s">
        <v>460</v>
      </c>
    </row>
    <row r="113" spans="1:7" x14ac:dyDescent="0.3">
      <c r="A113" t="s">
        <v>179</v>
      </c>
      <c r="B113" t="s">
        <v>16</v>
      </c>
      <c r="C113" t="s">
        <v>144</v>
      </c>
      <c r="D113" s="1">
        <v>43966</v>
      </c>
      <c r="E113">
        <v>2</v>
      </c>
      <c r="F113">
        <v>528</v>
      </c>
      <c r="G113" t="s">
        <v>460</v>
      </c>
    </row>
    <row r="114" spans="1:7" x14ac:dyDescent="0.3">
      <c r="A114" t="s">
        <v>180</v>
      </c>
      <c r="B114" t="s">
        <v>12</v>
      </c>
      <c r="C114" t="s">
        <v>144</v>
      </c>
      <c r="D114" s="1">
        <v>43032</v>
      </c>
      <c r="E114">
        <v>1</v>
      </c>
      <c r="F114">
        <v>380</v>
      </c>
      <c r="G114" t="s">
        <v>460</v>
      </c>
    </row>
    <row r="115" spans="1:7" x14ac:dyDescent="0.3">
      <c r="A115" t="s">
        <v>180</v>
      </c>
      <c r="B115" t="s">
        <v>16</v>
      </c>
      <c r="C115" t="s">
        <v>144</v>
      </c>
      <c r="D115" s="1">
        <v>43033</v>
      </c>
      <c r="E115">
        <v>1</v>
      </c>
      <c r="F115">
        <v>560</v>
      </c>
      <c r="G115" t="s">
        <v>460</v>
      </c>
    </row>
    <row r="116" spans="1:7" x14ac:dyDescent="0.3">
      <c r="A116" t="s">
        <v>180</v>
      </c>
      <c r="B116" t="s">
        <v>16</v>
      </c>
      <c r="C116" t="s">
        <v>144</v>
      </c>
      <c r="D116" s="1">
        <v>43038</v>
      </c>
      <c r="E116">
        <v>1</v>
      </c>
      <c r="F116">
        <v>560</v>
      </c>
      <c r="G116" t="s">
        <v>460</v>
      </c>
    </row>
    <row r="117" spans="1:7" x14ac:dyDescent="0.3">
      <c r="A117" t="s">
        <v>180</v>
      </c>
      <c r="B117" t="s">
        <v>16</v>
      </c>
      <c r="C117" t="s">
        <v>144</v>
      </c>
      <c r="D117" s="1">
        <v>43066</v>
      </c>
      <c r="E117">
        <v>1</v>
      </c>
      <c r="F117">
        <v>1116</v>
      </c>
      <c r="G117" t="s">
        <v>460</v>
      </c>
    </row>
    <row r="118" spans="1:7" x14ac:dyDescent="0.3">
      <c r="A118" t="s">
        <v>180</v>
      </c>
      <c r="B118" t="s">
        <v>18</v>
      </c>
      <c r="C118" t="s">
        <v>146</v>
      </c>
      <c r="D118" s="1">
        <v>43080</v>
      </c>
      <c r="E118">
        <v>1</v>
      </c>
      <c r="F118">
        <v>657</v>
      </c>
      <c r="G118" t="s">
        <v>460</v>
      </c>
    </row>
    <row r="119" spans="1:7" x14ac:dyDescent="0.3">
      <c r="A119" t="s">
        <v>180</v>
      </c>
      <c r="B119" t="s">
        <v>16</v>
      </c>
      <c r="C119" t="s">
        <v>144</v>
      </c>
      <c r="D119" s="1">
        <v>43081</v>
      </c>
      <c r="E119">
        <v>1</v>
      </c>
      <c r="F119">
        <v>560</v>
      </c>
      <c r="G119" t="s">
        <v>460</v>
      </c>
    </row>
    <row r="120" spans="1:7" x14ac:dyDescent="0.3">
      <c r="A120" t="s">
        <v>180</v>
      </c>
      <c r="B120" t="s">
        <v>18</v>
      </c>
      <c r="C120" t="s">
        <v>146</v>
      </c>
      <c r="D120" s="1">
        <v>43088</v>
      </c>
      <c r="E120">
        <v>1</v>
      </c>
      <c r="F120">
        <v>657</v>
      </c>
      <c r="G120" t="s">
        <v>460</v>
      </c>
    </row>
    <row r="121" spans="1:7" x14ac:dyDescent="0.3">
      <c r="A121" t="s">
        <v>180</v>
      </c>
      <c r="B121" t="s">
        <v>16</v>
      </c>
      <c r="C121" t="s">
        <v>144</v>
      </c>
      <c r="D121" s="1">
        <v>43143</v>
      </c>
      <c r="E121">
        <v>1</v>
      </c>
      <c r="F121">
        <v>560</v>
      </c>
      <c r="G121" t="s">
        <v>460</v>
      </c>
    </row>
    <row r="122" spans="1:7" x14ac:dyDescent="0.3">
      <c r="A122" t="s">
        <v>181</v>
      </c>
      <c r="B122" t="s">
        <v>16</v>
      </c>
      <c r="C122" t="s">
        <v>144</v>
      </c>
      <c r="D122" s="1">
        <v>43392</v>
      </c>
      <c r="E122">
        <v>11</v>
      </c>
      <c r="F122">
        <v>6218</v>
      </c>
      <c r="G122" t="s">
        <v>460</v>
      </c>
    </row>
    <row r="123" spans="1:7" x14ac:dyDescent="0.3">
      <c r="A123" t="s">
        <v>182</v>
      </c>
      <c r="B123" t="s">
        <v>16</v>
      </c>
      <c r="C123" t="s">
        <v>144</v>
      </c>
      <c r="D123" s="1">
        <v>43059</v>
      </c>
      <c r="E123">
        <v>7</v>
      </c>
      <c r="F123">
        <v>2426</v>
      </c>
      <c r="G123" t="s">
        <v>460</v>
      </c>
    </row>
    <row r="124" spans="1:7" x14ac:dyDescent="0.3">
      <c r="A124" t="s">
        <v>182</v>
      </c>
      <c r="B124" t="s">
        <v>16</v>
      </c>
      <c r="C124" t="s">
        <v>144</v>
      </c>
      <c r="D124" s="1">
        <v>43063</v>
      </c>
      <c r="E124">
        <v>33</v>
      </c>
      <c r="F124">
        <v>15278</v>
      </c>
      <c r="G124" t="s">
        <v>460</v>
      </c>
    </row>
    <row r="125" spans="1:7" x14ac:dyDescent="0.3">
      <c r="A125" t="s">
        <v>183</v>
      </c>
      <c r="B125" t="s">
        <v>20</v>
      </c>
      <c r="C125" t="s">
        <v>138</v>
      </c>
      <c r="D125" s="1">
        <v>43418</v>
      </c>
      <c r="E125">
        <v>3</v>
      </c>
      <c r="F125">
        <v>3032</v>
      </c>
      <c r="G125" t="s">
        <v>460</v>
      </c>
    </row>
    <row r="126" spans="1:7" x14ac:dyDescent="0.3">
      <c r="A126" t="s">
        <v>183</v>
      </c>
      <c r="B126" t="s">
        <v>22</v>
      </c>
      <c r="C126" t="s">
        <v>141</v>
      </c>
      <c r="D126" s="1">
        <v>43607</v>
      </c>
      <c r="E126">
        <v>2</v>
      </c>
      <c r="F126">
        <v>3194</v>
      </c>
      <c r="G126" t="s">
        <v>460</v>
      </c>
    </row>
    <row r="127" spans="1:7" x14ac:dyDescent="0.3">
      <c r="A127" t="s">
        <v>183</v>
      </c>
      <c r="B127" t="s">
        <v>22</v>
      </c>
      <c r="C127" t="s">
        <v>141</v>
      </c>
      <c r="D127" s="1">
        <v>43608</v>
      </c>
      <c r="E127">
        <v>1</v>
      </c>
      <c r="F127">
        <v>912</v>
      </c>
      <c r="G127" t="s">
        <v>460</v>
      </c>
    </row>
    <row r="128" spans="1:7" x14ac:dyDescent="0.3">
      <c r="A128" t="s">
        <v>183</v>
      </c>
      <c r="B128" t="s">
        <v>22</v>
      </c>
      <c r="C128" t="s">
        <v>141</v>
      </c>
      <c r="D128" s="1">
        <v>43613</v>
      </c>
      <c r="E128">
        <v>1</v>
      </c>
      <c r="F128">
        <v>1824</v>
      </c>
      <c r="G128" t="s">
        <v>460</v>
      </c>
    </row>
    <row r="129" spans="1:7" x14ac:dyDescent="0.3">
      <c r="A129" t="s">
        <v>183</v>
      </c>
      <c r="B129" t="s">
        <v>22</v>
      </c>
      <c r="C129" t="s">
        <v>141</v>
      </c>
      <c r="D129" s="1">
        <v>43614</v>
      </c>
      <c r="E129">
        <v>1</v>
      </c>
      <c r="F129">
        <v>458</v>
      </c>
      <c r="G129" t="s">
        <v>460</v>
      </c>
    </row>
    <row r="130" spans="1:7" x14ac:dyDescent="0.3">
      <c r="A130" t="s">
        <v>183</v>
      </c>
      <c r="B130" t="s">
        <v>8</v>
      </c>
      <c r="C130" t="s">
        <v>141</v>
      </c>
      <c r="D130" s="1">
        <v>43616</v>
      </c>
      <c r="E130">
        <v>3</v>
      </c>
      <c r="F130">
        <v>4444</v>
      </c>
      <c r="G130" t="s">
        <v>460</v>
      </c>
    </row>
    <row r="131" spans="1:7" x14ac:dyDescent="0.3">
      <c r="A131" t="s">
        <v>183</v>
      </c>
      <c r="B131" t="s">
        <v>22</v>
      </c>
      <c r="C131" t="s">
        <v>141</v>
      </c>
      <c r="D131" s="1">
        <v>43619</v>
      </c>
      <c r="E131">
        <v>1</v>
      </c>
      <c r="F131">
        <v>458</v>
      </c>
      <c r="G131" t="s">
        <v>460</v>
      </c>
    </row>
    <row r="132" spans="1:7" x14ac:dyDescent="0.3">
      <c r="A132" t="s">
        <v>183</v>
      </c>
      <c r="B132" t="s">
        <v>22</v>
      </c>
      <c r="C132" t="s">
        <v>141</v>
      </c>
      <c r="D132" s="1">
        <v>43620</v>
      </c>
      <c r="E132">
        <v>1</v>
      </c>
      <c r="F132">
        <v>458</v>
      </c>
      <c r="G132" t="s">
        <v>460</v>
      </c>
    </row>
    <row r="133" spans="1:7" x14ac:dyDescent="0.3">
      <c r="A133" t="s">
        <v>183</v>
      </c>
      <c r="B133" t="s">
        <v>22</v>
      </c>
      <c r="C133" t="s">
        <v>141</v>
      </c>
      <c r="D133" s="1">
        <v>43621</v>
      </c>
      <c r="E133">
        <v>1</v>
      </c>
      <c r="F133">
        <v>1824</v>
      </c>
      <c r="G133" t="s">
        <v>460</v>
      </c>
    </row>
    <row r="134" spans="1:7" x14ac:dyDescent="0.3">
      <c r="A134" t="s">
        <v>183</v>
      </c>
      <c r="B134" t="s">
        <v>8</v>
      </c>
      <c r="C134" t="s">
        <v>141</v>
      </c>
      <c r="D134" s="1">
        <v>43621</v>
      </c>
      <c r="E134">
        <v>2</v>
      </c>
      <c r="F134">
        <v>2667</v>
      </c>
      <c r="G134" t="s">
        <v>460</v>
      </c>
    </row>
    <row r="135" spans="1:7" x14ac:dyDescent="0.3">
      <c r="A135" t="s">
        <v>183</v>
      </c>
      <c r="B135" t="s">
        <v>22</v>
      </c>
      <c r="C135" t="s">
        <v>141</v>
      </c>
      <c r="D135" s="1">
        <v>43622</v>
      </c>
      <c r="E135">
        <v>14</v>
      </c>
      <c r="F135">
        <v>19171</v>
      </c>
      <c r="G135" t="s">
        <v>460</v>
      </c>
    </row>
    <row r="136" spans="1:7" x14ac:dyDescent="0.3">
      <c r="A136" t="s">
        <v>183</v>
      </c>
      <c r="B136" t="s">
        <v>22</v>
      </c>
      <c r="C136" t="s">
        <v>141</v>
      </c>
      <c r="D136" s="1">
        <v>43623</v>
      </c>
      <c r="E136">
        <v>1</v>
      </c>
      <c r="F136">
        <v>458</v>
      </c>
      <c r="G136" t="s">
        <v>460</v>
      </c>
    </row>
    <row r="137" spans="1:7" x14ac:dyDescent="0.3">
      <c r="A137" t="s">
        <v>183</v>
      </c>
      <c r="B137" t="s">
        <v>22</v>
      </c>
      <c r="C137" t="s">
        <v>141</v>
      </c>
      <c r="D137" s="1">
        <v>43627</v>
      </c>
      <c r="E137">
        <v>1</v>
      </c>
      <c r="F137">
        <v>458</v>
      </c>
      <c r="G137" t="s">
        <v>460</v>
      </c>
    </row>
    <row r="138" spans="1:7" x14ac:dyDescent="0.3">
      <c r="A138" t="s">
        <v>183</v>
      </c>
      <c r="B138" t="s">
        <v>22</v>
      </c>
      <c r="C138" t="s">
        <v>141</v>
      </c>
      <c r="D138" s="1">
        <v>43628</v>
      </c>
      <c r="E138">
        <v>1</v>
      </c>
      <c r="F138">
        <v>458</v>
      </c>
      <c r="G138" t="s">
        <v>460</v>
      </c>
    </row>
    <row r="139" spans="1:7" x14ac:dyDescent="0.3">
      <c r="A139" t="s">
        <v>183</v>
      </c>
      <c r="B139" t="s">
        <v>22</v>
      </c>
      <c r="C139" t="s">
        <v>141</v>
      </c>
      <c r="D139" s="1">
        <v>43630</v>
      </c>
      <c r="E139">
        <v>1</v>
      </c>
      <c r="F139">
        <v>1370</v>
      </c>
      <c r="G139" t="s">
        <v>460</v>
      </c>
    </row>
    <row r="140" spans="1:7" x14ac:dyDescent="0.3">
      <c r="A140" t="s">
        <v>183</v>
      </c>
      <c r="B140" t="s">
        <v>8</v>
      </c>
      <c r="C140" t="s">
        <v>141</v>
      </c>
      <c r="D140" s="1">
        <v>43630</v>
      </c>
      <c r="E140">
        <v>2</v>
      </c>
      <c r="F140">
        <v>2667</v>
      </c>
      <c r="G140" t="s">
        <v>460</v>
      </c>
    </row>
    <row r="141" spans="1:7" x14ac:dyDescent="0.3">
      <c r="A141" t="s">
        <v>183</v>
      </c>
      <c r="B141" t="s">
        <v>8</v>
      </c>
      <c r="C141" t="s">
        <v>141</v>
      </c>
      <c r="D141" s="1">
        <v>43633</v>
      </c>
      <c r="E141">
        <v>1</v>
      </c>
      <c r="F141">
        <v>1333</v>
      </c>
      <c r="G141" t="s">
        <v>460</v>
      </c>
    </row>
    <row r="142" spans="1:7" x14ac:dyDescent="0.3">
      <c r="A142" t="s">
        <v>183</v>
      </c>
      <c r="B142" t="s">
        <v>24</v>
      </c>
      <c r="C142" t="s">
        <v>141</v>
      </c>
      <c r="D142" s="1">
        <v>43634</v>
      </c>
      <c r="E142">
        <v>1</v>
      </c>
      <c r="F142">
        <v>597</v>
      </c>
      <c r="G142" t="s">
        <v>460</v>
      </c>
    </row>
    <row r="143" spans="1:7" x14ac:dyDescent="0.3">
      <c r="A143" t="s">
        <v>183</v>
      </c>
      <c r="B143" t="s">
        <v>8</v>
      </c>
      <c r="C143" t="s">
        <v>141</v>
      </c>
      <c r="D143" s="1">
        <v>43634</v>
      </c>
      <c r="E143">
        <v>7</v>
      </c>
      <c r="F143">
        <v>8889</v>
      </c>
      <c r="G143" t="s">
        <v>460</v>
      </c>
    </row>
    <row r="144" spans="1:7" x14ac:dyDescent="0.3">
      <c r="A144" t="s">
        <v>183</v>
      </c>
      <c r="B144" t="s">
        <v>8</v>
      </c>
      <c r="C144" t="s">
        <v>141</v>
      </c>
      <c r="D144" s="1">
        <v>43635</v>
      </c>
      <c r="E144">
        <v>1</v>
      </c>
      <c r="F144">
        <v>1778</v>
      </c>
      <c r="G144" t="s">
        <v>460</v>
      </c>
    </row>
    <row r="145" spans="1:7" x14ac:dyDescent="0.3">
      <c r="A145" t="s">
        <v>183</v>
      </c>
      <c r="B145" t="s">
        <v>22</v>
      </c>
      <c r="C145" t="s">
        <v>141</v>
      </c>
      <c r="D145" s="1">
        <v>43644</v>
      </c>
      <c r="E145">
        <v>7</v>
      </c>
      <c r="F145">
        <v>9130</v>
      </c>
      <c r="G145" t="s">
        <v>460</v>
      </c>
    </row>
    <row r="146" spans="1:7" x14ac:dyDescent="0.3">
      <c r="A146" t="s">
        <v>184</v>
      </c>
      <c r="B146" t="s">
        <v>24</v>
      </c>
      <c r="C146" t="s">
        <v>141</v>
      </c>
      <c r="D146" s="1">
        <v>43213</v>
      </c>
      <c r="E146">
        <v>1</v>
      </c>
      <c r="F146">
        <v>602</v>
      </c>
      <c r="G146" t="s">
        <v>460</v>
      </c>
    </row>
    <row r="147" spans="1:7" x14ac:dyDescent="0.3">
      <c r="A147" t="s">
        <v>184</v>
      </c>
      <c r="B147" t="s">
        <v>26</v>
      </c>
      <c r="C147" t="s">
        <v>141</v>
      </c>
      <c r="D147" s="1">
        <v>43223</v>
      </c>
      <c r="E147">
        <v>2</v>
      </c>
      <c r="F147">
        <v>3227</v>
      </c>
      <c r="G147" t="s">
        <v>460</v>
      </c>
    </row>
    <row r="148" spans="1:7" x14ac:dyDescent="0.3">
      <c r="A148" t="s">
        <v>184</v>
      </c>
      <c r="B148" t="s">
        <v>8</v>
      </c>
      <c r="C148" t="s">
        <v>141</v>
      </c>
      <c r="D148" s="1">
        <v>43224</v>
      </c>
      <c r="E148">
        <v>1</v>
      </c>
      <c r="F148">
        <v>449</v>
      </c>
      <c r="G148" t="s">
        <v>460</v>
      </c>
    </row>
    <row r="149" spans="1:7" x14ac:dyDescent="0.3">
      <c r="A149" t="s">
        <v>184</v>
      </c>
      <c r="B149" t="s">
        <v>8</v>
      </c>
      <c r="C149" t="s">
        <v>141</v>
      </c>
      <c r="D149" s="1">
        <v>43227</v>
      </c>
      <c r="E149">
        <v>1</v>
      </c>
      <c r="F149">
        <v>449</v>
      </c>
      <c r="G149" t="s">
        <v>460</v>
      </c>
    </row>
    <row r="150" spans="1:7" x14ac:dyDescent="0.3">
      <c r="A150" t="s">
        <v>184</v>
      </c>
      <c r="B150" t="s">
        <v>8</v>
      </c>
      <c r="C150" t="s">
        <v>141</v>
      </c>
      <c r="D150" s="1">
        <v>43229</v>
      </c>
      <c r="E150">
        <v>1</v>
      </c>
      <c r="F150">
        <v>449</v>
      </c>
      <c r="G150" t="s">
        <v>460</v>
      </c>
    </row>
    <row r="151" spans="1:7" x14ac:dyDescent="0.3">
      <c r="A151" t="s">
        <v>184</v>
      </c>
      <c r="B151" t="s">
        <v>8</v>
      </c>
      <c r="C151" t="s">
        <v>141</v>
      </c>
      <c r="D151" s="1">
        <v>43231</v>
      </c>
      <c r="E151">
        <v>1</v>
      </c>
      <c r="F151">
        <v>449</v>
      </c>
      <c r="G151" t="s">
        <v>460</v>
      </c>
    </row>
    <row r="152" spans="1:7" x14ac:dyDescent="0.3">
      <c r="A152" t="s">
        <v>184</v>
      </c>
      <c r="B152" t="s">
        <v>28</v>
      </c>
      <c r="C152" t="s">
        <v>141</v>
      </c>
      <c r="D152" s="1">
        <v>43231</v>
      </c>
      <c r="E152">
        <v>7</v>
      </c>
      <c r="F152">
        <v>9880</v>
      </c>
      <c r="G152" t="s">
        <v>460</v>
      </c>
    </row>
    <row r="153" spans="1:7" x14ac:dyDescent="0.3">
      <c r="A153" t="s">
        <v>184</v>
      </c>
      <c r="B153" t="s">
        <v>24</v>
      </c>
      <c r="C153" t="s">
        <v>141</v>
      </c>
      <c r="D153" s="1">
        <v>43236</v>
      </c>
      <c r="E153">
        <v>1</v>
      </c>
      <c r="F153">
        <v>301</v>
      </c>
      <c r="G153" t="s">
        <v>460</v>
      </c>
    </row>
    <row r="154" spans="1:7" x14ac:dyDescent="0.3">
      <c r="A154" t="s">
        <v>184</v>
      </c>
      <c r="B154" t="s">
        <v>30</v>
      </c>
      <c r="C154" t="s">
        <v>141</v>
      </c>
      <c r="D154" s="1">
        <v>43236</v>
      </c>
      <c r="E154">
        <v>6</v>
      </c>
      <c r="F154">
        <v>7954</v>
      </c>
      <c r="G154" t="s">
        <v>460</v>
      </c>
    </row>
    <row r="155" spans="1:7" x14ac:dyDescent="0.3">
      <c r="A155" t="s">
        <v>184</v>
      </c>
      <c r="B155" t="s">
        <v>26</v>
      </c>
      <c r="C155" t="s">
        <v>141</v>
      </c>
      <c r="D155" s="1">
        <v>43237</v>
      </c>
      <c r="E155">
        <v>1</v>
      </c>
      <c r="F155">
        <v>2153</v>
      </c>
      <c r="G155" t="s">
        <v>460</v>
      </c>
    </row>
    <row r="156" spans="1:7" x14ac:dyDescent="0.3">
      <c r="A156" t="s">
        <v>184</v>
      </c>
      <c r="B156" t="s">
        <v>30</v>
      </c>
      <c r="C156" t="s">
        <v>141</v>
      </c>
      <c r="D156" s="1">
        <v>43237</v>
      </c>
      <c r="E156">
        <v>4</v>
      </c>
      <c r="F156">
        <v>5306</v>
      </c>
      <c r="G156" t="s">
        <v>460</v>
      </c>
    </row>
    <row r="157" spans="1:7" x14ac:dyDescent="0.3">
      <c r="A157" t="s">
        <v>184</v>
      </c>
      <c r="B157" t="s">
        <v>8</v>
      </c>
      <c r="C157" t="s">
        <v>141</v>
      </c>
      <c r="D157" s="1">
        <v>43238</v>
      </c>
      <c r="E157">
        <v>1</v>
      </c>
      <c r="F157">
        <v>1801</v>
      </c>
      <c r="G157" t="s">
        <v>460</v>
      </c>
    </row>
    <row r="158" spans="1:7" x14ac:dyDescent="0.3">
      <c r="A158" t="s">
        <v>184</v>
      </c>
      <c r="B158" t="s">
        <v>8</v>
      </c>
      <c r="C158" t="s">
        <v>141</v>
      </c>
      <c r="D158" s="1">
        <v>43243</v>
      </c>
      <c r="E158">
        <v>2</v>
      </c>
      <c r="F158">
        <v>2699</v>
      </c>
      <c r="G158" t="s">
        <v>460</v>
      </c>
    </row>
    <row r="159" spans="1:7" x14ac:dyDescent="0.3">
      <c r="A159" t="s">
        <v>184</v>
      </c>
      <c r="B159" t="s">
        <v>26</v>
      </c>
      <c r="C159" t="s">
        <v>141</v>
      </c>
      <c r="D159" s="1">
        <v>43244</v>
      </c>
      <c r="E159">
        <v>1</v>
      </c>
      <c r="F159">
        <v>1616</v>
      </c>
      <c r="G159" t="s">
        <v>460</v>
      </c>
    </row>
    <row r="160" spans="1:7" x14ac:dyDescent="0.3">
      <c r="A160" t="s">
        <v>184</v>
      </c>
      <c r="B160" t="s">
        <v>8</v>
      </c>
      <c r="C160" t="s">
        <v>141</v>
      </c>
      <c r="D160" s="1">
        <v>43245</v>
      </c>
      <c r="E160">
        <v>2</v>
      </c>
      <c r="F160">
        <v>2245</v>
      </c>
      <c r="G160" t="s">
        <v>460</v>
      </c>
    </row>
    <row r="161" spans="1:7" x14ac:dyDescent="0.3">
      <c r="A161" t="s">
        <v>184</v>
      </c>
      <c r="B161" t="s">
        <v>32</v>
      </c>
      <c r="C161" t="s">
        <v>148</v>
      </c>
      <c r="D161" s="1">
        <v>43246</v>
      </c>
      <c r="E161">
        <v>1</v>
      </c>
      <c r="F161">
        <v>0</v>
      </c>
      <c r="G161" t="s">
        <v>460</v>
      </c>
    </row>
    <row r="162" spans="1:7" x14ac:dyDescent="0.3">
      <c r="A162" t="s">
        <v>184</v>
      </c>
      <c r="B162" t="s">
        <v>8</v>
      </c>
      <c r="C162" t="s">
        <v>141</v>
      </c>
      <c r="D162" s="1">
        <v>43248</v>
      </c>
      <c r="E162">
        <v>1</v>
      </c>
      <c r="F162">
        <v>903</v>
      </c>
      <c r="G162" t="s">
        <v>460</v>
      </c>
    </row>
    <row r="163" spans="1:7" x14ac:dyDescent="0.3">
      <c r="A163" t="s">
        <v>184</v>
      </c>
      <c r="B163" t="s">
        <v>30</v>
      </c>
      <c r="C163" t="s">
        <v>141</v>
      </c>
      <c r="D163" s="1">
        <v>43249</v>
      </c>
      <c r="E163">
        <v>4</v>
      </c>
      <c r="F163">
        <v>5306</v>
      </c>
      <c r="G163" t="s">
        <v>460</v>
      </c>
    </row>
    <row r="164" spans="1:7" x14ac:dyDescent="0.3">
      <c r="A164" t="s">
        <v>184</v>
      </c>
      <c r="B164" t="s">
        <v>22</v>
      </c>
      <c r="C164" t="s">
        <v>141</v>
      </c>
      <c r="D164" s="1">
        <v>43250</v>
      </c>
      <c r="E164">
        <v>3</v>
      </c>
      <c r="F164">
        <v>3778</v>
      </c>
      <c r="G164" t="s">
        <v>460</v>
      </c>
    </row>
    <row r="165" spans="1:7" x14ac:dyDescent="0.3">
      <c r="A165" t="s">
        <v>184</v>
      </c>
      <c r="B165" t="s">
        <v>26</v>
      </c>
      <c r="C165" t="s">
        <v>141</v>
      </c>
      <c r="D165" s="1">
        <v>43251</v>
      </c>
      <c r="E165">
        <v>1</v>
      </c>
      <c r="F165">
        <v>537</v>
      </c>
      <c r="G165" t="s">
        <v>460</v>
      </c>
    </row>
    <row r="166" spans="1:7" x14ac:dyDescent="0.3">
      <c r="A166" t="s">
        <v>184</v>
      </c>
      <c r="B166" t="s">
        <v>22</v>
      </c>
      <c r="C166" t="s">
        <v>141</v>
      </c>
      <c r="D166" s="1">
        <v>43251</v>
      </c>
      <c r="E166">
        <v>1</v>
      </c>
      <c r="F166">
        <v>1417</v>
      </c>
      <c r="G166" t="s">
        <v>460</v>
      </c>
    </row>
    <row r="167" spans="1:7" x14ac:dyDescent="0.3">
      <c r="A167" t="s">
        <v>184</v>
      </c>
      <c r="B167" t="s">
        <v>30</v>
      </c>
      <c r="C167" t="s">
        <v>141</v>
      </c>
      <c r="D167" s="1">
        <v>43251</v>
      </c>
      <c r="E167">
        <v>4</v>
      </c>
      <c r="F167">
        <v>5306</v>
      </c>
      <c r="G167" t="s">
        <v>460</v>
      </c>
    </row>
    <row r="168" spans="1:7" x14ac:dyDescent="0.3">
      <c r="A168" t="s">
        <v>184</v>
      </c>
      <c r="B168" t="s">
        <v>22</v>
      </c>
      <c r="C168" t="s">
        <v>141</v>
      </c>
      <c r="D168" s="1">
        <v>43252</v>
      </c>
      <c r="E168">
        <v>1</v>
      </c>
      <c r="F168">
        <v>472</v>
      </c>
      <c r="G168" t="s">
        <v>460</v>
      </c>
    </row>
    <row r="169" spans="1:7" x14ac:dyDescent="0.3">
      <c r="A169" t="s">
        <v>184</v>
      </c>
      <c r="B169" t="s">
        <v>8</v>
      </c>
      <c r="C169" t="s">
        <v>141</v>
      </c>
      <c r="D169" s="1">
        <v>43252</v>
      </c>
      <c r="E169">
        <v>3</v>
      </c>
      <c r="F169">
        <v>4051</v>
      </c>
      <c r="G169" t="s">
        <v>460</v>
      </c>
    </row>
    <row r="170" spans="1:7" x14ac:dyDescent="0.3">
      <c r="A170" t="s">
        <v>184</v>
      </c>
      <c r="B170" t="s">
        <v>28</v>
      </c>
      <c r="C170" t="s">
        <v>141</v>
      </c>
      <c r="D170" s="1">
        <v>43252</v>
      </c>
      <c r="E170">
        <v>10</v>
      </c>
      <c r="F170">
        <v>14815</v>
      </c>
      <c r="G170" t="s">
        <v>460</v>
      </c>
    </row>
    <row r="171" spans="1:7" x14ac:dyDescent="0.3">
      <c r="A171" t="s">
        <v>184</v>
      </c>
      <c r="B171" t="s">
        <v>8</v>
      </c>
      <c r="C171" t="s">
        <v>141</v>
      </c>
      <c r="D171" s="1">
        <v>43257</v>
      </c>
      <c r="E171">
        <v>3</v>
      </c>
      <c r="F171">
        <v>4495</v>
      </c>
      <c r="G171" t="s">
        <v>460</v>
      </c>
    </row>
    <row r="172" spans="1:7" x14ac:dyDescent="0.3">
      <c r="A172" t="s">
        <v>184</v>
      </c>
      <c r="B172" t="s">
        <v>26</v>
      </c>
      <c r="C172" t="s">
        <v>141</v>
      </c>
      <c r="D172" s="1">
        <v>43258</v>
      </c>
      <c r="E172">
        <v>2</v>
      </c>
      <c r="F172">
        <v>2690</v>
      </c>
      <c r="G172" t="s">
        <v>460</v>
      </c>
    </row>
    <row r="173" spans="1:7" x14ac:dyDescent="0.3">
      <c r="A173" t="s">
        <v>184</v>
      </c>
      <c r="B173" t="s">
        <v>22</v>
      </c>
      <c r="C173" t="s">
        <v>141</v>
      </c>
      <c r="D173" s="1">
        <v>43258</v>
      </c>
      <c r="E173">
        <v>1</v>
      </c>
      <c r="F173">
        <v>1417</v>
      </c>
      <c r="G173" t="s">
        <v>460</v>
      </c>
    </row>
    <row r="174" spans="1:7" x14ac:dyDescent="0.3">
      <c r="A174" t="s">
        <v>184</v>
      </c>
      <c r="B174" t="s">
        <v>8</v>
      </c>
      <c r="C174" t="s">
        <v>141</v>
      </c>
      <c r="D174" s="1">
        <v>43259</v>
      </c>
      <c r="E174">
        <v>1</v>
      </c>
      <c r="F174">
        <v>449</v>
      </c>
      <c r="G174" t="s">
        <v>460</v>
      </c>
    </row>
    <row r="175" spans="1:7" x14ac:dyDescent="0.3">
      <c r="A175" t="s">
        <v>184</v>
      </c>
      <c r="B175" t="s">
        <v>30</v>
      </c>
      <c r="C175" t="s">
        <v>141</v>
      </c>
      <c r="D175" s="1">
        <v>43259</v>
      </c>
      <c r="E175">
        <v>18</v>
      </c>
      <c r="F175">
        <v>23866</v>
      </c>
      <c r="G175" t="s">
        <v>460</v>
      </c>
    </row>
    <row r="176" spans="1:7" x14ac:dyDescent="0.3">
      <c r="A176" t="s">
        <v>184</v>
      </c>
      <c r="B176" t="s">
        <v>8</v>
      </c>
      <c r="C176" t="s">
        <v>141</v>
      </c>
      <c r="D176" s="1">
        <v>43262</v>
      </c>
      <c r="E176">
        <v>1</v>
      </c>
      <c r="F176">
        <v>898</v>
      </c>
      <c r="G176" t="s">
        <v>460</v>
      </c>
    </row>
    <row r="177" spans="1:7" x14ac:dyDescent="0.3">
      <c r="A177" t="s">
        <v>184</v>
      </c>
      <c r="B177" t="s">
        <v>28</v>
      </c>
      <c r="C177" t="s">
        <v>141</v>
      </c>
      <c r="D177" s="1">
        <v>43262</v>
      </c>
      <c r="E177">
        <v>3</v>
      </c>
      <c r="F177">
        <v>4940</v>
      </c>
      <c r="G177" t="s">
        <v>460</v>
      </c>
    </row>
    <row r="178" spans="1:7" x14ac:dyDescent="0.3">
      <c r="A178" t="s">
        <v>184</v>
      </c>
      <c r="B178" t="s">
        <v>8</v>
      </c>
      <c r="C178" t="s">
        <v>141</v>
      </c>
      <c r="D178" s="1">
        <v>43264</v>
      </c>
      <c r="E178">
        <v>1</v>
      </c>
      <c r="F178">
        <v>449</v>
      </c>
      <c r="G178" t="s">
        <v>460</v>
      </c>
    </row>
    <row r="179" spans="1:7" x14ac:dyDescent="0.3">
      <c r="A179" t="s">
        <v>184</v>
      </c>
      <c r="B179" t="s">
        <v>26</v>
      </c>
      <c r="C179" t="s">
        <v>141</v>
      </c>
      <c r="D179" s="1">
        <v>43265</v>
      </c>
      <c r="E179">
        <v>1</v>
      </c>
      <c r="F179">
        <v>2153</v>
      </c>
      <c r="G179" t="s">
        <v>460</v>
      </c>
    </row>
    <row r="180" spans="1:7" x14ac:dyDescent="0.3">
      <c r="A180" t="s">
        <v>184</v>
      </c>
      <c r="B180" t="s">
        <v>22</v>
      </c>
      <c r="C180" t="s">
        <v>141</v>
      </c>
      <c r="D180" s="1">
        <v>43265</v>
      </c>
      <c r="E180">
        <v>1</v>
      </c>
      <c r="F180">
        <v>472</v>
      </c>
      <c r="G180" t="s">
        <v>460</v>
      </c>
    </row>
    <row r="181" spans="1:7" x14ac:dyDescent="0.3">
      <c r="A181" t="s">
        <v>184</v>
      </c>
      <c r="B181" t="s">
        <v>8</v>
      </c>
      <c r="C181" t="s">
        <v>141</v>
      </c>
      <c r="D181" s="1">
        <v>43265</v>
      </c>
      <c r="E181">
        <v>1</v>
      </c>
      <c r="F181">
        <v>449</v>
      </c>
      <c r="G181" t="s">
        <v>460</v>
      </c>
    </row>
    <row r="182" spans="1:7" x14ac:dyDescent="0.3">
      <c r="A182" t="s">
        <v>184</v>
      </c>
      <c r="B182" t="s">
        <v>30</v>
      </c>
      <c r="C182" t="s">
        <v>141</v>
      </c>
      <c r="D182" s="1">
        <v>43265</v>
      </c>
      <c r="E182">
        <v>4</v>
      </c>
      <c r="F182">
        <v>5306</v>
      </c>
      <c r="G182" t="s">
        <v>460</v>
      </c>
    </row>
    <row r="183" spans="1:7" x14ac:dyDescent="0.3">
      <c r="A183" t="s">
        <v>184</v>
      </c>
      <c r="B183" t="s">
        <v>8</v>
      </c>
      <c r="C183" t="s">
        <v>141</v>
      </c>
      <c r="D183" s="1">
        <v>43266</v>
      </c>
      <c r="E183">
        <v>3</v>
      </c>
      <c r="F183">
        <v>3602</v>
      </c>
      <c r="G183" t="s">
        <v>460</v>
      </c>
    </row>
    <row r="184" spans="1:7" x14ac:dyDescent="0.3">
      <c r="A184" t="s">
        <v>184</v>
      </c>
      <c r="B184" t="s">
        <v>24</v>
      </c>
      <c r="C184" t="s">
        <v>141</v>
      </c>
      <c r="D184" s="1">
        <v>43269</v>
      </c>
      <c r="E184">
        <v>4</v>
      </c>
      <c r="F184">
        <v>3583</v>
      </c>
      <c r="G184" t="s">
        <v>460</v>
      </c>
    </row>
    <row r="185" spans="1:7" x14ac:dyDescent="0.3">
      <c r="A185" t="s">
        <v>184</v>
      </c>
      <c r="B185" t="s">
        <v>8</v>
      </c>
      <c r="C185" t="s">
        <v>141</v>
      </c>
      <c r="D185" s="1">
        <v>43269</v>
      </c>
      <c r="E185">
        <v>4</v>
      </c>
      <c r="F185">
        <v>4954</v>
      </c>
      <c r="G185" t="s">
        <v>460</v>
      </c>
    </row>
    <row r="186" spans="1:7" x14ac:dyDescent="0.3">
      <c r="A186" t="s">
        <v>184</v>
      </c>
      <c r="B186" t="s">
        <v>22</v>
      </c>
      <c r="C186" t="s">
        <v>141</v>
      </c>
      <c r="D186" s="1">
        <v>43272</v>
      </c>
      <c r="E186">
        <v>1</v>
      </c>
      <c r="F186">
        <v>1889</v>
      </c>
      <c r="G186" t="s">
        <v>460</v>
      </c>
    </row>
    <row r="187" spans="1:7" x14ac:dyDescent="0.3">
      <c r="A187" t="s">
        <v>184</v>
      </c>
      <c r="B187" t="s">
        <v>22</v>
      </c>
      <c r="C187" t="s">
        <v>141</v>
      </c>
      <c r="D187" s="1">
        <v>43299</v>
      </c>
      <c r="E187">
        <v>1</v>
      </c>
      <c r="F187">
        <v>472</v>
      </c>
      <c r="G187" t="s">
        <v>460</v>
      </c>
    </row>
    <row r="188" spans="1:7" x14ac:dyDescent="0.3">
      <c r="A188" t="s">
        <v>184</v>
      </c>
      <c r="B188" t="s">
        <v>8</v>
      </c>
      <c r="C188" t="s">
        <v>141</v>
      </c>
      <c r="D188" s="1">
        <v>43299</v>
      </c>
      <c r="E188">
        <v>1</v>
      </c>
      <c r="F188">
        <v>1352</v>
      </c>
      <c r="G188" t="s">
        <v>460</v>
      </c>
    </row>
    <row r="189" spans="1:7" x14ac:dyDescent="0.3">
      <c r="A189" t="s">
        <v>184</v>
      </c>
      <c r="B189" t="s">
        <v>26</v>
      </c>
      <c r="C189" t="s">
        <v>141</v>
      </c>
      <c r="D189" s="1">
        <v>43300</v>
      </c>
      <c r="E189">
        <v>1</v>
      </c>
      <c r="F189">
        <v>1616</v>
      </c>
      <c r="G189" t="s">
        <v>460</v>
      </c>
    </row>
    <row r="190" spans="1:7" x14ac:dyDescent="0.3">
      <c r="A190" t="s">
        <v>184</v>
      </c>
      <c r="B190" t="s">
        <v>8</v>
      </c>
      <c r="C190" t="s">
        <v>141</v>
      </c>
      <c r="D190" s="1">
        <v>43300</v>
      </c>
      <c r="E190">
        <v>1</v>
      </c>
      <c r="F190">
        <v>449</v>
      </c>
      <c r="G190" t="s">
        <v>460</v>
      </c>
    </row>
    <row r="191" spans="1:7" x14ac:dyDescent="0.3">
      <c r="A191" t="s">
        <v>184</v>
      </c>
      <c r="B191" t="s">
        <v>8</v>
      </c>
      <c r="C191" t="s">
        <v>141</v>
      </c>
      <c r="D191" s="1">
        <v>43304</v>
      </c>
      <c r="E191">
        <v>1</v>
      </c>
      <c r="F191">
        <v>1801</v>
      </c>
      <c r="G191" t="s">
        <v>460</v>
      </c>
    </row>
    <row r="192" spans="1:7" x14ac:dyDescent="0.3">
      <c r="A192" t="s">
        <v>184</v>
      </c>
      <c r="B192" t="s">
        <v>8</v>
      </c>
      <c r="C192" t="s">
        <v>141</v>
      </c>
      <c r="D192" s="1">
        <v>43311</v>
      </c>
      <c r="E192">
        <v>1</v>
      </c>
      <c r="F192">
        <v>1801</v>
      </c>
      <c r="G192" t="s">
        <v>460</v>
      </c>
    </row>
    <row r="193" spans="1:7" x14ac:dyDescent="0.3">
      <c r="A193" t="s">
        <v>184</v>
      </c>
      <c r="B193" t="s">
        <v>8</v>
      </c>
      <c r="C193" t="s">
        <v>141</v>
      </c>
      <c r="D193" s="1">
        <v>43490</v>
      </c>
      <c r="E193">
        <v>1</v>
      </c>
      <c r="F193">
        <v>449</v>
      </c>
      <c r="G193" t="s">
        <v>460</v>
      </c>
    </row>
    <row r="194" spans="1:7" x14ac:dyDescent="0.3">
      <c r="A194" t="s">
        <v>184</v>
      </c>
      <c r="B194" t="s">
        <v>8</v>
      </c>
      <c r="C194" t="s">
        <v>141</v>
      </c>
      <c r="D194" s="1">
        <v>43500</v>
      </c>
      <c r="E194">
        <v>1</v>
      </c>
      <c r="F194">
        <v>449</v>
      </c>
      <c r="G194" t="s">
        <v>460</v>
      </c>
    </row>
    <row r="195" spans="1:7" x14ac:dyDescent="0.3">
      <c r="A195" t="s">
        <v>184</v>
      </c>
      <c r="B195" t="s">
        <v>8</v>
      </c>
      <c r="C195" t="s">
        <v>141</v>
      </c>
      <c r="D195" s="1">
        <v>43516</v>
      </c>
      <c r="E195">
        <v>1</v>
      </c>
      <c r="F195">
        <v>449</v>
      </c>
      <c r="G195" t="s">
        <v>460</v>
      </c>
    </row>
    <row r="196" spans="1:7" x14ac:dyDescent="0.3">
      <c r="A196" t="s">
        <v>184</v>
      </c>
      <c r="B196" t="s">
        <v>8</v>
      </c>
      <c r="C196" t="s">
        <v>141</v>
      </c>
      <c r="D196" s="1">
        <v>43537</v>
      </c>
      <c r="E196">
        <v>1</v>
      </c>
      <c r="F196">
        <v>444</v>
      </c>
      <c r="G196" t="s">
        <v>460</v>
      </c>
    </row>
    <row r="197" spans="1:7" x14ac:dyDescent="0.3">
      <c r="A197" t="s">
        <v>184</v>
      </c>
      <c r="B197" t="s">
        <v>8</v>
      </c>
      <c r="C197" t="s">
        <v>141</v>
      </c>
      <c r="D197" s="1">
        <v>43552</v>
      </c>
      <c r="E197">
        <v>1</v>
      </c>
      <c r="F197">
        <v>444</v>
      </c>
      <c r="G197" t="s">
        <v>460</v>
      </c>
    </row>
    <row r="198" spans="1:7" x14ac:dyDescent="0.3">
      <c r="A198" t="s">
        <v>184</v>
      </c>
      <c r="B198" t="s">
        <v>8</v>
      </c>
      <c r="C198" t="s">
        <v>141</v>
      </c>
      <c r="D198" s="1">
        <v>43585</v>
      </c>
      <c r="E198">
        <v>1</v>
      </c>
      <c r="F198">
        <v>0</v>
      </c>
      <c r="G198" t="s">
        <v>460</v>
      </c>
    </row>
    <row r="199" spans="1:7" x14ac:dyDescent="0.3">
      <c r="A199" t="s">
        <v>185</v>
      </c>
      <c r="B199" t="s">
        <v>34</v>
      </c>
      <c r="C199" t="s">
        <v>138</v>
      </c>
      <c r="D199" s="1">
        <v>43014</v>
      </c>
      <c r="E199">
        <v>1</v>
      </c>
      <c r="F199">
        <v>505</v>
      </c>
      <c r="G199" t="s">
        <v>460</v>
      </c>
    </row>
    <row r="200" spans="1:7" x14ac:dyDescent="0.3">
      <c r="A200" t="s">
        <v>185</v>
      </c>
      <c r="B200" t="s">
        <v>34</v>
      </c>
      <c r="C200" t="s">
        <v>138</v>
      </c>
      <c r="D200" s="1">
        <v>43021</v>
      </c>
      <c r="E200">
        <v>1</v>
      </c>
      <c r="F200">
        <v>1514</v>
      </c>
      <c r="G200" t="s">
        <v>460</v>
      </c>
    </row>
    <row r="201" spans="1:7" x14ac:dyDescent="0.3">
      <c r="A201" t="s">
        <v>185</v>
      </c>
      <c r="B201" t="s">
        <v>34</v>
      </c>
      <c r="C201" t="s">
        <v>138</v>
      </c>
      <c r="D201" s="1">
        <v>43028</v>
      </c>
      <c r="E201">
        <v>1</v>
      </c>
      <c r="F201">
        <v>2023</v>
      </c>
      <c r="G201" t="s">
        <v>460</v>
      </c>
    </row>
    <row r="202" spans="1:7" x14ac:dyDescent="0.3">
      <c r="A202" t="s">
        <v>185</v>
      </c>
      <c r="B202" t="s">
        <v>34</v>
      </c>
      <c r="C202" t="s">
        <v>138</v>
      </c>
      <c r="D202" s="1">
        <v>43035</v>
      </c>
      <c r="E202">
        <v>25</v>
      </c>
      <c r="F202">
        <v>37889</v>
      </c>
      <c r="G202" t="s">
        <v>460</v>
      </c>
    </row>
    <row r="203" spans="1:7" x14ac:dyDescent="0.3">
      <c r="A203" t="s">
        <v>185</v>
      </c>
      <c r="B203" t="s">
        <v>34</v>
      </c>
      <c r="C203" t="s">
        <v>138</v>
      </c>
      <c r="D203" s="1">
        <v>43139</v>
      </c>
      <c r="E203">
        <v>1</v>
      </c>
      <c r="F203">
        <v>593</v>
      </c>
      <c r="G203" t="s">
        <v>460</v>
      </c>
    </row>
    <row r="204" spans="1:7" x14ac:dyDescent="0.3">
      <c r="A204" t="s">
        <v>185</v>
      </c>
      <c r="B204" t="s">
        <v>16</v>
      </c>
      <c r="C204" t="s">
        <v>144</v>
      </c>
      <c r="D204" s="1">
        <v>43147</v>
      </c>
      <c r="E204">
        <v>1</v>
      </c>
      <c r="F204">
        <v>597</v>
      </c>
      <c r="G204" t="s">
        <v>460</v>
      </c>
    </row>
    <row r="205" spans="1:7" x14ac:dyDescent="0.3">
      <c r="A205" t="s">
        <v>185</v>
      </c>
      <c r="B205" t="s">
        <v>16</v>
      </c>
      <c r="C205" t="s">
        <v>144</v>
      </c>
      <c r="D205" s="1">
        <v>43157</v>
      </c>
      <c r="E205">
        <v>1</v>
      </c>
      <c r="F205">
        <v>2389</v>
      </c>
      <c r="G205" t="s">
        <v>460</v>
      </c>
    </row>
    <row r="206" spans="1:7" x14ac:dyDescent="0.3">
      <c r="A206" t="s">
        <v>185</v>
      </c>
      <c r="B206" t="s">
        <v>34</v>
      </c>
      <c r="C206" t="s">
        <v>138</v>
      </c>
      <c r="D206" s="1">
        <v>43160</v>
      </c>
      <c r="E206">
        <v>1</v>
      </c>
      <c r="F206">
        <v>593</v>
      </c>
      <c r="G206" t="s">
        <v>460</v>
      </c>
    </row>
    <row r="207" spans="1:7" x14ac:dyDescent="0.3">
      <c r="A207" t="s">
        <v>185</v>
      </c>
      <c r="B207" t="s">
        <v>16</v>
      </c>
      <c r="C207" t="s">
        <v>144</v>
      </c>
      <c r="D207" s="1">
        <v>43161</v>
      </c>
      <c r="E207">
        <v>1</v>
      </c>
      <c r="F207">
        <v>1194</v>
      </c>
      <c r="G207" t="s">
        <v>460</v>
      </c>
    </row>
    <row r="208" spans="1:7" x14ac:dyDescent="0.3">
      <c r="A208" t="s">
        <v>185</v>
      </c>
      <c r="B208" t="s">
        <v>16</v>
      </c>
      <c r="C208" t="s">
        <v>144</v>
      </c>
      <c r="D208" s="1">
        <v>43164</v>
      </c>
      <c r="E208">
        <v>8</v>
      </c>
      <c r="F208">
        <v>13736</v>
      </c>
      <c r="G208" t="s">
        <v>460</v>
      </c>
    </row>
    <row r="209" spans="1:7" x14ac:dyDescent="0.3">
      <c r="A209" t="s">
        <v>185</v>
      </c>
      <c r="B209" t="s">
        <v>16</v>
      </c>
      <c r="C209" t="s">
        <v>144</v>
      </c>
      <c r="D209" s="1">
        <v>43171</v>
      </c>
      <c r="E209">
        <v>1</v>
      </c>
      <c r="F209">
        <v>1194</v>
      </c>
      <c r="G209" t="s">
        <v>460</v>
      </c>
    </row>
    <row r="210" spans="1:7" x14ac:dyDescent="0.3">
      <c r="A210" t="s">
        <v>185</v>
      </c>
      <c r="B210" t="s">
        <v>16</v>
      </c>
      <c r="C210" t="s">
        <v>144</v>
      </c>
      <c r="D210" s="1">
        <v>43193</v>
      </c>
      <c r="E210">
        <v>1</v>
      </c>
      <c r="F210">
        <v>597</v>
      </c>
      <c r="G210" t="s">
        <v>460</v>
      </c>
    </row>
    <row r="211" spans="1:7" x14ac:dyDescent="0.3">
      <c r="A211" t="s">
        <v>185</v>
      </c>
      <c r="B211" t="s">
        <v>16</v>
      </c>
      <c r="C211" t="s">
        <v>144</v>
      </c>
      <c r="D211" s="1">
        <v>43199</v>
      </c>
      <c r="E211">
        <v>1</v>
      </c>
      <c r="F211">
        <v>597</v>
      </c>
      <c r="G211" t="s">
        <v>460</v>
      </c>
    </row>
    <row r="212" spans="1:7" x14ac:dyDescent="0.3">
      <c r="A212" t="s">
        <v>185</v>
      </c>
      <c r="B212" t="s">
        <v>16</v>
      </c>
      <c r="C212" t="s">
        <v>144</v>
      </c>
      <c r="D212" s="1">
        <v>43203</v>
      </c>
      <c r="E212">
        <v>1</v>
      </c>
      <c r="F212">
        <v>597</v>
      </c>
      <c r="G212" t="s">
        <v>460</v>
      </c>
    </row>
    <row r="213" spans="1:7" x14ac:dyDescent="0.3">
      <c r="A213" t="s">
        <v>185</v>
      </c>
      <c r="B213" t="s">
        <v>36</v>
      </c>
      <c r="C213" t="s">
        <v>150</v>
      </c>
      <c r="D213" s="1">
        <v>43214</v>
      </c>
      <c r="E213">
        <v>17</v>
      </c>
      <c r="F213">
        <v>17472</v>
      </c>
      <c r="G213" t="s">
        <v>460</v>
      </c>
    </row>
    <row r="214" spans="1:7" x14ac:dyDescent="0.3">
      <c r="A214" t="s">
        <v>185</v>
      </c>
      <c r="B214" t="s">
        <v>16</v>
      </c>
      <c r="C214" t="s">
        <v>144</v>
      </c>
      <c r="D214" s="1">
        <v>43216</v>
      </c>
      <c r="E214">
        <v>2</v>
      </c>
      <c r="F214">
        <v>2986</v>
      </c>
      <c r="G214" t="s">
        <v>460</v>
      </c>
    </row>
    <row r="215" spans="1:7" x14ac:dyDescent="0.3">
      <c r="A215" t="s">
        <v>185</v>
      </c>
      <c r="B215" t="s">
        <v>16</v>
      </c>
      <c r="C215" t="s">
        <v>144</v>
      </c>
      <c r="D215" s="1">
        <v>43217</v>
      </c>
      <c r="E215">
        <v>2</v>
      </c>
      <c r="F215">
        <v>2986</v>
      </c>
      <c r="G215" t="s">
        <v>460</v>
      </c>
    </row>
    <row r="216" spans="1:7" x14ac:dyDescent="0.3">
      <c r="A216" t="s">
        <v>185</v>
      </c>
      <c r="B216" t="s">
        <v>16</v>
      </c>
      <c r="C216" t="s">
        <v>144</v>
      </c>
      <c r="D216" s="1">
        <v>43227</v>
      </c>
      <c r="E216">
        <v>1</v>
      </c>
      <c r="F216">
        <v>597</v>
      </c>
      <c r="G216" t="s">
        <v>460</v>
      </c>
    </row>
    <row r="217" spans="1:7" x14ac:dyDescent="0.3">
      <c r="A217" t="s">
        <v>185</v>
      </c>
      <c r="B217" t="s">
        <v>16</v>
      </c>
      <c r="C217" t="s">
        <v>144</v>
      </c>
      <c r="D217" s="1">
        <v>43234</v>
      </c>
      <c r="E217">
        <v>1</v>
      </c>
      <c r="F217">
        <v>1194</v>
      </c>
      <c r="G217" t="s">
        <v>460</v>
      </c>
    </row>
    <row r="218" spans="1:7" x14ac:dyDescent="0.3">
      <c r="A218" t="s">
        <v>185</v>
      </c>
      <c r="B218" t="s">
        <v>16</v>
      </c>
      <c r="C218" t="s">
        <v>144</v>
      </c>
      <c r="D218" s="1">
        <v>43238</v>
      </c>
      <c r="E218">
        <v>1</v>
      </c>
      <c r="F218">
        <v>796</v>
      </c>
      <c r="G218" t="s">
        <v>460</v>
      </c>
    </row>
    <row r="219" spans="1:7" x14ac:dyDescent="0.3">
      <c r="A219" t="s">
        <v>185</v>
      </c>
      <c r="B219" t="s">
        <v>36</v>
      </c>
      <c r="C219" t="s">
        <v>150</v>
      </c>
      <c r="D219" s="1">
        <v>43251</v>
      </c>
      <c r="E219">
        <v>26</v>
      </c>
      <c r="F219">
        <v>26722</v>
      </c>
      <c r="G219" t="s">
        <v>460</v>
      </c>
    </row>
    <row r="220" spans="1:7" x14ac:dyDescent="0.3">
      <c r="A220" t="s">
        <v>185</v>
      </c>
      <c r="B220" t="s">
        <v>16</v>
      </c>
      <c r="C220" t="s">
        <v>144</v>
      </c>
      <c r="D220" s="1">
        <v>43262</v>
      </c>
      <c r="E220">
        <v>1</v>
      </c>
      <c r="F220">
        <v>796</v>
      </c>
      <c r="G220" t="s">
        <v>460</v>
      </c>
    </row>
    <row r="221" spans="1:7" x14ac:dyDescent="0.3">
      <c r="A221" t="s">
        <v>185</v>
      </c>
      <c r="B221" t="s">
        <v>16</v>
      </c>
      <c r="C221" t="s">
        <v>144</v>
      </c>
      <c r="D221" s="1">
        <v>43264</v>
      </c>
      <c r="E221">
        <v>1</v>
      </c>
      <c r="F221">
        <v>796</v>
      </c>
      <c r="G221" t="s">
        <v>460</v>
      </c>
    </row>
    <row r="222" spans="1:7" x14ac:dyDescent="0.3">
      <c r="A222" t="s">
        <v>185</v>
      </c>
      <c r="B222" t="s">
        <v>16</v>
      </c>
      <c r="C222" t="s">
        <v>144</v>
      </c>
      <c r="D222" s="1">
        <v>43265</v>
      </c>
      <c r="E222">
        <v>1</v>
      </c>
      <c r="F222">
        <v>3185</v>
      </c>
      <c r="G222" t="s">
        <v>460</v>
      </c>
    </row>
    <row r="223" spans="1:7" x14ac:dyDescent="0.3">
      <c r="A223" t="s">
        <v>185</v>
      </c>
      <c r="B223" t="s">
        <v>16</v>
      </c>
      <c r="C223" t="s">
        <v>144</v>
      </c>
      <c r="D223" s="1">
        <v>43269</v>
      </c>
      <c r="E223">
        <v>1</v>
      </c>
      <c r="F223">
        <v>796</v>
      </c>
      <c r="G223" t="s">
        <v>460</v>
      </c>
    </row>
    <row r="224" spans="1:7" x14ac:dyDescent="0.3">
      <c r="A224" t="s">
        <v>185</v>
      </c>
      <c r="B224" t="s">
        <v>16</v>
      </c>
      <c r="C224" t="s">
        <v>144</v>
      </c>
      <c r="D224" s="1">
        <v>43273</v>
      </c>
      <c r="E224">
        <v>1</v>
      </c>
      <c r="F224">
        <v>2389</v>
      </c>
      <c r="G224" t="s">
        <v>460</v>
      </c>
    </row>
    <row r="225" spans="1:7" x14ac:dyDescent="0.3">
      <c r="A225" t="s">
        <v>185</v>
      </c>
      <c r="B225" t="s">
        <v>16</v>
      </c>
      <c r="C225" t="s">
        <v>144</v>
      </c>
      <c r="D225" s="1">
        <v>43280</v>
      </c>
      <c r="E225">
        <v>1</v>
      </c>
      <c r="F225">
        <v>3185</v>
      </c>
      <c r="G225" t="s">
        <v>460</v>
      </c>
    </row>
    <row r="226" spans="1:7" x14ac:dyDescent="0.3">
      <c r="A226" t="s">
        <v>185</v>
      </c>
      <c r="B226" t="s">
        <v>16</v>
      </c>
      <c r="C226" t="s">
        <v>144</v>
      </c>
      <c r="D226" s="1">
        <v>43290</v>
      </c>
      <c r="E226">
        <v>2</v>
      </c>
      <c r="F226">
        <v>5574</v>
      </c>
      <c r="G226" t="s">
        <v>460</v>
      </c>
    </row>
    <row r="227" spans="1:7" x14ac:dyDescent="0.3">
      <c r="A227" t="s">
        <v>185</v>
      </c>
      <c r="B227" t="s">
        <v>16</v>
      </c>
      <c r="C227" t="s">
        <v>144</v>
      </c>
      <c r="D227" s="1">
        <v>43294</v>
      </c>
      <c r="E227">
        <v>1</v>
      </c>
      <c r="F227">
        <v>796</v>
      </c>
      <c r="G227" t="s">
        <v>460</v>
      </c>
    </row>
    <row r="228" spans="1:7" x14ac:dyDescent="0.3">
      <c r="A228" t="s">
        <v>185</v>
      </c>
      <c r="B228" t="s">
        <v>16</v>
      </c>
      <c r="C228" t="s">
        <v>144</v>
      </c>
      <c r="D228" s="1">
        <v>43301</v>
      </c>
      <c r="E228">
        <v>1</v>
      </c>
      <c r="F228">
        <v>796</v>
      </c>
      <c r="G228" t="s">
        <v>460</v>
      </c>
    </row>
    <row r="229" spans="1:7" x14ac:dyDescent="0.3">
      <c r="A229" t="s">
        <v>185</v>
      </c>
      <c r="B229" t="s">
        <v>16</v>
      </c>
      <c r="C229" t="s">
        <v>144</v>
      </c>
      <c r="D229" s="1">
        <v>43308</v>
      </c>
      <c r="E229">
        <v>1</v>
      </c>
      <c r="F229">
        <v>796</v>
      </c>
      <c r="G229" t="s">
        <v>460</v>
      </c>
    </row>
    <row r="230" spans="1:7" x14ac:dyDescent="0.3">
      <c r="A230" t="s">
        <v>185</v>
      </c>
      <c r="B230" t="s">
        <v>16</v>
      </c>
      <c r="C230" t="s">
        <v>144</v>
      </c>
      <c r="D230" s="1">
        <v>43315</v>
      </c>
      <c r="E230">
        <v>1</v>
      </c>
      <c r="F230">
        <v>1593</v>
      </c>
      <c r="G230" t="s">
        <v>460</v>
      </c>
    </row>
    <row r="231" spans="1:7" x14ac:dyDescent="0.3">
      <c r="A231" t="s">
        <v>185</v>
      </c>
      <c r="B231" t="s">
        <v>34</v>
      </c>
      <c r="C231" t="s">
        <v>138</v>
      </c>
      <c r="D231" s="1">
        <v>43385</v>
      </c>
      <c r="E231">
        <v>1</v>
      </c>
      <c r="F231">
        <v>514</v>
      </c>
      <c r="G231" t="s">
        <v>460</v>
      </c>
    </row>
    <row r="232" spans="1:7" x14ac:dyDescent="0.3">
      <c r="A232" t="s">
        <v>185</v>
      </c>
      <c r="B232" t="s">
        <v>16</v>
      </c>
      <c r="C232" t="s">
        <v>144</v>
      </c>
      <c r="D232" s="1">
        <v>43390</v>
      </c>
      <c r="E232">
        <v>1</v>
      </c>
      <c r="F232">
        <v>4759</v>
      </c>
      <c r="G232" t="s">
        <v>460</v>
      </c>
    </row>
    <row r="233" spans="1:7" x14ac:dyDescent="0.3">
      <c r="A233" t="s">
        <v>185</v>
      </c>
      <c r="B233" t="s">
        <v>16</v>
      </c>
      <c r="C233" t="s">
        <v>144</v>
      </c>
      <c r="D233" s="1">
        <v>43398</v>
      </c>
      <c r="E233">
        <v>1</v>
      </c>
      <c r="F233">
        <v>1190</v>
      </c>
      <c r="G233" t="s">
        <v>460</v>
      </c>
    </row>
    <row r="234" spans="1:7" x14ac:dyDescent="0.3">
      <c r="A234" t="s">
        <v>185</v>
      </c>
      <c r="B234" t="s">
        <v>16</v>
      </c>
      <c r="C234" t="s">
        <v>144</v>
      </c>
      <c r="D234" s="1">
        <v>43399</v>
      </c>
      <c r="E234">
        <v>1</v>
      </c>
      <c r="F234">
        <v>1190</v>
      </c>
      <c r="G234" t="s">
        <v>460</v>
      </c>
    </row>
    <row r="235" spans="1:7" x14ac:dyDescent="0.3">
      <c r="A235" t="s">
        <v>185</v>
      </c>
      <c r="B235" t="s">
        <v>34</v>
      </c>
      <c r="C235" t="s">
        <v>138</v>
      </c>
      <c r="D235" s="1">
        <v>43404</v>
      </c>
      <c r="E235">
        <v>3</v>
      </c>
      <c r="F235">
        <v>4106</v>
      </c>
      <c r="G235" t="s">
        <v>460</v>
      </c>
    </row>
    <row r="236" spans="1:7" x14ac:dyDescent="0.3">
      <c r="A236" t="s">
        <v>185</v>
      </c>
      <c r="B236" t="s">
        <v>16</v>
      </c>
      <c r="C236" t="s">
        <v>144</v>
      </c>
      <c r="D236" s="1">
        <v>43409</v>
      </c>
      <c r="E236">
        <v>2</v>
      </c>
      <c r="F236">
        <v>5949</v>
      </c>
      <c r="G236" t="s">
        <v>460</v>
      </c>
    </row>
    <row r="237" spans="1:7" x14ac:dyDescent="0.3">
      <c r="A237" t="s">
        <v>185</v>
      </c>
      <c r="B237" t="s">
        <v>16</v>
      </c>
      <c r="C237" t="s">
        <v>144</v>
      </c>
      <c r="D237" s="1">
        <v>43410</v>
      </c>
      <c r="E237">
        <v>2</v>
      </c>
      <c r="F237">
        <v>5949</v>
      </c>
      <c r="G237" t="s">
        <v>460</v>
      </c>
    </row>
    <row r="238" spans="1:7" x14ac:dyDescent="0.3">
      <c r="A238" t="s">
        <v>185</v>
      </c>
      <c r="B238" t="s">
        <v>34</v>
      </c>
      <c r="C238" t="s">
        <v>138</v>
      </c>
      <c r="D238" s="1">
        <v>43441</v>
      </c>
      <c r="E238">
        <v>1</v>
      </c>
      <c r="F238">
        <v>514</v>
      </c>
      <c r="G238" t="s">
        <v>460</v>
      </c>
    </row>
    <row r="239" spans="1:7" x14ac:dyDescent="0.3">
      <c r="A239" t="s">
        <v>185</v>
      </c>
      <c r="B239" t="s">
        <v>34</v>
      </c>
      <c r="C239" t="s">
        <v>138</v>
      </c>
      <c r="D239" s="1">
        <v>43448</v>
      </c>
      <c r="E239">
        <v>1</v>
      </c>
      <c r="F239">
        <v>514</v>
      </c>
      <c r="G239" t="s">
        <v>460</v>
      </c>
    </row>
    <row r="240" spans="1:7" x14ac:dyDescent="0.3">
      <c r="A240" t="s">
        <v>185</v>
      </c>
      <c r="B240" t="s">
        <v>34</v>
      </c>
      <c r="C240" t="s">
        <v>138</v>
      </c>
      <c r="D240" s="1">
        <v>43455</v>
      </c>
      <c r="E240">
        <v>1</v>
      </c>
      <c r="F240">
        <v>514</v>
      </c>
      <c r="G240" t="s">
        <v>460</v>
      </c>
    </row>
    <row r="241" spans="1:7" x14ac:dyDescent="0.3">
      <c r="A241" t="s">
        <v>185</v>
      </c>
      <c r="B241" t="s">
        <v>38</v>
      </c>
      <c r="C241" t="s">
        <v>138</v>
      </c>
      <c r="D241" s="1">
        <v>43462</v>
      </c>
      <c r="E241">
        <v>1</v>
      </c>
      <c r="F241">
        <v>0</v>
      </c>
      <c r="G241" t="s">
        <v>460</v>
      </c>
    </row>
    <row r="242" spans="1:7" x14ac:dyDescent="0.3">
      <c r="A242" t="s">
        <v>185</v>
      </c>
      <c r="B242" t="s">
        <v>34</v>
      </c>
      <c r="C242" t="s">
        <v>138</v>
      </c>
      <c r="D242" s="1">
        <v>43493</v>
      </c>
      <c r="E242">
        <v>1</v>
      </c>
      <c r="F242">
        <v>514</v>
      </c>
      <c r="G242" t="s">
        <v>460</v>
      </c>
    </row>
    <row r="243" spans="1:7" x14ac:dyDescent="0.3">
      <c r="A243" t="s">
        <v>185</v>
      </c>
      <c r="B243" t="s">
        <v>34</v>
      </c>
      <c r="C243" t="s">
        <v>138</v>
      </c>
      <c r="D243" s="1">
        <v>43497</v>
      </c>
      <c r="E243">
        <v>1</v>
      </c>
      <c r="F243">
        <v>514</v>
      </c>
      <c r="G243" t="s">
        <v>460</v>
      </c>
    </row>
    <row r="244" spans="1:7" x14ac:dyDescent="0.3">
      <c r="A244" t="s">
        <v>185</v>
      </c>
      <c r="B244" t="s">
        <v>34</v>
      </c>
      <c r="C244" t="s">
        <v>138</v>
      </c>
      <c r="D244" s="1">
        <v>43504</v>
      </c>
      <c r="E244">
        <v>1</v>
      </c>
      <c r="F244">
        <v>1028</v>
      </c>
      <c r="G244" t="s">
        <v>460</v>
      </c>
    </row>
    <row r="245" spans="1:7" x14ac:dyDescent="0.3">
      <c r="A245" t="s">
        <v>185</v>
      </c>
      <c r="B245" t="s">
        <v>34</v>
      </c>
      <c r="C245" t="s">
        <v>138</v>
      </c>
      <c r="D245" s="1">
        <v>43511</v>
      </c>
      <c r="E245">
        <v>1</v>
      </c>
      <c r="F245">
        <v>2056</v>
      </c>
      <c r="G245" t="s">
        <v>460</v>
      </c>
    </row>
    <row r="246" spans="1:7" x14ac:dyDescent="0.3">
      <c r="A246" t="s">
        <v>185</v>
      </c>
      <c r="B246" t="s">
        <v>16</v>
      </c>
      <c r="C246" t="s">
        <v>144</v>
      </c>
      <c r="D246" s="1">
        <v>43518</v>
      </c>
      <c r="E246">
        <v>1</v>
      </c>
      <c r="F246">
        <v>796</v>
      </c>
      <c r="G246" t="s">
        <v>460</v>
      </c>
    </row>
    <row r="247" spans="1:7" x14ac:dyDescent="0.3">
      <c r="A247" t="s">
        <v>185</v>
      </c>
      <c r="B247" t="s">
        <v>34</v>
      </c>
      <c r="C247" t="s">
        <v>138</v>
      </c>
      <c r="D247" s="1">
        <v>43518</v>
      </c>
      <c r="E247">
        <v>1</v>
      </c>
      <c r="F247">
        <v>1542</v>
      </c>
      <c r="G247" t="s">
        <v>460</v>
      </c>
    </row>
    <row r="248" spans="1:7" x14ac:dyDescent="0.3">
      <c r="A248" t="s">
        <v>185</v>
      </c>
      <c r="B248" t="s">
        <v>34</v>
      </c>
      <c r="C248" t="s">
        <v>138</v>
      </c>
      <c r="D248" s="1">
        <v>43525</v>
      </c>
      <c r="E248">
        <v>1</v>
      </c>
      <c r="F248">
        <v>514</v>
      </c>
      <c r="G248" t="s">
        <v>460</v>
      </c>
    </row>
    <row r="249" spans="1:7" x14ac:dyDescent="0.3">
      <c r="A249" t="s">
        <v>185</v>
      </c>
      <c r="B249" t="s">
        <v>34</v>
      </c>
      <c r="C249" t="s">
        <v>138</v>
      </c>
      <c r="D249" s="1">
        <v>43532</v>
      </c>
      <c r="E249">
        <v>1</v>
      </c>
      <c r="F249">
        <v>1028</v>
      </c>
      <c r="G249" t="s">
        <v>460</v>
      </c>
    </row>
    <row r="250" spans="1:7" x14ac:dyDescent="0.3">
      <c r="A250" t="s">
        <v>185</v>
      </c>
      <c r="B250" t="s">
        <v>16</v>
      </c>
      <c r="C250" t="s">
        <v>144</v>
      </c>
      <c r="D250" s="1">
        <v>43567</v>
      </c>
      <c r="E250">
        <v>1</v>
      </c>
      <c r="F250">
        <v>796</v>
      </c>
      <c r="G250" t="s">
        <v>460</v>
      </c>
    </row>
    <row r="251" spans="1:7" x14ac:dyDescent="0.3">
      <c r="A251" t="s">
        <v>185</v>
      </c>
      <c r="B251" t="s">
        <v>16</v>
      </c>
      <c r="C251" t="s">
        <v>144</v>
      </c>
      <c r="D251" s="1">
        <v>43619</v>
      </c>
      <c r="E251">
        <v>1</v>
      </c>
      <c r="F251">
        <v>796</v>
      </c>
      <c r="G251" t="s">
        <v>460</v>
      </c>
    </row>
    <row r="252" spans="1:7" x14ac:dyDescent="0.3">
      <c r="A252" t="s">
        <v>185</v>
      </c>
      <c r="B252" t="s">
        <v>16</v>
      </c>
      <c r="C252" t="s">
        <v>144</v>
      </c>
      <c r="D252" s="1">
        <v>43633</v>
      </c>
      <c r="E252">
        <v>1</v>
      </c>
      <c r="F252">
        <v>1593</v>
      </c>
      <c r="G252" t="s">
        <v>460</v>
      </c>
    </row>
    <row r="253" spans="1:7" x14ac:dyDescent="0.3">
      <c r="A253" t="s">
        <v>185</v>
      </c>
      <c r="B253" t="s">
        <v>16</v>
      </c>
      <c r="C253" t="s">
        <v>144</v>
      </c>
      <c r="D253" s="1">
        <v>43640</v>
      </c>
      <c r="E253">
        <v>1</v>
      </c>
      <c r="F253">
        <v>796</v>
      </c>
      <c r="G253" t="s">
        <v>460</v>
      </c>
    </row>
    <row r="254" spans="1:7" x14ac:dyDescent="0.3">
      <c r="A254" t="s">
        <v>185</v>
      </c>
      <c r="B254" t="s">
        <v>24</v>
      </c>
      <c r="C254" t="s">
        <v>141</v>
      </c>
      <c r="D254" s="1">
        <v>43661</v>
      </c>
      <c r="E254">
        <v>1</v>
      </c>
      <c r="F254">
        <v>611</v>
      </c>
      <c r="G254" t="s">
        <v>460</v>
      </c>
    </row>
    <row r="255" spans="1:7" x14ac:dyDescent="0.3">
      <c r="A255" t="s">
        <v>185</v>
      </c>
      <c r="B255" t="s">
        <v>34</v>
      </c>
      <c r="C255" t="s">
        <v>138</v>
      </c>
      <c r="D255" s="1">
        <v>43693</v>
      </c>
      <c r="E255">
        <v>1</v>
      </c>
      <c r="F255">
        <v>1028</v>
      </c>
      <c r="G255" t="s">
        <v>460</v>
      </c>
    </row>
    <row r="256" spans="1:7" x14ac:dyDescent="0.3">
      <c r="A256" t="s">
        <v>185</v>
      </c>
      <c r="B256" t="s">
        <v>34</v>
      </c>
      <c r="C256" t="s">
        <v>138</v>
      </c>
      <c r="D256" s="1">
        <v>43735</v>
      </c>
      <c r="E256">
        <v>1</v>
      </c>
      <c r="F256">
        <v>514</v>
      </c>
      <c r="G256" t="s">
        <v>460</v>
      </c>
    </row>
    <row r="257" spans="1:7" x14ac:dyDescent="0.3">
      <c r="A257" t="s">
        <v>185</v>
      </c>
      <c r="B257" t="s">
        <v>34</v>
      </c>
      <c r="C257" t="s">
        <v>138</v>
      </c>
      <c r="D257" s="1">
        <v>43742</v>
      </c>
      <c r="E257">
        <v>1</v>
      </c>
      <c r="F257">
        <v>514</v>
      </c>
      <c r="G257" t="s">
        <v>460</v>
      </c>
    </row>
    <row r="258" spans="1:7" x14ac:dyDescent="0.3">
      <c r="A258" t="s">
        <v>185</v>
      </c>
      <c r="B258" t="s">
        <v>34</v>
      </c>
      <c r="C258" t="s">
        <v>138</v>
      </c>
      <c r="D258" s="1">
        <v>43756</v>
      </c>
      <c r="E258">
        <v>1</v>
      </c>
      <c r="F258">
        <v>514</v>
      </c>
      <c r="G258" t="s">
        <v>460</v>
      </c>
    </row>
    <row r="259" spans="1:7" x14ac:dyDescent="0.3">
      <c r="A259" t="s">
        <v>185</v>
      </c>
      <c r="B259" t="s">
        <v>16</v>
      </c>
      <c r="C259" t="s">
        <v>144</v>
      </c>
      <c r="D259" s="1">
        <v>43759</v>
      </c>
      <c r="E259">
        <v>1</v>
      </c>
      <c r="F259">
        <v>796</v>
      </c>
      <c r="G259" t="s">
        <v>460</v>
      </c>
    </row>
    <row r="260" spans="1:7" x14ac:dyDescent="0.3">
      <c r="A260" t="s">
        <v>185</v>
      </c>
      <c r="B260" t="s">
        <v>16</v>
      </c>
      <c r="C260" t="s">
        <v>144</v>
      </c>
      <c r="D260" s="1">
        <v>43763</v>
      </c>
      <c r="E260">
        <v>1</v>
      </c>
      <c r="F260">
        <v>796</v>
      </c>
      <c r="G260" t="s">
        <v>460</v>
      </c>
    </row>
    <row r="261" spans="1:7" x14ac:dyDescent="0.3">
      <c r="A261" t="s">
        <v>185</v>
      </c>
      <c r="B261" t="s">
        <v>34</v>
      </c>
      <c r="C261" t="s">
        <v>138</v>
      </c>
      <c r="D261" s="1">
        <v>43770</v>
      </c>
      <c r="E261">
        <v>1</v>
      </c>
      <c r="F261">
        <v>514</v>
      </c>
      <c r="G261" t="s">
        <v>460</v>
      </c>
    </row>
    <row r="262" spans="1:7" x14ac:dyDescent="0.3">
      <c r="A262" t="s">
        <v>185</v>
      </c>
      <c r="B262" t="s">
        <v>16</v>
      </c>
      <c r="C262" t="s">
        <v>144</v>
      </c>
      <c r="D262" s="1">
        <v>43773</v>
      </c>
      <c r="E262">
        <v>1</v>
      </c>
      <c r="F262">
        <v>796</v>
      </c>
      <c r="G262" t="s">
        <v>460</v>
      </c>
    </row>
    <row r="263" spans="1:7" x14ac:dyDescent="0.3">
      <c r="A263" t="s">
        <v>185</v>
      </c>
      <c r="B263" t="s">
        <v>16</v>
      </c>
      <c r="C263" t="s">
        <v>144</v>
      </c>
      <c r="D263" s="1">
        <v>43777</v>
      </c>
      <c r="E263">
        <v>1</v>
      </c>
      <c r="F263">
        <v>1593</v>
      </c>
      <c r="G263" t="s">
        <v>460</v>
      </c>
    </row>
    <row r="264" spans="1:7" x14ac:dyDescent="0.3">
      <c r="A264" t="s">
        <v>185</v>
      </c>
      <c r="B264" t="s">
        <v>34</v>
      </c>
      <c r="C264" t="s">
        <v>138</v>
      </c>
      <c r="D264" s="1">
        <v>43777</v>
      </c>
      <c r="E264">
        <v>1</v>
      </c>
      <c r="F264">
        <v>514</v>
      </c>
      <c r="G264" t="s">
        <v>460</v>
      </c>
    </row>
    <row r="265" spans="1:7" x14ac:dyDescent="0.3">
      <c r="A265" t="s">
        <v>185</v>
      </c>
      <c r="B265" t="s">
        <v>16</v>
      </c>
      <c r="C265" t="s">
        <v>144</v>
      </c>
      <c r="D265" s="1">
        <v>43784</v>
      </c>
      <c r="E265">
        <v>1</v>
      </c>
      <c r="F265">
        <v>3185</v>
      </c>
      <c r="G265" t="s">
        <v>460</v>
      </c>
    </row>
    <row r="266" spans="1:7" x14ac:dyDescent="0.3">
      <c r="A266" t="s">
        <v>185</v>
      </c>
      <c r="B266" t="s">
        <v>34</v>
      </c>
      <c r="C266" t="s">
        <v>138</v>
      </c>
      <c r="D266" s="1">
        <v>43784</v>
      </c>
      <c r="E266">
        <v>1</v>
      </c>
      <c r="F266">
        <v>514</v>
      </c>
      <c r="G266" t="s">
        <v>460</v>
      </c>
    </row>
    <row r="267" spans="1:7" x14ac:dyDescent="0.3">
      <c r="A267" t="s">
        <v>185</v>
      </c>
      <c r="B267" t="s">
        <v>34</v>
      </c>
      <c r="C267" t="s">
        <v>138</v>
      </c>
      <c r="D267" s="1">
        <v>43787</v>
      </c>
      <c r="E267">
        <v>1</v>
      </c>
      <c r="F267">
        <v>514</v>
      </c>
      <c r="G267" t="s">
        <v>460</v>
      </c>
    </row>
    <row r="268" spans="1:7" x14ac:dyDescent="0.3">
      <c r="A268" t="s">
        <v>185</v>
      </c>
      <c r="B268" t="s">
        <v>16</v>
      </c>
      <c r="C268" t="s">
        <v>144</v>
      </c>
      <c r="D268" s="1">
        <v>43805</v>
      </c>
      <c r="E268">
        <v>2</v>
      </c>
      <c r="F268">
        <v>4778</v>
      </c>
      <c r="G268" t="s">
        <v>460</v>
      </c>
    </row>
    <row r="269" spans="1:7" x14ac:dyDescent="0.3">
      <c r="A269" t="s">
        <v>185</v>
      </c>
      <c r="B269" t="s">
        <v>34</v>
      </c>
      <c r="C269" t="s">
        <v>138</v>
      </c>
      <c r="D269" s="1">
        <v>43805</v>
      </c>
      <c r="E269">
        <v>1</v>
      </c>
      <c r="F269">
        <v>514</v>
      </c>
      <c r="G269" t="s">
        <v>460</v>
      </c>
    </row>
    <row r="270" spans="1:7" x14ac:dyDescent="0.3">
      <c r="A270" t="s">
        <v>185</v>
      </c>
      <c r="B270" t="s">
        <v>16</v>
      </c>
      <c r="C270" t="s">
        <v>144</v>
      </c>
      <c r="D270" s="1">
        <v>43812</v>
      </c>
      <c r="E270">
        <v>4</v>
      </c>
      <c r="F270">
        <v>10352</v>
      </c>
      <c r="G270" t="s">
        <v>460</v>
      </c>
    </row>
    <row r="271" spans="1:7" x14ac:dyDescent="0.3">
      <c r="A271" t="s">
        <v>185</v>
      </c>
      <c r="B271" t="s">
        <v>16</v>
      </c>
      <c r="C271" t="s">
        <v>144</v>
      </c>
      <c r="D271" s="1">
        <v>43819</v>
      </c>
      <c r="E271">
        <v>1</v>
      </c>
      <c r="F271">
        <v>796</v>
      </c>
      <c r="G271" t="s">
        <v>460</v>
      </c>
    </row>
    <row r="272" spans="1:7" x14ac:dyDescent="0.3">
      <c r="A272" t="s">
        <v>185</v>
      </c>
      <c r="B272" t="s">
        <v>34</v>
      </c>
      <c r="C272" t="s">
        <v>138</v>
      </c>
      <c r="D272" s="1">
        <v>43994</v>
      </c>
      <c r="E272">
        <v>1</v>
      </c>
      <c r="F272">
        <v>1028</v>
      </c>
      <c r="G272" t="s">
        <v>460</v>
      </c>
    </row>
    <row r="273" spans="1:7" x14ac:dyDescent="0.3">
      <c r="A273" t="s">
        <v>185</v>
      </c>
      <c r="B273" t="s">
        <v>34</v>
      </c>
      <c r="C273" t="s">
        <v>138</v>
      </c>
      <c r="D273" s="1">
        <v>43998</v>
      </c>
      <c r="E273">
        <v>1</v>
      </c>
      <c r="F273">
        <v>514</v>
      </c>
      <c r="G273" t="s">
        <v>460</v>
      </c>
    </row>
    <row r="274" spans="1:7" x14ac:dyDescent="0.3">
      <c r="A274" t="s">
        <v>186</v>
      </c>
      <c r="B274" t="s">
        <v>40</v>
      </c>
      <c r="C274" t="s">
        <v>138</v>
      </c>
      <c r="D274" s="1">
        <v>43256</v>
      </c>
      <c r="E274">
        <v>33</v>
      </c>
      <c r="F274">
        <v>29648</v>
      </c>
      <c r="G274" t="s">
        <v>460</v>
      </c>
    </row>
    <row r="275" spans="1:7" x14ac:dyDescent="0.3">
      <c r="A275" t="s">
        <v>187</v>
      </c>
      <c r="B275" t="s">
        <v>3</v>
      </c>
      <c r="C275" t="s">
        <v>135</v>
      </c>
      <c r="D275" s="1">
        <v>43018</v>
      </c>
      <c r="E275">
        <v>240</v>
      </c>
      <c r="F275">
        <v>143560</v>
      </c>
      <c r="G275" t="s">
        <v>460</v>
      </c>
    </row>
    <row r="276" spans="1:7" x14ac:dyDescent="0.3">
      <c r="A276" t="s">
        <v>187</v>
      </c>
      <c r="B276" t="s">
        <v>12</v>
      </c>
      <c r="C276" t="s">
        <v>144</v>
      </c>
      <c r="D276" s="1">
        <v>43019</v>
      </c>
      <c r="E276">
        <v>7</v>
      </c>
      <c r="F276">
        <v>6204</v>
      </c>
      <c r="G276" t="s">
        <v>460</v>
      </c>
    </row>
    <row r="277" spans="1:7" x14ac:dyDescent="0.3">
      <c r="A277" t="s">
        <v>187</v>
      </c>
      <c r="B277" t="s">
        <v>16</v>
      </c>
      <c r="C277" t="s">
        <v>144</v>
      </c>
      <c r="D277" s="1">
        <v>43024</v>
      </c>
      <c r="E277">
        <v>1</v>
      </c>
      <c r="F277">
        <v>495</v>
      </c>
      <c r="G277" t="s">
        <v>460</v>
      </c>
    </row>
    <row r="278" spans="1:7" x14ac:dyDescent="0.3">
      <c r="A278" t="s">
        <v>187</v>
      </c>
      <c r="B278" t="s">
        <v>14</v>
      </c>
      <c r="C278" t="s">
        <v>144</v>
      </c>
      <c r="D278" s="1">
        <v>43031</v>
      </c>
      <c r="E278">
        <v>20</v>
      </c>
      <c r="F278">
        <v>25130</v>
      </c>
      <c r="G278" t="s">
        <v>460</v>
      </c>
    </row>
    <row r="279" spans="1:7" x14ac:dyDescent="0.3">
      <c r="A279" t="s">
        <v>187</v>
      </c>
      <c r="B279" t="s">
        <v>16</v>
      </c>
      <c r="C279" t="s">
        <v>144</v>
      </c>
      <c r="D279" s="1">
        <v>43033</v>
      </c>
      <c r="E279">
        <v>1</v>
      </c>
      <c r="F279">
        <v>986</v>
      </c>
      <c r="G279" t="s">
        <v>460</v>
      </c>
    </row>
    <row r="280" spans="1:7" x14ac:dyDescent="0.3">
      <c r="A280" t="s">
        <v>187</v>
      </c>
      <c r="B280" t="s">
        <v>42</v>
      </c>
      <c r="C280" t="s">
        <v>144</v>
      </c>
      <c r="D280" s="1">
        <v>43041</v>
      </c>
      <c r="E280">
        <v>13</v>
      </c>
      <c r="F280">
        <v>23898</v>
      </c>
      <c r="G280" t="s">
        <v>460</v>
      </c>
    </row>
    <row r="281" spans="1:7" x14ac:dyDescent="0.3">
      <c r="A281" t="s">
        <v>187</v>
      </c>
      <c r="B281" t="s">
        <v>12</v>
      </c>
      <c r="C281" t="s">
        <v>144</v>
      </c>
      <c r="D281" s="1">
        <v>43042</v>
      </c>
      <c r="E281">
        <v>1</v>
      </c>
      <c r="F281">
        <v>296</v>
      </c>
      <c r="G281" t="s">
        <v>460</v>
      </c>
    </row>
    <row r="282" spans="1:7" x14ac:dyDescent="0.3">
      <c r="A282" t="s">
        <v>187</v>
      </c>
      <c r="B282" t="s">
        <v>14</v>
      </c>
      <c r="C282" t="s">
        <v>144</v>
      </c>
      <c r="D282" s="1">
        <v>43047</v>
      </c>
      <c r="E282">
        <v>1</v>
      </c>
      <c r="F282">
        <v>356</v>
      </c>
      <c r="G282" t="s">
        <v>460</v>
      </c>
    </row>
    <row r="283" spans="1:7" x14ac:dyDescent="0.3">
      <c r="A283" t="s">
        <v>174</v>
      </c>
      <c r="B283" t="s">
        <v>3</v>
      </c>
      <c r="C283" t="s">
        <v>135</v>
      </c>
      <c r="D283" s="1">
        <v>43018</v>
      </c>
      <c r="E283">
        <v>100</v>
      </c>
      <c r="F283">
        <v>41241</v>
      </c>
      <c r="G283" t="s">
        <v>462</v>
      </c>
    </row>
    <row r="284" spans="1:7" x14ac:dyDescent="0.3">
      <c r="A284" t="s">
        <v>174</v>
      </c>
      <c r="B284" t="s">
        <v>6</v>
      </c>
      <c r="C284" t="s">
        <v>138</v>
      </c>
      <c r="D284" s="1">
        <v>43228</v>
      </c>
      <c r="E284">
        <v>3</v>
      </c>
      <c r="F284">
        <v>-1</v>
      </c>
      <c r="G284" t="s">
        <v>462</v>
      </c>
    </row>
    <row r="285" spans="1:7" x14ac:dyDescent="0.3">
      <c r="A285" t="s">
        <v>176</v>
      </c>
      <c r="B285" t="s">
        <v>8</v>
      </c>
      <c r="C285" t="s">
        <v>141</v>
      </c>
      <c r="D285" s="1">
        <v>43196</v>
      </c>
      <c r="E285">
        <v>1</v>
      </c>
      <c r="F285">
        <v>875</v>
      </c>
      <c r="G285" t="s">
        <v>462</v>
      </c>
    </row>
    <row r="286" spans="1:7" x14ac:dyDescent="0.3">
      <c r="A286" t="s">
        <v>176</v>
      </c>
      <c r="B286" t="s">
        <v>8</v>
      </c>
      <c r="C286" t="s">
        <v>141</v>
      </c>
      <c r="D286" s="1">
        <v>43201</v>
      </c>
      <c r="E286">
        <v>1</v>
      </c>
      <c r="F286">
        <v>583</v>
      </c>
      <c r="G286" t="s">
        <v>462</v>
      </c>
    </row>
    <row r="287" spans="1:7" x14ac:dyDescent="0.3">
      <c r="A287" t="s">
        <v>176</v>
      </c>
      <c r="B287" t="s">
        <v>10</v>
      </c>
      <c r="C287" t="s">
        <v>141</v>
      </c>
      <c r="D287" s="1">
        <v>43269</v>
      </c>
      <c r="E287">
        <v>6</v>
      </c>
      <c r="F287">
        <v>7176</v>
      </c>
      <c r="G287" t="s">
        <v>462</v>
      </c>
    </row>
    <row r="288" spans="1:7" x14ac:dyDescent="0.3">
      <c r="A288" t="s">
        <v>177</v>
      </c>
      <c r="B288" t="s">
        <v>12</v>
      </c>
      <c r="C288" t="s">
        <v>144</v>
      </c>
      <c r="D288" s="1">
        <v>43059</v>
      </c>
      <c r="E288">
        <v>59</v>
      </c>
      <c r="F288">
        <v>500</v>
      </c>
      <c r="G288" t="s">
        <v>463</v>
      </c>
    </row>
    <row r="289" spans="1:7" x14ac:dyDescent="0.3">
      <c r="A289" t="s">
        <v>177</v>
      </c>
      <c r="B289" t="s">
        <v>12</v>
      </c>
      <c r="C289" t="s">
        <v>144</v>
      </c>
      <c r="D289" s="1">
        <v>43061</v>
      </c>
      <c r="E289">
        <v>36</v>
      </c>
      <c r="F289">
        <v>250</v>
      </c>
      <c r="G289" t="s">
        <v>463</v>
      </c>
    </row>
    <row r="290" spans="1:7" x14ac:dyDescent="0.3">
      <c r="A290" t="s">
        <v>177</v>
      </c>
      <c r="B290" t="s">
        <v>12</v>
      </c>
      <c r="C290" t="s">
        <v>144</v>
      </c>
      <c r="D290" s="1">
        <v>43062</v>
      </c>
      <c r="E290">
        <v>39</v>
      </c>
      <c r="F290">
        <v>21412</v>
      </c>
      <c r="G290" t="s">
        <v>462</v>
      </c>
    </row>
    <row r="291" spans="1:7" x14ac:dyDescent="0.3">
      <c r="A291" t="s">
        <v>177</v>
      </c>
      <c r="B291" t="s">
        <v>12</v>
      </c>
      <c r="C291" t="s">
        <v>144</v>
      </c>
      <c r="D291" s="1">
        <v>43066</v>
      </c>
      <c r="E291">
        <v>35</v>
      </c>
      <c r="F291">
        <v>19213</v>
      </c>
      <c r="G291" t="s">
        <v>462</v>
      </c>
    </row>
    <row r="292" spans="1:7" x14ac:dyDescent="0.3">
      <c r="A292" t="s">
        <v>177</v>
      </c>
      <c r="B292" t="s">
        <v>12</v>
      </c>
      <c r="C292" t="s">
        <v>144</v>
      </c>
      <c r="D292" s="1">
        <v>43067</v>
      </c>
      <c r="E292">
        <v>310</v>
      </c>
      <c r="F292">
        <v>170185</v>
      </c>
      <c r="G292" t="s">
        <v>462</v>
      </c>
    </row>
    <row r="293" spans="1:7" x14ac:dyDescent="0.3">
      <c r="A293" t="s">
        <v>177</v>
      </c>
      <c r="B293" t="s">
        <v>12</v>
      </c>
      <c r="C293" t="s">
        <v>144</v>
      </c>
      <c r="D293" s="1">
        <v>43068</v>
      </c>
      <c r="E293">
        <v>184</v>
      </c>
      <c r="F293">
        <v>101194</v>
      </c>
      <c r="G293" t="s">
        <v>462</v>
      </c>
    </row>
    <row r="294" spans="1:7" x14ac:dyDescent="0.3">
      <c r="A294" t="s">
        <v>177</v>
      </c>
      <c r="B294" t="s">
        <v>12</v>
      </c>
      <c r="C294" t="s">
        <v>144</v>
      </c>
      <c r="D294" s="1">
        <v>43069</v>
      </c>
      <c r="E294">
        <v>35</v>
      </c>
      <c r="F294">
        <v>19213</v>
      </c>
      <c r="G294" t="s">
        <v>462</v>
      </c>
    </row>
    <row r="295" spans="1:7" x14ac:dyDescent="0.3">
      <c r="A295" t="s">
        <v>178</v>
      </c>
      <c r="B295" t="s">
        <v>12</v>
      </c>
      <c r="C295" t="s">
        <v>144</v>
      </c>
      <c r="D295" s="1">
        <v>43068</v>
      </c>
      <c r="E295">
        <v>17</v>
      </c>
      <c r="F295">
        <v>9426</v>
      </c>
      <c r="G295" t="s">
        <v>462</v>
      </c>
    </row>
    <row r="296" spans="1:7" x14ac:dyDescent="0.3">
      <c r="A296" t="s">
        <v>178</v>
      </c>
      <c r="B296" t="s">
        <v>12</v>
      </c>
      <c r="C296" t="s">
        <v>144</v>
      </c>
      <c r="D296" s="1">
        <v>43088</v>
      </c>
      <c r="E296">
        <v>1</v>
      </c>
      <c r="F296">
        <v>218</v>
      </c>
      <c r="G296" t="s">
        <v>462</v>
      </c>
    </row>
    <row r="297" spans="1:7" x14ac:dyDescent="0.3">
      <c r="A297" t="s">
        <v>179</v>
      </c>
      <c r="B297" t="s">
        <v>12</v>
      </c>
      <c r="C297" t="s">
        <v>144</v>
      </c>
      <c r="D297" s="1">
        <v>43319</v>
      </c>
      <c r="E297">
        <v>5</v>
      </c>
      <c r="F297">
        <v>3093</v>
      </c>
      <c r="G297" t="s">
        <v>462</v>
      </c>
    </row>
    <row r="298" spans="1:7" x14ac:dyDescent="0.3">
      <c r="A298" t="s">
        <v>177</v>
      </c>
      <c r="B298" t="s">
        <v>14</v>
      </c>
      <c r="C298" t="s">
        <v>144</v>
      </c>
      <c r="D298" s="1">
        <v>43073</v>
      </c>
      <c r="E298">
        <v>58</v>
      </c>
      <c r="F298">
        <v>30306</v>
      </c>
      <c r="G298" t="s">
        <v>462</v>
      </c>
    </row>
    <row r="299" spans="1:7" x14ac:dyDescent="0.3">
      <c r="A299" t="s">
        <v>179</v>
      </c>
      <c r="B299" t="s">
        <v>14</v>
      </c>
      <c r="C299" t="s">
        <v>144</v>
      </c>
      <c r="D299" s="1">
        <v>43280</v>
      </c>
      <c r="E299">
        <v>38</v>
      </c>
      <c r="F299">
        <v>52319</v>
      </c>
      <c r="G299" t="s">
        <v>462</v>
      </c>
    </row>
    <row r="300" spans="1:7" x14ac:dyDescent="0.3">
      <c r="A300" t="s">
        <v>179</v>
      </c>
      <c r="B300" t="s">
        <v>14</v>
      </c>
      <c r="C300" t="s">
        <v>144</v>
      </c>
      <c r="D300" s="1">
        <v>43283</v>
      </c>
      <c r="E300">
        <v>93</v>
      </c>
      <c r="F300">
        <v>126296</v>
      </c>
      <c r="G300" t="s">
        <v>462</v>
      </c>
    </row>
    <row r="301" spans="1:7" x14ac:dyDescent="0.3">
      <c r="A301" t="s">
        <v>179</v>
      </c>
      <c r="B301" t="s">
        <v>14</v>
      </c>
      <c r="C301" t="s">
        <v>144</v>
      </c>
      <c r="D301" s="1">
        <v>43284</v>
      </c>
      <c r="E301">
        <v>79</v>
      </c>
      <c r="F301">
        <v>107500</v>
      </c>
      <c r="G301" t="s">
        <v>462</v>
      </c>
    </row>
    <row r="302" spans="1:7" x14ac:dyDescent="0.3">
      <c r="A302" t="s">
        <v>179</v>
      </c>
      <c r="B302" t="s">
        <v>14</v>
      </c>
      <c r="C302" t="s">
        <v>144</v>
      </c>
      <c r="D302" s="1">
        <v>43285</v>
      </c>
      <c r="E302">
        <v>1</v>
      </c>
      <c r="F302">
        <v>273</v>
      </c>
      <c r="G302" t="s">
        <v>462</v>
      </c>
    </row>
    <row r="303" spans="1:7" x14ac:dyDescent="0.3">
      <c r="A303" t="s">
        <v>179</v>
      </c>
      <c r="B303" t="s">
        <v>14</v>
      </c>
      <c r="C303" t="s">
        <v>144</v>
      </c>
      <c r="D303" s="1">
        <v>43287</v>
      </c>
      <c r="E303">
        <v>3</v>
      </c>
      <c r="F303">
        <v>3574</v>
      </c>
      <c r="G303" t="s">
        <v>462</v>
      </c>
    </row>
    <row r="304" spans="1:7" x14ac:dyDescent="0.3">
      <c r="A304" t="s">
        <v>179</v>
      </c>
      <c r="B304" t="s">
        <v>14</v>
      </c>
      <c r="C304" t="s">
        <v>144</v>
      </c>
      <c r="D304" s="1">
        <v>43294</v>
      </c>
      <c r="E304">
        <v>1</v>
      </c>
      <c r="F304">
        <v>273</v>
      </c>
      <c r="G304" t="s">
        <v>462</v>
      </c>
    </row>
    <row r="305" spans="1:7" x14ac:dyDescent="0.3">
      <c r="A305" t="s">
        <v>179</v>
      </c>
      <c r="B305" t="s">
        <v>14</v>
      </c>
      <c r="C305" t="s">
        <v>144</v>
      </c>
      <c r="D305" s="1">
        <v>43623</v>
      </c>
      <c r="E305">
        <v>20</v>
      </c>
      <c r="F305">
        <v>23403</v>
      </c>
      <c r="G305" t="s">
        <v>462</v>
      </c>
    </row>
    <row r="306" spans="1:7" x14ac:dyDescent="0.3">
      <c r="A306" t="s">
        <v>179</v>
      </c>
      <c r="B306" t="s">
        <v>14</v>
      </c>
      <c r="C306" t="s">
        <v>144</v>
      </c>
      <c r="D306" s="1">
        <v>43675</v>
      </c>
      <c r="E306">
        <v>81</v>
      </c>
      <c r="F306">
        <v>76329</v>
      </c>
      <c r="G306" t="s">
        <v>462</v>
      </c>
    </row>
    <row r="307" spans="1:7" x14ac:dyDescent="0.3">
      <c r="A307" t="s">
        <v>179</v>
      </c>
      <c r="B307" t="s">
        <v>14</v>
      </c>
      <c r="C307" t="s">
        <v>144</v>
      </c>
      <c r="D307" s="1">
        <v>43678</v>
      </c>
      <c r="E307">
        <v>5</v>
      </c>
      <c r="F307">
        <v>4542</v>
      </c>
      <c r="G307" t="s">
        <v>462</v>
      </c>
    </row>
    <row r="308" spans="1:7" x14ac:dyDescent="0.3">
      <c r="A308" t="s">
        <v>179</v>
      </c>
      <c r="B308" t="s">
        <v>14</v>
      </c>
      <c r="C308" t="s">
        <v>144</v>
      </c>
      <c r="D308" s="1">
        <v>43727</v>
      </c>
      <c r="E308">
        <v>18</v>
      </c>
      <c r="F308">
        <v>16579</v>
      </c>
      <c r="G308" t="s">
        <v>462</v>
      </c>
    </row>
    <row r="309" spans="1:7" x14ac:dyDescent="0.3">
      <c r="A309" t="s">
        <v>179</v>
      </c>
      <c r="B309" t="s">
        <v>14</v>
      </c>
      <c r="C309" t="s">
        <v>144</v>
      </c>
      <c r="D309" s="1">
        <v>43735</v>
      </c>
      <c r="E309">
        <v>90</v>
      </c>
      <c r="F309">
        <v>105301</v>
      </c>
      <c r="G309" t="s">
        <v>462</v>
      </c>
    </row>
    <row r="310" spans="1:7" x14ac:dyDescent="0.3">
      <c r="A310" t="s">
        <v>178</v>
      </c>
      <c r="B310" t="s">
        <v>16</v>
      </c>
      <c r="C310" t="s">
        <v>144</v>
      </c>
      <c r="D310" s="1">
        <v>43017</v>
      </c>
      <c r="E310">
        <v>1</v>
      </c>
      <c r="F310">
        <v>185</v>
      </c>
      <c r="G310" t="s">
        <v>462</v>
      </c>
    </row>
    <row r="311" spans="1:7" x14ac:dyDescent="0.3">
      <c r="A311" t="s">
        <v>178</v>
      </c>
      <c r="B311" t="s">
        <v>16</v>
      </c>
      <c r="C311" t="s">
        <v>144</v>
      </c>
      <c r="D311" s="1">
        <v>43021</v>
      </c>
      <c r="E311">
        <v>1</v>
      </c>
      <c r="F311">
        <v>556</v>
      </c>
      <c r="G311" t="s">
        <v>462</v>
      </c>
    </row>
    <row r="312" spans="1:7" x14ac:dyDescent="0.3">
      <c r="A312" t="s">
        <v>178</v>
      </c>
      <c r="B312" t="s">
        <v>16</v>
      </c>
      <c r="C312" t="s">
        <v>144</v>
      </c>
      <c r="D312" s="1">
        <v>43035</v>
      </c>
      <c r="E312">
        <v>1</v>
      </c>
      <c r="F312">
        <v>551</v>
      </c>
      <c r="G312" t="s">
        <v>462</v>
      </c>
    </row>
    <row r="313" spans="1:7" x14ac:dyDescent="0.3">
      <c r="A313" t="s">
        <v>178</v>
      </c>
      <c r="B313" t="s">
        <v>16</v>
      </c>
      <c r="C313" t="s">
        <v>144</v>
      </c>
      <c r="D313" s="1">
        <v>43042</v>
      </c>
      <c r="E313">
        <v>1</v>
      </c>
      <c r="F313">
        <v>167</v>
      </c>
      <c r="G313" t="s">
        <v>462</v>
      </c>
    </row>
    <row r="314" spans="1:7" x14ac:dyDescent="0.3">
      <c r="A314" t="s">
        <v>178</v>
      </c>
      <c r="B314" t="s">
        <v>16</v>
      </c>
      <c r="C314" t="s">
        <v>144</v>
      </c>
      <c r="D314" s="1">
        <v>43045</v>
      </c>
      <c r="E314">
        <v>1</v>
      </c>
      <c r="F314">
        <v>333</v>
      </c>
      <c r="G314" t="s">
        <v>462</v>
      </c>
    </row>
    <row r="315" spans="1:7" x14ac:dyDescent="0.3">
      <c r="A315" t="s">
        <v>178</v>
      </c>
      <c r="B315" t="s">
        <v>16</v>
      </c>
      <c r="C315" t="s">
        <v>144</v>
      </c>
      <c r="D315" s="1">
        <v>43049</v>
      </c>
      <c r="E315">
        <v>1</v>
      </c>
      <c r="F315">
        <v>500</v>
      </c>
      <c r="G315" t="s">
        <v>462</v>
      </c>
    </row>
    <row r="316" spans="1:7" x14ac:dyDescent="0.3">
      <c r="A316" t="s">
        <v>178</v>
      </c>
      <c r="B316" t="s">
        <v>16</v>
      </c>
      <c r="C316" t="s">
        <v>144</v>
      </c>
      <c r="D316" s="1">
        <v>43055</v>
      </c>
      <c r="E316">
        <v>1</v>
      </c>
      <c r="F316">
        <v>333</v>
      </c>
      <c r="G316" t="s">
        <v>462</v>
      </c>
    </row>
    <row r="317" spans="1:7" x14ac:dyDescent="0.3">
      <c r="A317" t="s">
        <v>178</v>
      </c>
      <c r="B317" t="s">
        <v>16</v>
      </c>
      <c r="C317" t="s">
        <v>144</v>
      </c>
      <c r="D317" s="1">
        <v>43056</v>
      </c>
      <c r="E317">
        <v>1</v>
      </c>
      <c r="F317">
        <v>333</v>
      </c>
      <c r="G317" t="s">
        <v>462</v>
      </c>
    </row>
    <row r="318" spans="1:7" x14ac:dyDescent="0.3">
      <c r="A318" t="s">
        <v>178</v>
      </c>
      <c r="B318" t="s">
        <v>16</v>
      </c>
      <c r="C318" t="s">
        <v>144</v>
      </c>
      <c r="D318" s="1">
        <v>43066</v>
      </c>
      <c r="E318">
        <v>1</v>
      </c>
      <c r="F318">
        <v>500</v>
      </c>
      <c r="G318" t="s">
        <v>462</v>
      </c>
    </row>
    <row r="319" spans="1:7" x14ac:dyDescent="0.3">
      <c r="A319" t="s">
        <v>178</v>
      </c>
      <c r="B319" t="s">
        <v>16</v>
      </c>
      <c r="C319" t="s">
        <v>144</v>
      </c>
      <c r="D319" s="1">
        <v>43073</v>
      </c>
      <c r="E319">
        <v>1</v>
      </c>
      <c r="F319">
        <v>833</v>
      </c>
      <c r="G319" t="s">
        <v>462</v>
      </c>
    </row>
    <row r="320" spans="1:7" x14ac:dyDescent="0.3">
      <c r="A320" t="s">
        <v>178</v>
      </c>
      <c r="B320" t="s">
        <v>16</v>
      </c>
      <c r="C320" t="s">
        <v>144</v>
      </c>
      <c r="D320" s="1">
        <v>43077</v>
      </c>
      <c r="E320">
        <v>1</v>
      </c>
      <c r="F320">
        <v>167</v>
      </c>
      <c r="G320" t="s">
        <v>462</v>
      </c>
    </row>
    <row r="321" spans="1:7" x14ac:dyDescent="0.3">
      <c r="A321" t="s">
        <v>178</v>
      </c>
      <c r="B321" t="s">
        <v>16</v>
      </c>
      <c r="C321" t="s">
        <v>144</v>
      </c>
      <c r="D321" s="1">
        <v>43080</v>
      </c>
      <c r="E321">
        <v>1</v>
      </c>
      <c r="F321">
        <v>833</v>
      </c>
      <c r="G321" t="s">
        <v>462</v>
      </c>
    </row>
    <row r="322" spans="1:7" x14ac:dyDescent="0.3">
      <c r="A322" t="s">
        <v>178</v>
      </c>
      <c r="B322" t="s">
        <v>16</v>
      </c>
      <c r="C322" t="s">
        <v>144</v>
      </c>
      <c r="D322" s="1">
        <v>43087</v>
      </c>
      <c r="E322">
        <v>1</v>
      </c>
      <c r="F322">
        <v>1000</v>
      </c>
      <c r="G322" t="s">
        <v>462</v>
      </c>
    </row>
    <row r="323" spans="1:7" x14ac:dyDescent="0.3">
      <c r="A323" t="s">
        <v>178</v>
      </c>
      <c r="B323" t="s">
        <v>16</v>
      </c>
      <c r="C323" t="s">
        <v>144</v>
      </c>
      <c r="D323" s="1">
        <v>43096</v>
      </c>
      <c r="E323">
        <v>2</v>
      </c>
      <c r="F323">
        <v>1833</v>
      </c>
      <c r="G323" t="s">
        <v>462</v>
      </c>
    </row>
    <row r="324" spans="1:7" x14ac:dyDescent="0.3">
      <c r="A324" t="s">
        <v>178</v>
      </c>
      <c r="B324" t="s">
        <v>16</v>
      </c>
      <c r="C324" t="s">
        <v>144</v>
      </c>
      <c r="D324" s="1">
        <v>43097</v>
      </c>
      <c r="E324">
        <v>1</v>
      </c>
      <c r="F324">
        <v>167</v>
      </c>
      <c r="G324" t="s">
        <v>462</v>
      </c>
    </row>
    <row r="325" spans="1:7" x14ac:dyDescent="0.3">
      <c r="A325" t="s">
        <v>178</v>
      </c>
      <c r="B325" t="s">
        <v>16</v>
      </c>
      <c r="C325" t="s">
        <v>144</v>
      </c>
      <c r="D325" s="1">
        <v>43105</v>
      </c>
      <c r="E325">
        <v>1</v>
      </c>
      <c r="F325">
        <v>167</v>
      </c>
      <c r="G325" t="s">
        <v>462</v>
      </c>
    </row>
    <row r="326" spans="1:7" x14ac:dyDescent="0.3">
      <c r="A326" t="s">
        <v>178</v>
      </c>
      <c r="B326" t="s">
        <v>16</v>
      </c>
      <c r="C326" t="s">
        <v>144</v>
      </c>
      <c r="D326" s="1">
        <v>43108</v>
      </c>
      <c r="E326">
        <v>1</v>
      </c>
      <c r="F326">
        <v>833</v>
      </c>
      <c r="G326" t="s">
        <v>462</v>
      </c>
    </row>
    <row r="327" spans="1:7" x14ac:dyDescent="0.3">
      <c r="A327" t="s">
        <v>178</v>
      </c>
      <c r="B327" t="s">
        <v>16</v>
      </c>
      <c r="C327" t="s">
        <v>144</v>
      </c>
      <c r="D327" s="1">
        <v>43122</v>
      </c>
      <c r="E327">
        <v>1</v>
      </c>
      <c r="F327">
        <v>167</v>
      </c>
      <c r="G327" t="s">
        <v>462</v>
      </c>
    </row>
    <row r="328" spans="1:7" x14ac:dyDescent="0.3">
      <c r="A328" t="s">
        <v>178</v>
      </c>
      <c r="B328" t="s">
        <v>16</v>
      </c>
      <c r="C328" t="s">
        <v>144</v>
      </c>
      <c r="D328" s="1">
        <v>43152</v>
      </c>
      <c r="E328">
        <v>26</v>
      </c>
      <c r="F328">
        <v>10657</v>
      </c>
      <c r="G328" t="s">
        <v>462</v>
      </c>
    </row>
    <row r="329" spans="1:7" x14ac:dyDescent="0.3">
      <c r="A329" t="s">
        <v>178</v>
      </c>
      <c r="B329" t="s">
        <v>16</v>
      </c>
      <c r="C329" t="s">
        <v>144</v>
      </c>
      <c r="D329" s="1">
        <v>43154</v>
      </c>
      <c r="E329">
        <v>1</v>
      </c>
      <c r="F329">
        <v>167</v>
      </c>
      <c r="G329" t="s">
        <v>462</v>
      </c>
    </row>
    <row r="330" spans="1:7" x14ac:dyDescent="0.3">
      <c r="A330" t="s">
        <v>179</v>
      </c>
      <c r="B330" t="s">
        <v>16</v>
      </c>
      <c r="C330" t="s">
        <v>144</v>
      </c>
      <c r="D330" s="1">
        <v>43315</v>
      </c>
      <c r="E330">
        <v>1</v>
      </c>
      <c r="F330">
        <v>157</v>
      </c>
      <c r="G330" t="s">
        <v>462</v>
      </c>
    </row>
    <row r="331" spans="1:7" x14ac:dyDescent="0.3">
      <c r="A331" t="s">
        <v>179</v>
      </c>
      <c r="B331" t="s">
        <v>16</v>
      </c>
      <c r="C331" t="s">
        <v>144</v>
      </c>
      <c r="D331" s="1">
        <v>43336</v>
      </c>
      <c r="E331">
        <v>1</v>
      </c>
      <c r="F331">
        <v>315</v>
      </c>
      <c r="G331" t="s">
        <v>462</v>
      </c>
    </row>
    <row r="332" spans="1:7" x14ac:dyDescent="0.3">
      <c r="A332" t="s">
        <v>179</v>
      </c>
      <c r="B332" t="s">
        <v>16</v>
      </c>
      <c r="C332" t="s">
        <v>144</v>
      </c>
      <c r="D332" s="1">
        <v>43364</v>
      </c>
      <c r="E332">
        <v>1</v>
      </c>
      <c r="F332">
        <v>630</v>
      </c>
      <c r="G332" t="s">
        <v>462</v>
      </c>
    </row>
    <row r="333" spans="1:7" x14ac:dyDescent="0.3">
      <c r="A333" t="s">
        <v>179</v>
      </c>
      <c r="B333" t="s">
        <v>16</v>
      </c>
      <c r="C333" t="s">
        <v>144</v>
      </c>
      <c r="D333" s="1">
        <v>43371</v>
      </c>
      <c r="E333">
        <v>1</v>
      </c>
      <c r="F333">
        <v>315</v>
      </c>
      <c r="G333" t="s">
        <v>462</v>
      </c>
    </row>
    <row r="334" spans="1:7" x14ac:dyDescent="0.3">
      <c r="A334" t="s">
        <v>179</v>
      </c>
      <c r="B334" t="s">
        <v>16</v>
      </c>
      <c r="C334" t="s">
        <v>144</v>
      </c>
      <c r="D334" s="1">
        <v>43413</v>
      </c>
      <c r="E334">
        <v>1</v>
      </c>
      <c r="F334">
        <v>157</v>
      </c>
      <c r="G334" t="s">
        <v>462</v>
      </c>
    </row>
    <row r="335" spans="1:7" x14ac:dyDescent="0.3">
      <c r="A335" t="s">
        <v>179</v>
      </c>
      <c r="B335" t="s">
        <v>16</v>
      </c>
      <c r="C335" t="s">
        <v>144</v>
      </c>
      <c r="D335" s="1">
        <v>43420</v>
      </c>
      <c r="E335">
        <v>1</v>
      </c>
      <c r="F335">
        <v>472</v>
      </c>
      <c r="G335" t="s">
        <v>462</v>
      </c>
    </row>
    <row r="336" spans="1:7" x14ac:dyDescent="0.3">
      <c r="A336" t="s">
        <v>179</v>
      </c>
      <c r="B336" t="s">
        <v>16</v>
      </c>
      <c r="C336" t="s">
        <v>144</v>
      </c>
      <c r="D336" s="1">
        <v>43441</v>
      </c>
      <c r="E336">
        <v>1</v>
      </c>
      <c r="F336">
        <v>157</v>
      </c>
      <c r="G336" t="s">
        <v>462</v>
      </c>
    </row>
    <row r="337" spans="1:7" x14ac:dyDescent="0.3">
      <c r="A337" t="s">
        <v>179</v>
      </c>
      <c r="B337" t="s">
        <v>16</v>
      </c>
      <c r="C337" t="s">
        <v>144</v>
      </c>
      <c r="D337" s="1">
        <v>43448</v>
      </c>
      <c r="E337">
        <v>1</v>
      </c>
      <c r="F337">
        <v>157</v>
      </c>
      <c r="G337" t="s">
        <v>462</v>
      </c>
    </row>
    <row r="338" spans="1:7" x14ac:dyDescent="0.3">
      <c r="A338" t="s">
        <v>179</v>
      </c>
      <c r="B338" t="s">
        <v>16</v>
      </c>
      <c r="C338" t="s">
        <v>144</v>
      </c>
      <c r="D338" s="1">
        <v>43490</v>
      </c>
      <c r="E338">
        <v>1</v>
      </c>
      <c r="F338">
        <v>315</v>
      </c>
      <c r="G338" t="s">
        <v>462</v>
      </c>
    </row>
    <row r="339" spans="1:7" x14ac:dyDescent="0.3">
      <c r="A339" t="s">
        <v>179</v>
      </c>
      <c r="B339" t="s">
        <v>16</v>
      </c>
      <c r="C339" t="s">
        <v>144</v>
      </c>
      <c r="D339" s="1">
        <v>43497</v>
      </c>
      <c r="E339">
        <v>1</v>
      </c>
      <c r="F339">
        <v>157</v>
      </c>
      <c r="G339" t="s">
        <v>462</v>
      </c>
    </row>
    <row r="340" spans="1:7" x14ac:dyDescent="0.3">
      <c r="A340" t="s">
        <v>179</v>
      </c>
      <c r="B340" t="s">
        <v>16</v>
      </c>
      <c r="C340" t="s">
        <v>144</v>
      </c>
      <c r="D340" s="1">
        <v>43504</v>
      </c>
      <c r="E340">
        <v>1</v>
      </c>
      <c r="F340">
        <v>472</v>
      </c>
      <c r="G340" t="s">
        <v>462</v>
      </c>
    </row>
    <row r="341" spans="1:7" x14ac:dyDescent="0.3">
      <c r="A341" t="s">
        <v>179</v>
      </c>
      <c r="B341" t="s">
        <v>16</v>
      </c>
      <c r="C341" t="s">
        <v>144</v>
      </c>
      <c r="D341" s="1">
        <v>43511</v>
      </c>
      <c r="E341">
        <v>1</v>
      </c>
      <c r="F341">
        <v>472</v>
      </c>
      <c r="G341" t="s">
        <v>462</v>
      </c>
    </row>
    <row r="342" spans="1:7" x14ac:dyDescent="0.3">
      <c r="A342" t="s">
        <v>179</v>
      </c>
      <c r="B342" t="s">
        <v>16</v>
      </c>
      <c r="C342" t="s">
        <v>144</v>
      </c>
      <c r="D342" s="1">
        <v>43518</v>
      </c>
      <c r="E342">
        <v>1</v>
      </c>
      <c r="F342">
        <v>315</v>
      </c>
      <c r="G342" t="s">
        <v>462</v>
      </c>
    </row>
    <row r="343" spans="1:7" x14ac:dyDescent="0.3">
      <c r="A343" t="s">
        <v>179</v>
      </c>
      <c r="B343" t="s">
        <v>16</v>
      </c>
      <c r="C343" t="s">
        <v>144</v>
      </c>
      <c r="D343" s="1">
        <v>43525</v>
      </c>
      <c r="E343">
        <v>1</v>
      </c>
      <c r="F343">
        <v>472</v>
      </c>
      <c r="G343" t="s">
        <v>462</v>
      </c>
    </row>
    <row r="344" spans="1:7" x14ac:dyDescent="0.3">
      <c r="A344" t="s">
        <v>179</v>
      </c>
      <c r="B344" t="s">
        <v>16</v>
      </c>
      <c r="C344" t="s">
        <v>144</v>
      </c>
      <c r="D344" s="1">
        <v>43532</v>
      </c>
      <c r="E344">
        <v>1</v>
      </c>
      <c r="F344">
        <v>315</v>
      </c>
      <c r="G344" t="s">
        <v>462</v>
      </c>
    </row>
    <row r="345" spans="1:7" x14ac:dyDescent="0.3">
      <c r="A345" t="s">
        <v>179</v>
      </c>
      <c r="B345" t="s">
        <v>16</v>
      </c>
      <c r="C345" t="s">
        <v>144</v>
      </c>
      <c r="D345" s="1">
        <v>43539</v>
      </c>
      <c r="E345">
        <v>1</v>
      </c>
      <c r="F345">
        <v>157</v>
      </c>
      <c r="G345" t="s">
        <v>462</v>
      </c>
    </row>
    <row r="346" spans="1:7" x14ac:dyDescent="0.3">
      <c r="A346" t="s">
        <v>179</v>
      </c>
      <c r="B346" t="s">
        <v>16</v>
      </c>
      <c r="C346" t="s">
        <v>144</v>
      </c>
      <c r="D346" s="1">
        <v>43546</v>
      </c>
      <c r="E346">
        <v>1</v>
      </c>
      <c r="F346">
        <v>315</v>
      </c>
      <c r="G346" t="s">
        <v>462</v>
      </c>
    </row>
    <row r="347" spans="1:7" x14ac:dyDescent="0.3">
      <c r="A347" t="s">
        <v>179</v>
      </c>
      <c r="B347" t="s">
        <v>16</v>
      </c>
      <c r="C347" t="s">
        <v>144</v>
      </c>
      <c r="D347" s="1">
        <v>43553</v>
      </c>
      <c r="E347">
        <v>1</v>
      </c>
      <c r="F347">
        <v>315</v>
      </c>
      <c r="G347" t="s">
        <v>462</v>
      </c>
    </row>
    <row r="348" spans="1:7" x14ac:dyDescent="0.3">
      <c r="A348" t="s">
        <v>179</v>
      </c>
      <c r="B348" t="s">
        <v>16</v>
      </c>
      <c r="C348" t="s">
        <v>144</v>
      </c>
      <c r="D348" s="1">
        <v>43560</v>
      </c>
      <c r="E348">
        <v>1</v>
      </c>
      <c r="F348">
        <v>315</v>
      </c>
      <c r="G348" t="s">
        <v>462</v>
      </c>
    </row>
    <row r="349" spans="1:7" x14ac:dyDescent="0.3">
      <c r="A349" t="s">
        <v>179</v>
      </c>
      <c r="B349" t="s">
        <v>16</v>
      </c>
      <c r="C349" t="s">
        <v>144</v>
      </c>
      <c r="D349" s="1">
        <v>43567</v>
      </c>
      <c r="E349">
        <v>1</v>
      </c>
      <c r="F349">
        <v>787</v>
      </c>
      <c r="G349" t="s">
        <v>462</v>
      </c>
    </row>
    <row r="350" spans="1:7" x14ac:dyDescent="0.3">
      <c r="A350" t="s">
        <v>179</v>
      </c>
      <c r="B350" t="s">
        <v>16</v>
      </c>
      <c r="C350" t="s">
        <v>144</v>
      </c>
      <c r="D350" s="1">
        <v>43578</v>
      </c>
      <c r="E350">
        <v>1</v>
      </c>
      <c r="F350">
        <v>630</v>
      </c>
      <c r="G350" t="s">
        <v>462</v>
      </c>
    </row>
    <row r="351" spans="1:7" x14ac:dyDescent="0.3">
      <c r="A351" t="s">
        <v>179</v>
      </c>
      <c r="B351" t="s">
        <v>16</v>
      </c>
      <c r="C351" t="s">
        <v>144</v>
      </c>
      <c r="D351" s="1">
        <v>43584</v>
      </c>
      <c r="E351">
        <v>1</v>
      </c>
      <c r="F351">
        <v>472</v>
      </c>
      <c r="G351" t="s">
        <v>462</v>
      </c>
    </row>
    <row r="352" spans="1:7" x14ac:dyDescent="0.3">
      <c r="A352" t="s">
        <v>179</v>
      </c>
      <c r="B352" t="s">
        <v>16</v>
      </c>
      <c r="C352" t="s">
        <v>144</v>
      </c>
      <c r="D352" s="1">
        <v>43591</v>
      </c>
      <c r="E352">
        <v>1</v>
      </c>
      <c r="F352">
        <v>315</v>
      </c>
      <c r="G352" t="s">
        <v>462</v>
      </c>
    </row>
    <row r="353" spans="1:7" x14ac:dyDescent="0.3">
      <c r="A353" t="s">
        <v>179</v>
      </c>
      <c r="B353" t="s">
        <v>16</v>
      </c>
      <c r="C353" t="s">
        <v>144</v>
      </c>
      <c r="D353" s="1">
        <v>43595</v>
      </c>
      <c r="E353">
        <v>1</v>
      </c>
      <c r="F353">
        <v>787</v>
      </c>
      <c r="G353" t="s">
        <v>462</v>
      </c>
    </row>
    <row r="354" spans="1:7" x14ac:dyDescent="0.3">
      <c r="A354" t="s">
        <v>179</v>
      </c>
      <c r="B354" t="s">
        <v>16</v>
      </c>
      <c r="C354" t="s">
        <v>144</v>
      </c>
      <c r="D354" s="1">
        <v>43602</v>
      </c>
      <c r="E354">
        <v>1</v>
      </c>
      <c r="F354">
        <v>1102</v>
      </c>
      <c r="G354" t="s">
        <v>462</v>
      </c>
    </row>
    <row r="355" spans="1:7" x14ac:dyDescent="0.3">
      <c r="A355" t="s">
        <v>179</v>
      </c>
      <c r="B355" t="s">
        <v>16</v>
      </c>
      <c r="C355" t="s">
        <v>144</v>
      </c>
      <c r="D355" s="1">
        <v>43619</v>
      </c>
      <c r="E355">
        <v>1</v>
      </c>
      <c r="F355">
        <v>787</v>
      </c>
      <c r="G355" t="s">
        <v>462</v>
      </c>
    </row>
    <row r="356" spans="1:7" x14ac:dyDescent="0.3">
      <c r="A356" t="s">
        <v>179</v>
      </c>
      <c r="B356" t="s">
        <v>16</v>
      </c>
      <c r="C356" t="s">
        <v>144</v>
      </c>
      <c r="D356" s="1">
        <v>43623</v>
      </c>
      <c r="E356">
        <v>1</v>
      </c>
      <c r="F356">
        <v>157</v>
      </c>
      <c r="G356" t="s">
        <v>462</v>
      </c>
    </row>
    <row r="357" spans="1:7" x14ac:dyDescent="0.3">
      <c r="A357" t="s">
        <v>179</v>
      </c>
      <c r="B357" t="s">
        <v>16</v>
      </c>
      <c r="C357" t="s">
        <v>144</v>
      </c>
      <c r="D357" s="1">
        <v>43633</v>
      </c>
      <c r="E357">
        <v>1</v>
      </c>
      <c r="F357">
        <v>315</v>
      </c>
      <c r="G357" t="s">
        <v>462</v>
      </c>
    </row>
    <row r="358" spans="1:7" x14ac:dyDescent="0.3">
      <c r="A358" t="s">
        <v>179</v>
      </c>
      <c r="B358" t="s">
        <v>16</v>
      </c>
      <c r="C358" t="s">
        <v>144</v>
      </c>
      <c r="D358" s="1">
        <v>43640</v>
      </c>
      <c r="E358">
        <v>1</v>
      </c>
      <c r="F358">
        <v>315</v>
      </c>
      <c r="G358" t="s">
        <v>462</v>
      </c>
    </row>
    <row r="359" spans="1:7" x14ac:dyDescent="0.3">
      <c r="A359" t="s">
        <v>179</v>
      </c>
      <c r="B359" t="s">
        <v>16</v>
      </c>
      <c r="C359" t="s">
        <v>144</v>
      </c>
      <c r="D359" s="1">
        <v>43644</v>
      </c>
      <c r="E359">
        <v>1</v>
      </c>
      <c r="F359">
        <v>315</v>
      </c>
      <c r="G359" t="s">
        <v>462</v>
      </c>
    </row>
    <row r="360" spans="1:7" x14ac:dyDescent="0.3">
      <c r="A360" t="s">
        <v>179</v>
      </c>
      <c r="B360" t="s">
        <v>16</v>
      </c>
      <c r="C360" t="s">
        <v>144</v>
      </c>
      <c r="D360" s="1">
        <v>43651</v>
      </c>
      <c r="E360">
        <v>1</v>
      </c>
      <c r="F360">
        <v>472</v>
      </c>
      <c r="G360" t="s">
        <v>462</v>
      </c>
    </row>
    <row r="361" spans="1:7" x14ac:dyDescent="0.3">
      <c r="A361" t="s">
        <v>179</v>
      </c>
      <c r="B361" t="s">
        <v>16</v>
      </c>
      <c r="C361" t="s">
        <v>144</v>
      </c>
      <c r="D361" s="1">
        <v>43658</v>
      </c>
      <c r="E361">
        <v>1</v>
      </c>
      <c r="F361">
        <v>630</v>
      </c>
      <c r="G361" t="s">
        <v>462</v>
      </c>
    </row>
    <row r="362" spans="1:7" x14ac:dyDescent="0.3">
      <c r="A362" t="s">
        <v>179</v>
      </c>
      <c r="B362" t="s">
        <v>16</v>
      </c>
      <c r="C362" t="s">
        <v>144</v>
      </c>
      <c r="D362" s="1">
        <v>43665</v>
      </c>
      <c r="E362">
        <v>1</v>
      </c>
      <c r="F362">
        <v>944</v>
      </c>
      <c r="G362" t="s">
        <v>462</v>
      </c>
    </row>
    <row r="363" spans="1:7" x14ac:dyDescent="0.3">
      <c r="A363" t="s">
        <v>179</v>
      </c>
      <c r="B363" t="s">
        <v>16</v>
      </c>
      <c r="C363" t="s">
        <v>144</v>
      </c>
      <c r="D363" s="1">
        <v>43672</v>
      </c>
      <c r="E363">
        <v>2</v>
      </c>
      <c r="F363">
        <v>1417</v>
      </c>
      <c r="G363" t="s">
        <v>462</v>
      </c>
    </row>
    <row r="364" spans="1:7" x14ac:dyDescent="0.3">
      <c r="A364" t="s">
        <v>179</v>
      </c>
      <c r="B364" t="s">
        <v>16</v>
      </c>
      <c r="C364" t="s">
        <v>144</v>
      </c>
      <c r="D364" s="1">
        <v>43679</v>
      </c>
      <c r="E364">
        <v>2</v>
      </c>
      <c r="F364">
        <v>1417</v>
      </c>
      <c r="G364" t="s">
        <v>462</v>
      </c>
    </row>
    <row r="365" spans="1:7" x14ac:dyDescent="0.3">
      <c r="A365" t="s">
        <v>179</v>
      </c>
      <c r="B365" t="s">
        <v>16</v>
      </c>
      <c r="C365" t="s">
        <v>144</v>
      </c>
      <c r="D365" s="1">
        <v>43686</v>
      </c>
      <c r="E365">
        <v>1</v>
      </c>
      <c r="F365">
        <v>787</v>
      </c>
      <c r="G365" t="s">
        <v>462</v>
      </c>
    </row>
    <row r="366" spans="1:7" x14ac:dyDescent="0.3">
      <c r="A366" t="s">
        <v>179</v>
      </c>
      <c r="B366" t="s">
        <v>16</v>
      </c>
      <c r="C366" t="s">
        <v>144</v>
      </c>
      <c r="D366" s="1">
        <v>43693</v>
      </c>
      <c r="E366">
        <v>1</v>
      </c>
      <c r="F366">
        <v>1259</v>
      </c>
      <c r="G366" t="s">
        <v>462</v>
      </c>
    </row>
    <row r="367" spans="1:7" x14ac:dyDescent="0.3">
      <c r="A367" t="s">
        <v>179</v>
      </c>
      <c r="B367" t="s">
        <v>16</v>
      </c>
      <c r="C367" t="s">
        <v>144</v>
      </c>
      <c r="D367" s="1">
        <v>43710</v>
      </c>
      <c r="E367">
        <v>2</v>
      </c>
      <c r="F367">
        <v>1574</v>
      </c>
      <c r="G367" t="s">
        <v>462</v>
      </c>
    </row>
    <row r="368" spans="1:7" x14ac:dyDescent="0.3">
      <c r="A368" t="s">
        <v>179</v>
      </c>
      <c r="B368" t="s">
        <v>16</v>
      </c>
      <c r="C368" t="s">
        <v>144</v>
      </c>
      <c r="D368" s="1">
        <v>43711</v>
      </c>
      <c r="E368">
        <v>1</v>
      </c>
      <c r="F368">
        <v>630</v>
      </c>
      <c r="G368" t="s">
        <v>462</v>
      </c>
    </row>
    <row r="369" spans="1:7" x14ac:dyDescent="0.3">
      <c r="A369" t="s">
        <v>179</v>
      </c>
      <c r="B369" t="s">
        <v>16</v>
      </c>
      <c r="C369" t="s">
        <v>144</v>
      </c>
      <c r="D369" s="1">
        <v>43714</v>
      </c>
      <c r="E369">
        <v>1</v>
      </c>
      <c r="F369">
        <v>157</v>
      </c>
      <c r="G369" t="s">
        <v>462</v>
      </c>
    </row>
    <row r="370" spans="1:7" x14ac:dyDescent="0.3">
      <c r="A370" t="s">
        <v>179</v>
      </c>
      <c r="B370" t="s">
        <v>16</v>
      </c>
      <c r="C370" t="s">
        <v>144</v>
      </c>
      <c r="D370" s="1">
        <v>43721</v>
      </c>
      <c r="E370">
        <v>2</v>
      </c>
      <c r="F370">
        <v>1417</v>
      </c>
      <c r="G370" t="s">
        <v>462</v>
      </c>
    </row>
    <row r="371" spans="1:7" x14ac:dyDescent="0.3">
      <c r="A371" t="s">
        <v>179</v>
      </c>
      <c r="B371" t="s">
        <v>16</v>
      </c>
      <c r="C371" t="s">
        <v>144</v>
      </c>
      <c r="D371" s="1">
        <v>43728</v>
      </c>
      <c r="E371">
        <v>1</v>
      </c>
      <c r="F371">
        <v>630</v>
      </c>
      <c r="G371" t="s">
        <v>462</v>
      </c>
    </row>
    <row r="372" spans="1:7" x14ac:dyDescent="0.3">
      <c r="A372" t="s">
        <v>179</v>
      </c>
      <c r="B372" t="s">
        <v>16</v>
      </c>
      <c r="C372" t="s">
        <v>144</v>
      </c>
      <c r="D372" s="1">
        <v>43731</v>
      </c>
      <c r="E372">
        <v>200</v>
      </c>
      <c r="F372">
        <v>66111</v>
      </c>
      <c r="G372" t="s">
        <v>462</v>
      </c>
    </row>
    <row r="373" spans="1:7" x14ac:dyDescent="0.3">
      <c r="A373" t="s">
        <v>179</v>
      </c>
      <c r="B373" t="s">
        <v>16</v>
      </c>
      <c r="C373" t="s">
        <v>144</v>
      </c>
      <c r="D373" s="1">
        <v>43735</v>
      </c>
      <c r="E373">
        <v>2</v>
      </c>
      <c r="F373">
        <v>1884</v>
      </c>
      <c r="G373" t="s">
        <v>462</v>
      </c>
    </row>
    <row r="374" spans="1:7" x14ac:dyDescent="0.3">
      <c r="A374" t="s">
        <v>179</v>
      </c>
      <c r="B374" t="s">
        <v>16</v>
      </c>
      <c r="C374" t="s">
        <v>144</v>
      </c>
      <c r="D374" s="1">
        <v>43745</v>
      </c>
      <c r="E374">
        <v>1</v>
      </c>
      <c r="F374">
        <v>944</v>
      </c>
      <c r="G374" t="s">
        <v>462</v>
      </c>
    </row>
    <row r="375" spans="1:7" x14ac:dyDescent="0.3">
      <c r="A375" t="s">
        <v>179</v>
      </c>
      <c r="B375" t="s">
        <v>16</v>
      </c>
      <c r="C375" t="s">
        <v>144</v>
      </c>
      <c r="D375" s="1">
        <v>43766</v>
      </c>
      <c r="E375">
        <v>7</v>
      </c>
      <c r="F375">
        <v>2574</v>
      </c>
      <c r="G375" t="s">
        <v>462</v>
      </c>
    </row>
    <row r="376" spans="1:7" x14ac:dyDescent="0.3">
      <c r="A376" t="s">
        <v>179</v>
      </c>
      <c r="B376" t="s">
        <v>16</v>
      </c>
      <c r="C376" t="s">
        <v>144</v>
      </c>
      <c r="D376" s="1">
        <v>43777</v>
      </c>
      <c r="E376">
        <v>1</v>
      </c>
      <c r="F376">
        <v>630</v>
      </c>
      <c r="G376" t="s">
        <v>462</v>
      </c>
    </row>
    <row r="377" spans="1:7" x14ac:dyDescent="0.3">
      <c r="A377" t="s">
        <v>179</v>
      </c>
      <c r="B377" t="s">
        <v>16</v>
      </c>
      <c r="C377" t="s">
        <v>144</v>
      </c>
      <c r="D377" s="1">
        <v>43784</v>
      </c>
      <c r="E377">
        <v>1</v>
      </c>
      <c r="F377">
        <v>472</v>
      </c>
      <c r="G377" t="s">
        <v>462</v>
      </c>
    </row>
    <row r="378" spans="1:7" x14ac:dyDescent="0.3">
      <c r="A378" t="s">
        <v>179</v>
      </c>
      <c r="B378" t="s">
        <v>16</v>
      </c>
      <c r="C378" t="s">
        <v>144</v>
      </c>
      <c r="D378" s="1">
        <v>43791</v>
      </c>
      <c r="E378">
        <v>1</v>
      </c>
      <c r="F378">
        <v>944</v>
      </c>
      <c r="G378" t="s">
        <v>462</v>
      </c>
    </row>
    <row r="379" spans="1:7" x14ac:dyDescent="0.3">
      <c r="A379" t="s">
        <v>179</v>
      </c>
      <c r="B379" t="s">
        <v>16</v>
      </c>
      <c r="C379" t="s">
        <v>144</v>
      </c>
      <c r="D379" s="1">
        <v>43798</v>
      </c>
      <c r="E379">
        <v>2</v>
      </c>
      <c r="F379">
        <v>1417</v>
      </c>
      <c r="G379" t="s">
        <v>462</v>
      </c>
    </row>
    <row r="380" spans="1:7" x14ac:dyDescent="0.3">
      <c r="A380" t="s">
        <v>179</v>
      </c>
      <c r="B380" t="s">
        <v>16</v>
      </c>
      <c r="C380" t="s">
        <v>144</v>
      </c>
      <c r="D380" s="1">
        <v>43805</v>
      </c>
      <c r="E380">
        <v>1</v>
      </c>
      <c r="F380">
        <v>1259</v>
      </c>
      <c r="G380" t="s">
        <v>462</v>
      </c>
    </row>
    <row r="381" spans="1:7" x14ac:dyDescent="0.3">
      <c r="A381" t="s">
        <v>179</v>
      </c>
      <c r="B381" t="s">
        <v>16</v>
      </c>
      <c r="C381" t="s">
        <v>144</v>
      </c>
      <c r="D381" s="1">
        <v>43812</v>
      </c>
      <c r="E381">
        <v>4</v>
      </c>
      <c r="F381">
        <v>3773</v>
      </c>
      <c r="G381" t="s">
        <v>462</v>
      </c>
    </row>
    <row r="382" spans="1:7" x14ac:dyDescent="0.3">
      <c r="A382" t="s">
        <v>179</v>
      </c>
      <c r="B382" t="s">
        <v>16</v>
      </c>
      <c r="C382" t="s">
        <v>144</v>
      </c>
      <c r="D382" s="1">
        <v>43819</v>
      </c>
      <c r="E382">
        <v>1</v>
      </c>
      <c r="F382">
        <v>315</v>
      </c>
      <c r="G382" t="s">
        <v>462</v>
      </c>
    </row>
    <row r="383" spans="1:7" x14ac:dyDescent="0.3">
      <c r="A383" t="s">
        <v>179</v>
      </c>
      <c r="B383" t="s">
        <v>16</v>
      </c>
      <c r="C383" t="s">
        <v>144</v>
      </c>
      <c r="D383" s="1">
        <v>43839</v>
      </c>
      <c r="E383">
        <v>1</v>
      </c>
      <c r="F383">
        <v>630</v>
      </c>
      <c r="G383" t="s">
        <v>462</v>
      </c>
    </row>
    <row r="384" spans="1:7" x14ac:dyDescent="0.3">
      <c r="A384" t="s">
        <v>179</v>
      </c>
      <c r="B384" t="s">
        <v>16</v>
      </c>
      <c r="C384" t="s">
        <v>144</v>
      </c>
      <c r="D384" s="1">
        <v>43840</v>
      </c>
      <c r="E384">
        <v>1</v>
      </c>
      <c r="F384">
        <v>472</v>
      </c>
      <c r="G384" t="s">
        <v>462</v>
      </c>
    </row>
    <row r="385" spans="1:7" x14ac:dyDescent="0.3">
      <c r="A385" t="s">
        <v>179</v>
      </c>
      <c r="B385" t="s">
        <v>16</v>
      </c>
      <c r="C385" t="s">
        <v>144</v>
      </c>
      <c r="D385" s="1">
        <v>43847</v>
      </c>
      <c r="E385">
        <v>2</v>
      </c>
      <c r="F385">
        <v>2042</v>
      </c>
      <c r="G385" t="s">
        <v>462</v>
      </c>
    </row>
    <row r="386" spans="1:7" x14ac:dyDescent="0.3">
      <c r="A386" t="s">
        <v>179</v>
      </c>
      <c r="B386" t="s">
        <v>16</v>
      </c>
      <c r="C386" t="s">
        <v>144</v>
      </c>
      <c r="D386" s="1">
        <v>43868</v>
      </c>
      <c r="E386">
        <v>1</v>
      </c>
      <c r="F386">
        <v>417</v>
      </c>
      <c r="G386" t="s">
        <v>462</v>
      </c>
    </row>
    <row r="387" spans="1:7" x14ac:dyDescent="0.3">
      <c r="A387" t="s">
        <v>179</v>
      </c>
      <c r="B387" t="s">
        <v>16</v>
      </c>
      <c r="C387" t="s">
        <v>144</v>
      </c>
      <c r="D387" s="1">
        <v>43875</v>
      </c>
      <c r="E387">
        <v>1</v>
      </c>
      <c r="F387">
        <v>310</v>
      </c>
      <c r="G387" t="s">
        <v>462</v>
      </c>
    </row>
    <row r="388" spans="1:7" x14ac:dyDescent="0.3">
      <c r="A388" t="s">
        <v>179</v>
      </c>
      <c r="B388" t="s">
        <v>16</v>
      </c>
      <c r="C388" t="s">
        <v>144</v>
      </c>
      <c r="D388" s="1">
        <v>43889</v>
      </c>
      <c r="E388">
        <v>1</v>
      </c>
      <c r="F388">
        <v>208</v>
      </c>
      <c r="G388" t="s">
        <v>462</v>
      </c>
    </row>
    <row r="389" spans="1:7" x14ac:dyDescent="0.3">
      <c r="A389" t="s">
        <v>179</v>
      </c>
      <c r="B389" t="s">
        <v>16</v>
      </c>
      <c r="C389" t="s">
        <v>144</v>
      </c>
      <c r="D389" s="1">
        <v>43896</v>
      </c>
      <c r="E389">
        <v>1</v>
      </c>
      <c r="F389">
        <v>620</v>
      </c>
      <c r="G389" t="s">
        <v>462</v>
      </c>
    </row>
    <row r="390" spans="1:7" x14ac:dyDescent="0.3">
      <c r="A390" t="s">
        <v>179</v>
      </c>
      <c r="B390" t="s">
        <v>16</v>
      </c>
      <c r="C390" t="s">
        <v>144</v>
      </c>
      <c r="D390" s="1">
        <v>43903</v>
      </c>
      <c r="E390">
        <v>1</v>
      </c>
      <c r="F390">
        <v>620</v>
      </c>
      <c r="G390" t="s">
        <v>462</v>
      </c>
    </row>
    <row r="391" spans="1:7" x14ac:dyDescent="0.3">
      <c r="A391" t="s">
        <v>179</v>
      </c>
      <c r="B391" t="s">
        <v>16</v>
      </c>
      <c r="C391" t="s">
        <v>144</v>
      </c>
      <c r="D391" s="1">
        <v>43924</v>
      </c>
      <c r="E391">
        <v>1</v>
      </c>
      <c r="F391">
        <v>829</v>
      </c>
      <c r="G391" t="s">
        <v>462</v>
      </c>
    </row>
    <row r="392" spans="1:7" x14ac:dyDescent="0.3">
      <c r="A392" t="s">
        <v>179</v>
      </c>
      <c r="B392" t="s">
        <v>16</v>
      </c>
      <c r="C392" t="s">
        <v>144</v>
      </c>
      <c r="D392" s="1">
        <v>43935</v>
      </c>
      <c r="E392">
        <v>4</v>
      </c>
      <c r="F392">
        <v>2694</v>
      </c>
      <c r="G392" t="s">
        <v>462</v>
      </c>
    </row>
    <row r="393" spans="1:7" x14ac:dyDescent="0.3">
      <c r="A393" t="s">
        <v>179</v>
      </c>
      <c r="B393" t="s">
        <v>16</v>
      </c>
      <c r="C393" t="s">
        <v>144</v>
      </c>
      <c r="D393" s="1">
        <v>43941</v>
      </c>
      <c r="E393">
        <v>1</v>
      </c>
      <c r="F393">
        <v>102</v>
      </c>
      <c r="G393" t="s">
        <v>462</v>
      </c>
    </row>
    <row r="394" spans="1:7" x14ac:dyDescent="0.3">
      <c r="A394" t="s">
        <v>179</v>
      </c>
      <c r="B394" t="s">
        <v>16</v>
      </c>
      <c r="C394" t="s">
        <v>144</v>
      </c>
      <c r="D394" s="1">
        <v>43966</v>
      </c>
      <c r="E394">
        <v>2</v>
      </c>
      <c r="F394">
        <v>528</v>
      </c>
      <c r="G394" t="s">
        <v>462</v>
      </c>
    </row>
    <row r="395" spans="1:7" x14ac:dyDescent="0.3">
      <c r="A395" t="s">
        <v>180</v>
      </c>
      <c r="B395" t="s">
        <v>12</v>
      </c>
      <c r="C395" t="s">
        <v>144</v>
      </c>
      <c r="D395" s="1">
        <v>43032</v>
      </c>
      <c r="E395">
        <v>1</v>
      </c>
      <c r="F395">
        <v>380</v>
      </c>
      <c r="G395" t="s">
        <v>462</v>
      </c>
    </row>
    <row r="396" spans="1:7" x14ac:dyDescent="0.3">
      <c r="A396" t="s">
        <v>180</v>
      </c>
      <c r="B396" t="s">
        <v>16</v>
      </c>
      <c r="C396" t="s">
        <v>144</v>
      </c>
      <c r="D396" s="1">
        <v>43033</v>
      </c>
      <c r="E396">
        <v>1</v>
      </c>
      <c r="F396">
        <v>560</v>
      </c>
      <c r="G396" t="s">
        <v>462</v>
      </c>
    </row>
    <row r="397" spans="1:7" x14ac:dyDescent="0.3">
      <c r="A397" t="s">
        <v>180</v>
      </c>
      <c r="B397" t="s">
        <v>16</v>
      </c>
      <c r="C397" t="s">
        <v>144</v>
      </c>
      <c r="D397" s="1">
        <v>43038</v>
      </c>
      <c r="E397">
        <v>1</v>
      </c>
      <c r="F397">
        <v>560</v>
      </c>
      <c r="G397" t="s">
        <v>462</v>
      </c>
    </row>
    <row r="398" spans="1:7" x14ac:dyDescent="0.3">
      <c r="A398" t="s">
        <v>180</v>
      </c>
      <c r="B398" t="s">
        <v>16</v>
      </c>
      <c r="C398" t="s">
        <v>144</v>
      </c>
      <c r="D398" s="1">
        <v>43066</v>
      </c>
      <c r="E398">
        <v>1</v>
      </c>
      <c r="F398">
        <v>1116</v>
      </c>
      <c r="G398" t="s">
        <v>462</v>
      </c>
    </row>
    <row r="399" spans="1:7" x14ac:dyDescent="0.3">
      <c r="A399" t="s">
        <v>180</v>
      </c>
      <c r="B399" t="s">
        <v>18</v>
      </c>
      <c r="C399" t="s">
        <v>146</v>
      </c>
      <c r="D399" s="1">
        <v>43080</v>
      </c>
      <c r="E399">
        <v>1</v>
      </c>
      <c r="F399">
        <v>657</v>
      </c>
      <c r="G399" t="s">
        <v>462</v>
      </c>
    </row>
    <row r="400" spans="1:7" x14ac:dyDescent="0.3">
      <c r="A400" t="s">
        <v>180</v>
      </c>
      <c r="B400" t="s">
        <v>16</v>
      </c>
      <c r="C400" t="s">
        <v>144</v>
      </c>
      <c r="D400" s="1">
        <v>43081</v>
      </c>
      <c r="E400">
        <v>1</v>
      </c>
      <c r="F400">
        <v>560</v>
      </c>
      <c r="G400" t="s">
        <v>462</v>
      </c>
    </row>
    <row r="401" spans="1:7" x14ac:dyDescent="0.3">
      <c r="A401" t="s">
        <v>180</v>
      </c>
      <c r="B401" t="s">
        <v>18</v>
      </c>
      <c r="C401" t="s">
        <v>146</v>
      </c>
      <c r="D401" s="1">
        <v>43088</v>
      </c>
      <c r="E401">
        <v>1</v>
      </c>
      <c r="F401">
        <v>657</v>
      </c>
      <c r="G401" t="s">
        <v>462</v>
      </c>
    </row>
    <row r="402" spans="1:7" x14ac:dyDescent="0.3">
      <c r="A402" t="s">
        <v>180</v>
      </c>
      <c r="B402" t="s">
        <v>16</v>
      </c>
      <c r="C402" t="s">
        <v>144</v>
      </c>
      <c r="D402" s="1">
        <v>43143</v>
      </c>
      <c r="E402">
        <v>1</v>
      </c>
      <c r="F402">
        <v>560</v>
      </c>
      <c r="G402" t="s">
        <v>462</v>
      </c>
    </row>
    <row r="403" spans="1:7" x14ac:dyDescent="0.3">
      <c r="A403" t="s">
        <v>181</v>
      </c>
      <c r="B403" t="s">
        <v>16</v>
      </c>
      <c r="C403" t="s">
        <v>144</v>
      </c>
      <c r="D403" s="1">
        <v>43392</v>
      </c>
      <c r="E403">
        <v>11</v>
      </c>
      <c r="F403">
        <v>6218</v>
      </c>
      <c r="G403" t="s">
        <v>462</v>
      </c>
    </row>
    <row r="404" spans="1:7" x14ac:dyDescent="0.3">
      <c r="A404" t="s">
        <v>182</v>
      </c>
      <c r="B404" t="s">
        <v>16</v>
      </c>
      <c r="C404" t="s">
        <v>144</v>
      </c>
      <c r="D404" s="1">
        <v>43059</v>
      </c>
      <c r="E404">
        <v>7</v>
      </c>
      <c r="F404">
        <v>2426</v>
      </c>
      <c r="G404" t="s">
        <v>462</v>
      </c>
    </row>
    <row r="405" spans="1:7" x14ac:dyDescent="0.3">
      <c r="A405" t="s">
        <v>182</v>
      </c>
      <c r="B405" t="s">
        <v>16</v>
      </c>
      <c r="C405" t="s">
        <v>144</v>
      </c>
      <c r="D405" s="1">
        <v>43063</v>
      </c>
      <c r="E405">
        <v>33</v>
      </c>
      <c r="F405">
        <v>15278</v>
      </c>
      <c r="G405" t="s">
        <v>462</v>
      </c>
    </row>
    <row r="406" spans="1:7" x14ac:dyDescent="0.3">
      <c r="A406" t="s">
        <v>183</v>
      </c>
      <c r="B406" t="s">
        <v>20</v>
      </c>
      <c r="C406" t="s">
        <v>138</v>
      </c>
      <c r="D406" s="1">
        <v>43418</v>
      </c>
      <c r="E406">
        <v>3</v>
      </c>
      <c r="F406">
        <v>3032</v>
      </c>
      <c r="G406" t="s">
        <v>462</v>
      </c>
    </row>
    <row r="407" spans="1:7" x14ac:dyDescent="0.3">
      <c r="A407" t="s">
        <v>183</v>
      </c>
      <c r="B407" t="s">
        <v>22</v>
      </c>
      <c r="C407" t="s">
        <v>141</v>
      </c>
      <c r="D407" s="1">
        <v>43607</v>
      </c>
      <c r="E407">
        <v>2</v>
      </c>
      <c r="F407">
        <v>3194</v>
      </c>
      <c r="G407" t="s">
        <v>462</v>
      </c>
    </row>
    <row r="408" spans="1:7" x14ac:dyDescent="0.3">
      <c r="A408" t="s">
        <v>183</v>
      </c>
      <c r="B408" t="s">
        <v>22</v>
      </c>
      <c r="C408" t="s">
        <v>141</v>
      </c>
      <c r="D408" s="1">
        <v>43608</v>
      </c>
      <c r="E408">
        <v>1</v>
      </c>
      <c r="F408">
        <v>912</v>
      </c>
      <c r="G408" t="s">
        <v>462</v>
      </c>
    </row>
    <row r="409" spans="1:7" x14ac:dyDescent="0.3">
      <c r="A409" t="s">
        <v>183</v>
      </c>
      <c r="B409" t="s">
        <v>22</v>
      </c>
      <c r="C409" t="s">
        <v>141</v>
      </c>
      <c r="D409" s="1">
        <v>43613</v>
      </c>
      <c r="E409">
        <v>1</v>
      </c>
      <c r="F409">
        <v>1824</v>
      </c>
      <c r="G409" t="s">
        <v>462</v>
      </c>
    </row>
    <row r="410" spans="1:7" x14ac:dyDescent="0.3">
      <c r="A410" t="s">
        <v>183</v>
      </c>
      <c r="B410" t="s">
        <v>22</v>
      </c>
      <c r="C410" t="s">
        <v>141</v>
      </c>
      <c r="D410" s="1">
        <v>43614</v>
      </c>
      <c r="E410">
        <v>1</v>
      </c>
      <c r="F410">
        <v>458</v>
      </c>
      <c r="G410" t="s">
        <v>462</v>
      </c>
    </row>
    <row r="411" spans="1:7" x14ac:dyDescent="0.3">
      <c r="A411" t="s">
        <v>183</v>
      </c>
      <c r="B411" t="s">
        <v>8</v>
      </c>
      <c r="C411" t="s">
        <v>141</v>
      </c>
      <c r="D411" s="1">
        <v>43616</v>
      </c>
      <c r="E411">
        <v>3</v>
      </c>
      <c r="F411">
        <v>4444</v>
      </c>
      <c r="G411" t="s">
        <v>462</v>
      </c>
    </row>
    <row r="412" spans="1:7" x14ac:dyDescent="0.3">
      <c r="A412" t="s">
        <v>183</v>
      </c>
      <c r="B412" t="s">
        <v>22</v>
      </c>
      <c r="C412" t="s">
        <v>141</v>
      </c>
      <c r="D412" s="1">
        <v>43619</v>
      </c>
      <c r="E412">
        <v>1</v>
      </c>
      <c r="F412">
        <v>458</v>
      </c>
      <c r="G412" t="s">
        <v>462</v>
      </c>
    </row>
    <row r="413" spans="1:7" x14ac:dyDescent="0.3">
      <c r="A413" t="s">
        <v>183</v>
      </c>
      <c r="B413" t="s">
        <v>22</v>
      </c>
      <c r="C413" t="s">
        <v>141</v>
      </c>
      <c r="D413" s="1">
        <v>43620</v>
      </c>
      <c r="E413">
        <v>1</v>
      </c>
      <c r="F413">
        <v>458</v>
      </c>
      <c r="G413" t="s">
        <v>462</v>
      </c>
    </row>
    <row r="414" spans="1:7" x14ac:dyDescent="0.3">
      <c r="A414" t="s">
        <v>183</v>
      </c>
      <c r="B414" t="s">
        <v>22</v>
      </c>
      <c r="C414" t="s">
        <v>141</v>
      </c>
      <c r="D414" s="1">
        <v>43621</v>
      </c>
      <c r="E414">
        <v>1</v>
      </c>
      <c r="F414">
        <v>1824</v>
      </c>
      <c r="G414" t="s">
        <v>462</v>
      </c>
    </row>
    <row r="415" spans="1:7" x14ac:dyDescent="0.3">
      <c r="A415" t="s">
        <v>183</v>
      </c>
      <c r="B415" t="s">
        <v>8</v>
      </c>
      <c r="C415" t="s">
        <v>141</v>
      </c>
      <c r="D415" s="1">
        <v>43621</v>
      </c>
      <c r="E415">
        <v>2</v>
      </c>
      <c r="F415">
        <v>2667</v>
      </c>
      <c r="G415" t="s">
        <v>462</v>
      </c>
    </row>
    <row r="416" spans="1:7" x14ac:dyDescent="0.3">
      <c r="A416" t="s">
        <v>183</v>
      </c>
      <c r="B416" t="s">
        <v>22</v>
      </c>
      <c r="C416" t="s">
        <v>141</v>
      </c>
      <c r="D416" s="1">
        <v>43622</v>
      </c>
      <c r="E416">
        <v>14</v>
      </c>
      <c r="F416">
        <v>19171</v>
      </c>
      <c r="G416" t="s">
        <v>462</v>
      </c>
    </row>
    <row r="417" spans="1:7" x14ac:dyDescent="0.3">
      <c r="A417" t="s">
        <v>183</v>
      </c>
      <c r="B417" t="s">
        <v>22</v>
      </c>
      <c r="C417" t="s">
        <v>141</v>
      </c>
      <c r="D417" s="1">
        <v>43623</v>
      </c>
      <c r="E417">
        <v>1</v>
      </c>
      <c r="F417">
        <v>458</v>
      </c>
      <c r="G417" t="s">
        <v>462</v>
      </c>
    </row>
    <row r="418" spans="1:7" x14ac:dyDescent="0.3">
      <c r="A418" t="s">
        <v>183</v>
      </c>
      <c r="B418" t="s">
        <v>22</v>
      </c>
      <c r="C418" t="s">
        <v>141</v>
      </c>
      <c r="D418" s="1">
        <v>43627</v>
      </c>
      <c r="E418">
        <v>1</v>
      </c>
      <c r="F418">
        <v>458</v>
      </c>
      <c r="G418" t="s">
        <v>462</v>
      </c>
    </row>
    <row r="419" spans="1:7" x14ac:dyDescent="0.3">
      <c r="A419" t="s">
        <v>183</v>
      </c>
      <c r="B419" t="s">
        <v>22</v>
      </c>
      <c r="C419" t="s">
        <v>141</v>
      </c>
      <c r="D419" s="1">
        <v>43628</v>
      </c>
      <c r="E419">
        <v>1</v>
      </c>
      <c r="F419">
        <v>458</v>
      </c>
      <c r="G419" t="s">
        <v>462</v>
      </c>
    </row>
    <row r="420" spans="1:7" x14ac:dyDescent="0.3">
      <c r="A420" t="s">
        <v>183</v>
      </c>
      <c r="B420" t="s">
        <v>22</v>
      </c>
      <c r="C420" t="s">
        <v>141</v>
      </c>
      <c r="D420" s="1">
        <v>43630</v>
      </c>
      <c r="E420">
        <v>1</v>
      </c>
      <c r="F420">
        <v>1370</v>
      </c>
      <c r="G420" t="s">
        <v>462</v>
      </c>
    </row>
    <row r="421" spans="1:7" x14ac:dyDescent="0.3">
      <c r="A421" t="s">
        <v>183</v>
      </c>
      <c r="B421" t="s">
        <v>8</v>
      </c>
      <c r="C421" t="s">
        <v>141</v>
      </c>
      <c r="D421" s="1">
        <v>43630</v>
      </c>
      <c r="E421">
        <v>2</v>
      </c>
      <c r="F421">
        <v>2667</v>
      </c>
      <c r="G421" t="s">
        <v>462</v>
      </c>
    </row>
    <row r="422" spans="1:7" x14ac:dyDescent="0.3">
      <c r="A422" t="s">
        <v>183</v>
      </c>
      <c r="B422" t="s">
        <v>8</v>
      </c>
      <c r="C422" t="s">
        <v>141</v>
      </c>
      <c r="D422" s="1">
        <v>43633</v>
      </c>
      <c r="E422">
        <v>1</v>
      </c>
      <c r="F422">
        <v>1333</v>
      </c>
      <c r="G422" t="s">
        <v>462</v>
      </c>
    </row>
    <row r="423" spans="1:7" x14ac:dyDescent="0.3">
      <c r="A423" t="s">
        <v>183</v>
      </c>
      <c r="B423" t="s">
        <v>24</v>
      </c>
      <c r="C423" t="s">
        <v>141</v>
      </c>
      <c r="D423" s="1">
        <v>43634</v>
      </c>
      <c r="E423">
        <v>1</v>
      </c>
      <c r="F423">
        <v>597</v>
      </c>
      <c r="G423" t="s">
        <v>462</v>
      </c>
    </row>
    <row r="424" spans="1:7" x14ac:dyDescent="0.3">
      <c r="A424" t="s">
        <v>183</v>
      </c>
      <c r="B424" t="s">
        <v>8</v>
      </c>
      <c r="C424" t="s">
        <v>141</v>
      </c>
      <c r="D424" s="1">
        <v>43634</v>
      </c>
      <c r="E424">
        <v>7</v>
      </c>
      <c r="F424">
        <v>8889</v>
      </c>
      <c r="G424" t="s">
        <v>462</v>
      </c>
    </row>
    <row r="425" spans="1:7" x14ac:dyDescent="0.3">
      <c r="A425" t="s">
        <v>183</v>
      </c>
      <c r="B425" t="s">
        <v>8</v>
      </c>
      <c r="C425" t="s">
        <v>141</v>
      </c>
      <c r="D425" s="1">
        <v>43635</v>
      </c>
      <c r="E425">
        <v>1</v>
      </c>
      <c r="F425">
        <v>1778</v>
      </c>
      <c r="G425" t="s">
        <v>462</v>
      </c>
    </row>
    <row r="426" spans="1:7" x14ac:dyDescent="0.3">
      <c r="A426" t="s">
        <v>183</v>
      </c>
      <c r="B426" t="s">
        <v>22</v>
      </c>
      <c r="C426" t="s">
        <v>141</v>
      </c>
      <c r="D426" s="1">
        <v>43644</v>
      </c>
      <c r="E426">
        <v>7</v>
      </c>
      <c r="F426">
        <v>9130</v>
      </c>
      <c r="G426" t="s">
        <v>462</v>
      </c>
    </row>
    <row r="427" spans="1:7" x14ac:dyDescent="0.3">
      <c r="A427" t="s">
        <v>184</v>
      </c>
      <c r="B427" t="s">
        <v>24</v>
      </c>
      <c r="C427" t="s">
        <v>141</v>
      </c>
      <c r="D427" s="1">
        <v>43213</v>
      </c>
      <c r="E427">
        <v>1</v>
      </c>
      <c r="F427">
        <v>602</v>
      </c>
      <c r="G427" t="s">
        <v>462</v>
      </c>
    </row>
    <row r="428" spans="1:7" x14ac:dyDescent="0.3">
      <c r="A428" t="s">
        <v>184</v>
      </c>
      <c r="B428" t="s">
        <v>26</v>
      </c>
      <c r="C428" t="s">
        <v>141</v>
      </c>
      <c r="D428" s="1">
        <v>43223</v>
      </c>
      <c r="E428">
        <v>2</v>
      </c>
      <c r="F428">
        <v>3227</v>
      </c>
      <c r="G428" t="s">
        <v>462</v>
      </c>
    </row>
    <row r="429" spans="1:7" x14ac:dyDescent="0.3">
      <c r="A429" t="s">
        <v>184</v>
      </c>
      <c r="B429" t="s">
        <v>8</v>
      </c>
      <c r="C429" t="s">
        <v>141</v>
      </c>
      <c r="D429" s="1">
        <v>43224</v>
      </c>
      <c r="E429">
        <v>1</v>
      </c>
      <c r="F429">
        <v>449</v>
      </c>
      <c r="G429" t="s">
        <v>462</v>
      </c>
    </row>
    <row r="430" spans="1:7" x14ac:dyDescent="0.3">
      <c r="A430" t="s">
        <v>184</v>
      </c>
      <c r="B430" t="s">
        <v>8</v>
      </c>
      <c r="C430" t="s">
        <v>141</v>
      </c>
      <c r="D430" s="1">
        <v>43227</v>
      </c>
      <c r="E430">
        <v>1</v>
      </c>
      <c r="F430">
        <v>449</v>
      </c>
      <c r="G430" t="s">
        <v>462</v>
      </c>
    </row>
    <row r="431" spans="1:7" x14ac:dyDescent="0.3">
      <c r="A431" t="s">
        <v>184</v>
      </c>
      <c r="B431" t="s">
        <v>8</v>
      </c>
      <c r="C431" t="s">
        <v>141</v>
      </c>
      <c r="D431" s="1">
        <v>43229</v>
      </c>
      <c r="E431">
        <v>1</v>
      </c>
      <c r="F431">
        <v>449</v>
      </c>
      <c r="G431" t="s">
        <v>462</v>
      </c>
    </row>
    <row r="432" spans="1:7" x14ac:dyDescent="0.3">
      <c r="A432" t="s">
        <v>184</v>
      </c>
      <c r="B432" t="s">
        <v>8</v>
      </c>
      <c r="C432" t="s">
        <v>141</v>
      </c>
      <c r="D432" s="1">
        <v>43231</v>
      </c>
      <c r="E432">
        <v>1</v>
      </c>
      <c r="F432">
        <v>449</v>
      </c>
      <c r="G432" t="s">
        <v>462</v>
      </c>
    </row>
    <row r="433" spans="1:7" x14ac:dyDescent="0.3">
      <c r="A433" t="s">
        <v>184</v>
      </c>
      <c r="B433" t="s">
        <v>28</v>
      </c>
      <c r="C433" t="s">
        <v>141</v>
      </c>
      <c r="D433" s="1">
        <v>43231</v>
      </c>
      <c r="E433">
        <v>7</v>
      </c>
      <c r="F433">
        <v>9880</v>
      </c>
      <c r="G433" t="s">
        <v>462</v>
      </c>
    </row>
    <row r="434" spans="1:7" x14ac:dyDescent="0.3">
      <c r="A434" t="s">
        <v>184</v>
      </c>
      <c r="B434" t="s">
        <v>24</v>
      </c>
      <c r="C434" t="s">
        <v>141</v>
      </c>
      <c r="D434" s="1">
        <v>43236</v>
      </c>
      <c r="E434">
        <v>1</v>
      </c>
      <c r="F434">
        <v>301</v>
      </c>
      <c r="G434" t="s">
        <v>462</v>
      </c>
    </row>
    <row r="435" spans="1:7" x14ac:dyDescent="0.3">
      <c r="A435" t="s">
        <v>184</v>
      </c>
      <c r="B435" t="s">
        <v>30</v>
      </c>
      <c r="C435" t="s">
        <v>141</v>
      </c>
      <c r="D435" s="1">
        <v>43236</v>
      </c>
      <c r="E435">
        <v>6</v>
      </c>
      <c r="F435">
        <v>7954</v>
      </c>
      <c r="G435" t="s">
        <v>462</v>
      </c>
    </row>
    <row r="436" spans="1:7" x14ac:dyDescent="0.3">
      <c r="A436" t="s">
        <v>184</v>
      </c>
      <c r="B436" t="s">
        <v>26</v>
      </c>
      <c r="C436" t="s">
        <v>141</v>
      </c>
      <c r="D436" s="1">
        <v>43237</v>
      </c>
      <c r="E436">
        <v>1</v>
      </c>
      <c r="F436">
        <v>2153</v>
      </c>
      <c r="G436" t="s">
        <v>462</v>
      </c>
    </row>
    <row r="437" spans="1:7" x14ac:dyDescent="0.3">
      <c r="A437" t="s">
        <v>184</v>
      </c>
      <c r="B437" t="s">
        <v>30</v>
      </c>
      <c r="C437" t="s">
        <v>141</v>
      </c>
      <c r="D437" s="1">
        <v>43237</v>
      </c>
      <c r="E437">
        <v>4</v>
      </c>
      <c r="F437">
        <v>5306</v>
      </c>
      <c r="G437" t="s">
        <v>462</v>
      </c>
    </row>
    <row r="438" spans="1:7" x14ac:dyDescent="0.3">
      <c r="A438" t="s">
        <v>184</v>
      </c>
      <c r="B438" t="s">
        <v>8</v>
      </c>
      <c r="C438" t="s">
        <v>141</v>
      </c>
      <c r="D438" s="1">
        <v>43238</v>
      </c>
      <c r="E438">
        <v>1</v>
      </c>
      <c r="F438">
        <v>1801</v>
      </c>
      <c r="G438" t="s">
        <v>462</v>
      </c>
    </row>
    <row r="439" spans="1:7" x14ac:dyDescent="0.3">
      <c r="A439" t="s">
        <v>184</v>
      </c>
      <c r="B439" t="s">
        <v>8</v>
      </c>
      <c r="C439" t="s">
        <v>141</v>
      </c>
      <c r="D439" s="1">
        <v>43243</v>
      </c>
      <c r="E439">
        <v>2</v>
      </c>
      <c r="F439">
        <v>2699</v>
      </c>
      <c r="G439" t="s">
        <v>462</v>
      </c>
    </row>
    <row r="440" spans="1:7" x14ac:dyDescent="0.3">
      <c r="A440" t="s">
        <v>184</v>
      </c>
      <c r="B440" t="s">
        <v>26</v>
      </c>
      <c r="C440" t="s">
        <v>141</v>
      </c>
      <c r="D440" s="1">
        <v>43244</v>
      </c>
      <c r="E440">
        <v>1</v>
      </c>
      <c r="F440">
        <v>1616</v>
      </c>
      <c r="G440" t="s">
        <v>462</v>
      </c>
    </row>
    <row r="441" spans="1:7" x14ac:dyDescent="0.3">
      <c r="A441" t="s">
        <v>184</v>
      </c>
      <c r="B441" t="s">
        <v>8</v>
      </c>
      <c r="C441" t="s">
        <v>141</v>
      </c>
      <c r="D441" s="1">
        <v>43245</v>
      </c>
      <c r="E441">
        <v>2</v>
      </c>
      <c r="F441">
        <v>2245</v>
      </c>
      <c r="G441" t="s">
        <v>462</v>
      </c>
    </row>
    <row r="442" spans="1:7" x14ac:dyDescent="0.3">
      <c r="A442" t="s">
        <v>184</v>
      </c>
      <c r="B442" t="s">
        <v>32</v>
      </c>
      <c r="C442" t="s">
        <v>148</v>
      </c>
      <c r="D442" s="1">
        <v>43246</v>
      </c>
      <c r="E442">
        <v>1</v>
      </c>
      <c r="F442">
        <v>0</v>
      </c>
      <c r="G442" t="s">
        <v>462</v>
      </c>
    </row>
    <row r="443" spans="1:7" x14ac:dyDescent="0.3">
      <c r="A443" t="s">
        <v>184</v>
      </c>
      <c r="B443" t="s">
        <v>8</v>
      </c>
      <c r="C443" t="s">
        <v>141</v>
      </c>
      <c r="D443" s="1">
        <v>43248</v>
      </c>
      <c r="E443">
        <v>1</v>
      </c>
      <c r="F443">
        <v>903</v>
      </c>
      <c r="G443" t="s">
        <v>462</v>
      </c>
    </row>
    <row r="444" spans="1:7" x14ac:dyDescent="0.3">
      <c r="A444" t="s">
        <v>184</v>
      </c>
      <c r="B444" t="s">
        <v>30</v>
      </c>
      <c r="C444" t="s">
        <v>141</v>
      </c>
      <c r="D444" s="1">
        <v>43249</v>
      </c>
      <c r="E444">
        <v>4</v>
      </c>
      <c r="F444">
        <v>5306</v>
      </c>
      <c r="G444" t="s">
        <v>462</v>
      </c>
    </row>
    <row r="445" spans="1:7" x14ac:dyDescent="0.3">
      <c r="A445" t="s">
        <v>184</v>
      </c>
      <c r="B445" t="s">
        <v>22</v>
      </c>
      <c r="C445" t="s">
        <v>141</v>
      </c>
      <c r="D445" s="1">
        <v>43250</v>
      </c>
      <c r="E445">
        <v>3</v>
      </c>
      <c r="F445">
        <v>3778</v>
      </c>
      <c r="G445" t="s">
        <v>462</v>
      </c>
    </row>
    <row r="446" spans="1:7" x14ac:dyDescent="0.3">
      <c r="A446" t="s">
        <v>184</v>
      </c>
      <c r="B446" t="s">
        <v>26</v>
      </c>
      <c r="C446" t="s">
        <v>141</v>
      </c>
      <c r="D446" s="1">
        <v>43251</v>
      </c>
      <c r="E446">
        <v>1</v>
      </c>
      <c r="F446">
        <v>537</v>
      </c>
      <c r="G446" t="s">
        <v>462</v>
      </c>
    </row>
    <row r="447" spans="1:7" x14ac:dyDescent="0.3">
      <c r="A447" t="s">
        <v>184</v>
      </c>
      <c r="B447" t="s">
        <v>22</v>
      </c>
      <c r="C447" t="s">
        <v>141</v>
      </c>
      <c r="D447" s="1">
        <v>43251</v>
      </c>
      <c r="E447">
        <v>1</v>
      </c>
      <c r="F447">
        <v>1417</v>
      </c>
      <c r="G447" t="s">
        <v>462</v>
      </c>
    </row>
    <row r="448" spans="1:7" x14ac:dyDescent="0.3">
      <c r="A448" t="s">
        <v>184</v>
      </c>
      <c r="B448" t="s">
        <v>30</v>
      </c>
      <c r="C448" t="s">
        <v>141</v>
      </c>
      <c r="D448" s="1">
        <v>43251</v>
      </c>
      <c r="E448">
        <v>4</v>
      </c>
      <c r="F448">
        <v>5306</v>
      </c>
      <c r="G448" t="s">
        <v>462</v>
      </c>
    </row>
    <row r="449" spans="1:7" x14ac:dyDescent="0.3">
      <c r="A449" t="s">
        <v>184</v>
      </c>
      <c r="B449" t="s">
        <v>22</v>
      </c>
      <c r="C449" t="s">
        <v>141</v>
      </c>
      <c r="D449" s="1">
        <v>43252</v>
      </c>
      <c r="E449">
        <v>1</v>
      </c>
      <c r="F449">
        <v>472</v>
      </c>
      <c r="G449" t="s">
        <v>462</v>
      </c>
    </row>
    <row r="450" spans="1:7" x14ac:dyDescent="0.3">
      <c r="A450" t="s">
        <v>184</v>
      </c>
      <c r="B450" t="s">
        <v>8</v>
      </c>
      <c r="C450" t="s">
        <v>141</v>
      </c>
      <c r="D450" s="1">
        <v>43252</v>
      </c>
      <c r="E450">
        <v>3</v>
      </c>
      <c r="F450">
        <v>4051</v>
      </c>
      <c r="G450" t="s">
        <v>462</v>
      </c>
    </row>
    <row r="451" spans="1:7" x14ac:dyDescent="0.3">
      <c r="A451" t="s">
        <v>184</v>
      </c>
      <c r="B451" t="s">
        <v>28</v>
      </c>
      <c r="C451" t="s">
        <v>141</v>
      </c>
      <c r="D451" s="1">
        <v>43252</v>
      </c>
      <c r="E451">
        <v>10</v>
      </c>
      <c r="F451">
        <v>14815</v>
      </c>
      <c r="G451" t="s">
        <v>462</v>
      </c>
    </row>
    <row r="452" spans="1:7" x14ac:dyDescent="0.3">
      <c r="A452" t="s">
        <v>184</v>
      </c>
      <c r="B452" t="s">
        <v>8</v>
      </c>
      <c r="C452" t="s">
        <v>141</v>
      </c>
      <c r="D452" s="1">
        <v>43257</v>
      </c>
      <c r="E452">
        <v>3</v>
      </c>
      <c r="F452">
        <v>4495</v>
      </c>
      <c r="G452" t="s">
        <v>462</v>
      </c>
    </row>
    <row r="453" spans="1:7" x14ac:dyDescent="0.3">
      <c r="A453" t="s">
        <v>184</v>
      </c>
      <c r="B453" t="s">
        <v>26</v>
      </c>
      <c r="C453" t="s">
        <v>141</v>
      </c>
      <c r="D453" s="1">
        <v>43258</v>
      </c>
      <c r="E453">
        <v>2</v>
      </c>
      <c r="F453">
        <v>2690</v>
      </c>
      <c r="G453" t="s">
        <v>462</v>
      </c>
    </row>
    <row r="454" spans="1:7" x14ac:dyDescent="0.3">
      <c r="A454" t="s">
        <v>184</v>
      </c>
      <c r="B454" t="s">
        <v>22</v>
      </c>
      <c r="C454" t="s">
        <v>141</v>
      </c>
      <c r="D454" s="1">
        <v>43258</v>
      </c>
      <c r="E454">
        <v>1</v>
      </c>
      <c r="F454">
        <v>1417</v>
      </c>
      <c r="G454" t="s">
        <v>462</v>
      </c>
    </row>
    <row r="455" spans="1:7" x14ac:dyDescent="0.3">
      <c r="A455" t="s">
        <v>184</v>
      </c>
      <c r="B455" t="s">
        <v>8</v>
      </c>
      <c r="C455" t="s">
        <v>141</v>
      </c>
      <c r="D455" s="1">
        <v>43259</v>
      </c>
      <c r="E455">
        <v>1</v>
      </c>
      <c r="F455">
        <v>449</v>
      </c>
      <c r="G455" t="s">
        <v>462</v>
      </c>
    </row>
    <row r="456" spans="1:7" x14ac:dyDescent="0.3">
      <c r="A456" t="s">
        <v>184</v>
      </c>
      <c r="B456" t="s">
        <v>30</v>
      </c>
      <c r="C456" t="s">
        <v>141</v>
      </c>
      <c r="D456" s="1">
        <v>43259</v>
      </c>
      <c r="E456">
        <v>18</v>
      </c>
      <c r="F456">
        <v>23866</v>
      </c>
      <c r="G456" t="s">
        <v>462</v>
      </c>
    </row>
    <row r="457" spans="1:7" x14ac:dyDescent="0.3">
      <c r="A457" t="s">
        <v>184</v>
      </c>
      <c r="B457" t="s">
        <v>8</v>
      </c>
      <c r="C457" t="s">
        <v>141</v>
      </c>
      <c r="D457" s="1">
        <v>43262</v>
      </c>
      <c r="E457">
        <v>1</v>
      </c>
      <c r="F457">
        <v>898</v>
      </c>
      <c r="G457" t="s">
        <v>462</v>
      </c>
    </row>
    <row r="458" spans="1:7" x14ac:dyDescent="0.3">
      <c r="A458" t="s">
        <v>184</v>
      </c>
      <c r="B458" t="s">
        <v>28</v>
      </c>
      <c r="C458" t="s">
        <v>141</v>
      </c>
      <c r="D458" s="1">
        <v>43262</v>
      </c>
      <c r="E458">
        <v>3</v>
      </c>
      <c r="F458">
        <v>4940</v>
      </c>
      <c r="G458" t="s">
        <v>462</v>
      </c>
    </row>
    <row r="459" spans="1:7" x14ac:dyDescent="0.3">
      <c r="A459" t="s">
        <v>184</v>
      </c>
      <c r="B459" t="s">
        <v>8</v>
      </c>
      <c r="C459" t="s">
        <v>141</v>
      </c>
      <c r="D459" s="1">
        <v>43264</v>
      </c>
      <c r="E459">
        <v>1</v>
      </c>
      <c r="F459">
        <v>449</v>
      </c>
      <c r="G459" t="s">
        <v>462</v>
      </c>
    </row>
    <row r="460" spans="1:7" x14ac:dyDescent="0.3">
      <c r="A460" t="s">
        <v>184</v>
      </c>
      <c r="B460" t="s">
        <v>26</v>
      </c>
      <c r="C460" t="s">
        <v>141</v>
      </c>
      <c r="D460" s="1">
        <v>43265</v>
      </c>
      <c r="E460">
        <v>1</v>
      </c>
      <c r="F460">
        <v>2153</v>
      </c>
      <c r="G460" t="s">
        <v>462</v>
      </c>
    </row>
    <row r="461" spans="1:7" x14ac:dyDescent="0.3">
      <c r="A461" t="s">
        <v>184</v>
      </c>
      <c r="B461" t="s">
        <v>22</v>
      </c>
      <c r="C461" t="s">
        <v>141</v>
      </c>
      <c r="D461" s="1">
        <v>43265</v>
      </c>
      <c r="E461">
        <v>1</v>
      </c>
      <c r="F461">
        <v>472</v>
      </c>
      <c r="G461" t="s">
        <v>462</v>
      </c>
    </row>
    <row r="462" spans="1:7" x14ac:dyDescent="0.3">
      <c r="A462" t="s">
        <v>184</v>
      </c>
      <c r="B462" t="s">
        <v>8</v>
      </c>
      <c r="C462" t="s">
        <v>141</v>
      </c>
      <c r="D462" s="1">
        <v>43265</v>
      </c>
      <c r="E462">
        <v>1</v>
      </c>
      <c r="F462">
        <v>449</v>
      </c>
      <c r="G462" t="s">
        <v>462</v>
      </c>
    </row>
    <row r="463" spans="1:7" x14ac:dyDescent="0.3">
      <c r="A463" t="s">
        <v>184</v>
      </c>
      <c r="B463" t="s">
        <v>30</v>
      </c>
      <c r="C463" t="s">
        <v>141</v>
      </c>
      <c r="D463" s="1">
        <v>43265</v>
      </c>
      <c r="E463">
        <v>4</v>
      </c>
      <c r="F463">
        <v>5306</v>
      </c>
      <c r="G463" t="s">
        <v>462</v>
      </c>
    </row>
    <row r="464" spans="1:7" x14ac:dyDescent="0.3">
      <c r="A464" t="s">
        <v>184</v>
      </c>
      <c r="B464" t="s">
        <v>8</v>
      </c>
      <c r="C464" t="s">
        <v>141</v>
      </c>
      <c r="D464" s="1">
        <v>43266</v>
      </c>
      <c r="E464">
        <v>3</v>
      </c>
      <c r="F464">
        <v>3602</v>
      </c>
      <c r="G464" t="s">
        <v>462</v>
      </c>
    </row>
    <row r="465" spans="1:7" x14ac:dyDescent="0.3">
      <c r="A465" t="s">
        <v>184</v>
      </c>
      <c r="B465" t="s">
        <v>24</v>
      </c>
      <c r="C465" t="s">
        <v>141</v>
      </c>
      <c r="D465" s="1">
        <v>43269</v>
      </c>
      <c r="E465">
        <v>4</v>
      </c>
      <c r="F465">
        <v>3583</v>
      </c>
      <c r="G465" t="s">
        <v>462</v>
      </c>
    </row>
    <row r="466" spans="1:7" x14ac:dyDescent="0.3">
      <c r="A466" t="s">
        <v>184</v>
      </c>
      <c r="B466" t="s">
        <v>8</v>
      </c>
      <c r="C466" t="s">
        <v>141</v>
      </c>
      <c r="D466" s="1">
        <v>43269</v>
      </c>
      <c r="E466">
        <v>4</v>
      </c>
      <c r="F466">
        <v>4954</v>
      </c>
      <c r="G466" t="s">
        <v>462</v>
      </c>
    </row>
    <row r="467" spans="1:7" x14ac:dyDescent="0.3">
      <c r="A467" t="s">
        <v>184</v>
      </c>
      <c r="B467" t="s">
        <v>22</v>
      </c>
      <c r="C467" t="s">
        <v>141</v>
      </c>
      <c r="D467" s="1">
        <v>43272</v>
      </c>
      <c r="E467">
        <v>1</v>
      </c>
      <c r="F467">
        <v>1889</v>
      </c>
      <c r="G467" t="s">
        <v>462</v>
      </c>
    </row>
    <row r="468" spans="1:7" x14ac:dyDescent="0.3">
      <c r="A468" t="s">
        <v>184</v>
      </c>
      <c r="B468" t="s">
        <v>22</v>
      </c>
      <c r="C468" t="s">
        <v>141</v>
      </c>
      <c r="D468" s="1">
        <v>43299</v>
      </c>
      <c r="E468">
        <v>1</v>
      </c>
      <c r="F468">
        <v>472</v>
      </c>
      <c r="G468" t="s">
        <v>462</v>
      </c>
    </row>
    <row r="469" spans="1:7" x14ac:dyDescent="0.3">
      <c r="A469" t="s">
        <v>184</v>
      </c>
      <c r="B469" t="s">
        <v>8</v>
      </c>
      <c r="C469" t="s">
        <v>141</v>
      </c>
      <c r="D469" s="1">
        <v>43299</v>
      </c>
      <c r="E469">
        <v>1</v>
      </c>
      <c r="F469">
        <v>1352</v>
      </c>
      <c r="G469" t="s">
        <v>462</v>
      </c>
    </row>
    <row r="470" spans="1:7" x14ac:dyDescent="0.3">
      <c r="A470" t="s">
        <v>184</v>
      </c>
      <c r="B470" t="s">
        <v>26</v>
      </c>
      <c r="C470" t="s">
        <v>141</v>
      </c>
      <c r="D470" s="1">
        <v>43300</v>
      </c>
      <c r="E470">
        <v>1</v>
      </c>
      <c r="F470">
        <v>1616</v>
      </c>
      <c r="G470" t="s">
        <v>462</v>
      </c>
    </row>
    <row r="471" spans="1:7" x14ac:dyDescent="0.3">
      <c r="A471" t="s">
        <v>184</v>
      </c>
      <c r="B471" t="s">
        <v>8</v>
      </c>
      <c r="C471" t="s">
        <v>141</v>
      </c>
      <c r="D471" s="1">
        <v>43300</v>
      </c>
      <c r="E471">
        <v>1</v>
      </c>
      <c r="F471">
        <v>449</v>
      </c>
      <c r="G471" t="s">
        <v>462</v>
      </c>
    </row>
    <row r="472" spans="1:7" x14ac:dyDescent="0.3">
      <c r="A472" t="s">
        <v>184</v>
      </c>
      <c r="B472" t="s">
        <v>8</v>
      </c>
      <c r="C472" t="s">
        <v>141</v>
      </c>
      <c r="D472" s="1">
        <v>43304</v>
      </c>
      <c r="E472">
        <v>1</v>
      </c>
      <c r="F472">
        <v>1801</v>
      </c>
      <c r="G472" t="s">
        <v>462</v>
      </c>
    </row>
    <row r="473" spans="1:7" x14ac:dyDescent="0.3">
      <c r="A473" t="s">
        <v>184</v>
      </c>
      <c r="B473" t="s">
        <v>8</v>
      </c>
      <c r="C473" t="s">
        <v>141</v>
      </c>
      <c r="D473" s="1">
        <v>43311</v>
      </c>
      <c r="E473">
        <v>1</v>
      </c>
      <c r="F473">
        <v>1801</v>
      </c>
      <c r="G473" t="s">
        <v>462</v>
      </c>
    </row>
    <row r="474" spans="1:7" x14ac:dyDescent="0.3">
      <c r="A474" t="s">
        <v>184</v>
      </c>
      <c r="B474" t="s">
        <v>8</v>
      </c>
      <c r="C474" t="s">
        <v>141</v>
      </c>
      <c r="D474" s="1">
        <v>43490</v>
      </c>
      <c r="E474">
        <v>1</v>
      </c>
      <c r="F474">
        <v>449</v>
      </c>
      <c r="G474" t="s">
        <v>462</v>
      </c>
    </row>
    <row r="475" spans="1:7" x14ac:dyDescent="0.3">
      <c r="A475" t="s">
        <v>184</v>
      </c>
      <c r="B475" t="s">
        <v>8</v>
      </c>
      <c r="C475" t="s">
        <v>141</v>
      </c>
      <c r="D475" s="1">
        <v>43500</v>
      </c>
      <c r="E475">
        <v>1</v>
      </c>
      <c r="F475">
        <v>449</v>
      </c>
      <c r="G475" t="s">
        <v>462</v>
      </c>
    </row>
    <row r="476" spans="1:7" x14ac:dyDescent="0.3">
      <c r="A476" t="s">
        <v>184</v>
      </c>
      <c r="B476" t="s">
        <v>8</v>
      </c>
      <c r="C476" t="s">
        <v>141</v>
      </c>
      <c r="D476" s="1">
        <v>43516</v>
      </c>
      <c r="E476">
        <v>1</v>
      </c>
      <c r="F476">
        <v>449</v>
      </c>
      <c r="G476" t="s">
        <v>462</v>
      </c>
    </row>
    <row r="477" spans="1:7" x14ac:dyDescent="0.3">
      <c r="A477" t="s">
        <v>184</v>
      </c>
      <c r="B477" t="s">
        <v>8</v>
      </c>
      <c r="C477" t="s">
        <v>141</v>
      </c>
      <c r="D477" s="1">
        <v>43537</v>
      </c>
      <c r="E477">
        <v>1</v>
      </c>
      <c r="F477">
        <v>444</v>
      </c>
      <c r="G477" t="s">
        <v>462</v>
      </c>
    </row>
    <row r="478" spans="1:7" x14ac:dyDescent="0.3">
      <c r="A478" t="s">
        <v>184</v>
      </c>
      <c r="B478" t="s">
        <v>8</v>
      </c>
      <c r="C478" t="s">
        <v>141</v>
      </c>
      <c r="D478" s="1">
        <v>43552</v>
      </c>
      <c r="E478">
        <v>1</v>
      </c>
      <c r="F478">
        <v>444</v>
      </c>
      <c r="G478" t="s">
        <v>462</v>
      </c>
    </row>
    <row r="479" spans="1:7" x14ac:dyDescent="0.3">
      <c r="A479" t="s">
        <v>184</v>
      </c>
      <c r="B479" t="s">
        <v>8</v>
      </c>
      <c r="C479" t="s">
        <v>141</v>
      </c>
      <c r="D479" s="1">
        <v>43585</v>
      </c>
      <c r="E479">
        <v>1</v>
      </c>
      <c r="F479">
        <v>0</v>
      </c>
      <c r="G479" t="s">
        <v>462</v>
      </c>
    </row>
    <row r="480" spans="1:7" x14ac:dyDescent="0.3">
      <c r="A480" t="s">
        <v>185</v>
      </c>
      <c r="B480" t="s">
        <v>34</v>
      </c>
      <c r="C480" t="s">
        <v>138</v>
      </c>
      <c r="D480" s="1">
        <v>43014</v>
      </c>
      <c r="E480">
        <v>1</v>
      </c>
      <c r="F480">
        <v>505</v>
      </c>
      <c r="G480" t="s">
        <v>462</v>
      </c>
    </row>
    <row r="481" spans="1:7" x14ac:dyDescent="0.3">
      <c r="A481" t="s">
        <v>185</v>
      </c>
      <c r="B481" t="s">
        <v>34</v>
      </c>
      <c r="C481" t="s">
        <v>138</v>
      </c>
      <c r="D481" s="1">
        <v>43021</v>
      </c>
      <c r="E481">
        <v>1</v>
      </c>
      <c r="F481">
        <v>1514</v>
      </c>
      <c r="G481" t="s">
        <v>462</v>
      </c>
    </row>
    <row r="482" spans="1:7" x14ac:dyDescent="0.3">
      <c r="A482" t="s">
        <v>185</v>
      </c>
      <c r="B482" t="s">
        <v>34</v>
      </c>
      <c r="C482" t="s">
        <v>138</v>
      </c>
      <c r="D482" s="1">
        <v>43028</v>
      </c>
      <c r="E482">
        <v>1</v>
      </c>
      <c r="F482">
        <v>2023</v>
      </c>
      <c r="G482" t="s">
        <v>462</v>
      </c>
    </row>
    <row r="483" spans="1:7" x14ac:dyDescent="0.3">
      <c r="A483" t="s">
        <v>185</v>
      </c>
      <c r="B483" t="s">
        <v>34</v>
      </c>
      <c r="C483" t="s">
        <v>138</v>
      </c>
      <c r="D483" s="1">
        <v>43035</v>
      </c>
      <c r="E483">
        <v>25</v>
      </c>
      <c r="F483">
        <v>37889</v>
      </c>
      <c r="G483" t="s">
        <v>462</v>
      </c>
    </row>
    <row r="484" spans="1:7" x14ac:dyDescent="0.3">
      <c r="A484" t="s">
        <v>185</v>
      </c>
      <c r="B484" t="s">
        <v>34</v>
      </c>
      <c r="C484" t="s">
        <v>138</v>
      </c>
      <c r="D484" s="1">
        <v>43139</v>
      </c>
      <c r="E484">
        <v>1</v>
      </c>
      <c r="F484">
        <v>593</v>
      </c>
      <c r="G484" t="s">
        <v>462</v>
      </c>
    </row>
    <row r="485" spans="1:7" x14ac:dyDescent="0.3">
      <c r="A485" t="s">
        <v>185</v>
      </c>
      <c r="B485" t="s">
        <v>16</v>
      </c>
      <c r="C485" t="s">
        <v>144</v>
      </c>
      <c r="D485" s="1">
        <v>43147</v>
      </c>
      <c r="E485">
        <v>1</v>
      </c>
      <c r="F485">
        <v>597</v>
      </c>
      <c r="G485" t="s">
        <v>462</v>
      </c>
    </row>
    <row r="486" spans="1:7" x14ac:dyDescent="0.3">
      <c r="A486" t="s">
        <v>185</v>
      </c>
      <c r="B486" t="s">
        <v>16</v>
      </c>
      <c r="C486" t="s">
        <v>144</v>
      </c>
      <c r="D486" s="1">
        <v>43157</v>
      </c>
      <c r="E486">
        <v>1</v>
      </c>
      <c r="F486">
        <v>2389</v>
      </c>
      <c r="G486" t="s">
        <v>462</v>
      </c>
    </row>
    <row r="487" spans="1:7" x14ac:dyDescent="0.3">
      <c r="A487" t="s">
        <v>185</v>
      </c>
      <c r="B487" t="s">
        <v>34</v>
      </c>
      <c r="C487" t="s">
        <v>138</v>
      </c>
      <c r="D487" s="1">
        <v>43160</v>
      </c>
      <c r="E487">
        <v>1</v>
      </c>
      <c r="F487">
        <v>593</v>
      </c>
      <c r="G487" t="s">
        <v>462</v>
      </c>
    </row>
    <row r="488" spans="1:7" x14ac:dyDescent="0.3">
      <c r="A488" t="s">
        <v>185</v>
      </c>
      <c r="B488" t="s">
        <v>16</v>
      </c>
      <c r="C488" t="s">
        <v>144</v>
      </c>
      <c r="D488" s="1">
        <v>43161</v>
      </c>
      <c r="E488">
        <v>1</v>
      </c>
      <c r="F488">
        <v>1194</v>
      </c>
      <c r="G488" t="s">
        <v>462</v>
      </c>
    </row>
    <row r="489" spans="1:7" x14ac:dyDescent="0.3">
      <c r="A489" t="s">
        <v>185</v>
      </c>
      <c r="B489" t="s">
        <v>16</v>
      </c>
      <c r="C489" t="s">
        <v>144</v>
      </c>
      <c r="D489" s="1">
        <v>43164</v>
      </c>
      <c r="E489">
        <v>8</v>
      </c>
      <c r="F489">
        <v>13736</v>
      </c>
      <c r="G489" t="s">
        <v>462</v>
      </c>
    </row>
    <row r="490" spans="1:7" x14ac:dyDescent="0.3">
      <c r="A490" t="s">
        <v>185</v>
      </c>
      <c r="B490" t="s">
        <v>16</v>
      </c>
      <c r="C490" t="s">
        <v>144</v>
      </c>
      <c r="D490" s="1">
        <v>43171</v>
      </c>
      <c r="E490">
        <v>1</v>
      </c>
      <c r="F490">
        <v>1194</v>
      </c>
      <c r="G490" t="s">
        <v>462</v>
      </c>
    </row>
    <row r="491" spans="1:7" x14ac:dyDescent="0.3">
      <c r="A491" t="s">
        <v>185</v>
      </c>
      <c r="B491" t="s">
        <v>16</v>
      </c>
      <c r="C491" t="s">
        <v>144</v>
      </c>
      <c r="D491" s="1">
        <v>43193</v>
      </c>
      <c r="E491">
        <v>1</v>
      </c>
      <c r="F491">
        <v>597</v>
      </c>
      <c r="G491" t="s">
        <v>462</v>
      </c>
    </row>
    <row r="492" spans="1:7" x14ac:dyDescent="0.3">
      <c r="A492" t="s">
        <v>185</v>
      </c>
      <c r="B492" t="s">
        <v>16</v>
      </c>
      <c r="C492" t="s">
        <v>144</v>
      </c>
      <c r="D492" s="1">
        <v>43199</v>
      </c>
      <c r="E492">
        <v>1</v>
      </c>
      <c r="F492">
        <v>597</v>
      </c>
      <c r="G492" t="s">
        <v>462</v>
      </c>
    </row>
    <row r="493" spans="1:7" x14ac:dyDescent="0.3">
      <c r="A493" t="s">
        <v>185</v>
      </c>
      <c r="B493" t="s">
        <v>16</v>
      </c>
      <c r="C493" t="s">
        <v>144</v>
      </c>
      <c r="D493" s="1">
        <v>43203</v>
      </c>
      <c r="E493">
        <v>1</v>
      </c>
      <c r="F493">
        <v>597</v>
      </c>
      <c r="G493" t="s">
        <v>462</v>
      </c>
    </row>
    <row r="494" spans="1:7" x14ac:dyDescent="0.3">
      <c r="A494" t="s">
        <v>185</v>
      </c>
      <c r="B494" t="s">
        <v>36</v>
      </c>
      <c r="C494" t="s">
        <v>150</v>
      </c>
      <c r="D494" s="1">
        <v>43214</v>
      </c>
      <c r="E494">
        <v>17</v>
      </c>
      <c r="F494">
        <v>17472</v>
      </c>
      <c r="G494" t="s">
        <v>462</v>
      </c>
    </row>
    <row r="495" spans="1:7" x14ac:dyDescent="0.3">
      <c r="A495" t="s">
        <v>185</v>
      </c>
      <c r="B495" t="s">
        <v>16</v>
      </c>
      <c r="C495" t="s">
        <v>144</v>
      </c>
      <c r="D495" s="1">
        <v>43216</v>
      </c>
      <c r="E495">
        <v>2</v>
      </c>
      <c r="F495">
        <v>2986</v>
      </c>
      <c r="G495" t="s">
        <v>462</v>
      </c>
    </row>
    <row r="496" spans="1:7" x14ac:dyDescent="0.3">
      <c r="A496" t="s">
        <v>185</v>
      </c>
      <c r="B496" t="s">
        <v>16</v>
      </c>
      <c r="C496" t="s">
        <v>144</v>
      </c>
      <c r="D496" s="1">
        <v>43217</v>
      </c>
      <c r="E496">
        <v>2</v>
      </c>
      <c r="F496">
        <v>2986</v>
      </c>
      <c r="G496" t="s">
        <v>462</v>
      </c>
    </row>
    <row r="497" spans="1:7" x14ac:dyDescent="0.3">
      <c r="A497" t="s">
        <v>185</v>
      </c>
      <c r="B497" t="s">
        <v>16</v>
      </c>
      <c r="C497" t="s">
        <v>144</v>
      </c>
      <c r="D497" s="1">
        <v>43227</v>
      </c>
      <c r="E497">
        <v>1</v>
      </c>
      <c r="F497">
        <v>597</v>
      </c>
      <c r="G497" t="s">
        <v>462</v>
      </c>
    </row>
    <row r="498" spans="1:7" x14ac:dyDescent="0.3">
      <c r="A498" t="s">
        <v>185</v>
      </c>
      <c r="B498" t="s">
        <v>16</v>
      </c>
      <c r="C498" t="s">
        <v>144</v>
      </c>
      <c r="D498" s="1">
        <v>43234</v>
      </c>
      <c r="E498">
        <v>1</v>
      </c>
      <c r="F498">
        <v>1194</v>
      </c>
      <c r="G498" t="s">
        <v>462</v>
      </c>
    </row>
    <row r="499" spans="1:7" x14ac:dyDescent="0.3">
      <c r="A499" t="s">
        <v>185</v>
      </c>
      <c r="B499" t="s">
        <v>16</v>
      </c>
      <c r="C499" t="s">
        <v>144</v>
      </c>
      <c r="D499" s="1">
        <v>43238</v>
      </c>
      <c r="E499">
        <v>1</v>
      </c>
      <c r="F499">
        <v>796</v>
      </c>
      <c r="G499" t="s">
        <v>462</v>
      </c>
    </row>
    <row r="500" spans="1:7" x14ac:dyDescent="0.3">
      <c r="A500" t="s">
        <v>185</v>
      </c>
      <c r="B500" t="s">
        <v>36</v>
      </c>
      <c r="C500" t="s">
        <v>150</v>
      </c>
      <c r="D500" s="1">
        <v>43251</v>
      </c>
      <c r="E500">
        <v>26</v>
      </c>
      <c r="F500">
        <v>26722</v>
      </c>
      <c r="G500" t="s">
        <v>462</v>
      </c>
    </row>
    <row r="501" spans="1:7" x14ac:dyDescent="0.3">
      <c r="A501" t="s">
        <v>185</v>
      </c>
      <c r="B501" t="s">
        <v>16</v>
      </c>
      <c r="C501" t="s">
        <v>144</v>
      </c>
      <c r="D501" s="1">
        <v>43262</v>
      </c>
      <c r="E501">
        <v>1</v>
      </c>
      <c r="F501">
        <v>796</v>
      </c>
      <c r="G501" t="s">
        <v>462</v>
      </c>
    </row>
    <row r="502" spans="1:7" x14ac:dyDescent="0.3">
      <c r="A502" t="s">
        <v>185</v>
      </c>
      <c r="B502" t="s">
        <v>16</v>
      </c>
      <c r="C502" t="s">
        <v>144</v>
      </c>
      <c r="D502" s="1">
        <v>43264</v>
      </c>
      <c r="E502">
        <v>1</v>
      </c>
      <c r="F502">
        <v>796</v>
      </c>
      <c r="G502" t="s">
        <v>462</v>
      </c>
    </row>
    <row r="503" spans="1:7" x14ac:dyDescent="0.3">
      <c r="A503" t="s">
        <v>185</v>
      </c>
      <c r="B503" t="s">
        <v>16</v>
      </c>
      <c r="C503" t="s">
        <v>144</v>
      </c>
      <c r="D503" s="1">
        <v>43265</v>
      </c>
      <c r="E503">
        <v>1</v>
      </c>
      <c r="F503">
        <v>3185</v>
      </c>
      <c r="G503" t="s">
        <v>462</v>
      </c>
    </row>
    <row r="504" spans="1:7" x14ac:dyDescent="0.3">
      <c r="A504" t="s">
        <v>185</v>
      </c>
      <c r="B504" t="s">
        <v>16</v>
      </c>
      <c r="C504" t="s">
        <v>144</v>
      </c>
      <c r="D504" s="1">
        <v>43269</v>
      </c>
      <c r="E504">
        <v>1</v>
      </c>
      <c r="F504">
        <v>796</v>
      </c>
      <c r="G504" t="s">
        <v>462</v>
      </c>
    </row>
    <row r="505" spans="1:7" x14ac:dyDescent="0.3">
      <c r="A505" t="s">
        <v>185</v>
      </c>
      <c r="B505" t="s">
        <v>16</v>
      </c>
      <c r="C505" t="s">
        <v>144</v>
      </c>
      <c r="D505" s="1">
        <v>43273</v>
      </c>
      <c r="E505">
        <v>1</v>
      </c>
      <c r="F505">
        <v>2389</v>
      </c>
      <c r="G505" t="s">
        <v>462</v>
      </c>
    </row>
    <row r="506" spans="1:7" x14ac:dyDescent="0.3">
      <c r="A506" t="s">
        <v>185</v>
      </c>
      <c r="B506" t="s">
        <v>16</v>
      </c>
      <c r="C506" t="s">
        <v>144</v>
      </c>
      <c r="D506" s="1">
        <v>43280</v>
      </c>
      <c r="E506">
        <v>1</v>
      </c>
      <c r="F506">
        <v>3185</v>
      </c>
      <c r="G506" t="s">
        <v>462</v>
      </c>
    </row>
    <row r="507" spans="1:7" x14ac:dyDescent="0.3">
      <c r="A507" t="s">
        <v>185</v>
      </c>
      <c r="B507" t="s">
        <v>16</v>
      </c>
      <c r="C507" t="s">
        <v>144</v>
      </c>
      <c r="D507" s="1">
        <v>43290</v>
      </c>
      <c r="E507">
        <v>2</v>
      </c>
      <c r="F507">
        <v>5574</v>
      </c>
      <c r="G507" t="s">
        <v>462</v>
      </c>
    </row>
    <row r="508" spans="1:7" x14ac:dyDescent="0.3">
      <c r="A508" t="s">
        <v>185</v>
      </c>
      <c r="B508" t="s">
        <v>16</v>
      </c>
      <c r="C508" t="s">
        <v>144</v>
      </c>
      <c r="D508" s="1">
        <v>43294</v>
      </c>
      <c r="E508">
        <v>1</v>
      </c>
      <c r="F508">
        <v>796</v>
      </c>
      <c r="G508" t="s">
        <v>462</v>
      </c>
    </row>
    <row r="509" spans="1:7" x14ac:dyDescent="0.3">
      <c r="A509" t="s">
        <v>185</v>
      </c>
      <c r="B509" t="s">
        <v>16</v>
      </c>
      <c r="C509" t="s">
        <v>144</v>
      </c>
      <c r="D509" s="1">
        <v>43301</v>
      </c>
      <c r="E509">
        <v>1</v>
      </c>
      <c r="F509">
        <v>796</v>
      </c>
      <c r="G509" t="s">
        <v>462</v>
      </c>
    </row>
    <row r="510" spans="1:7" x14ac:dyDescent="0.3">
      <c r="A510" t="s">
        <v>185</v>
      </c>
      <c r="B510" t="s">
        <v>16</v>
      </c>
      <c r="C510" t="s">
        <v>144</v>
      </c>
      <c r="D510" s="1">
        <v>43308</v>
      </c>
      <c r="E510">
        <v>1</v>
      </c>
      <c r="F510">
        <v>796</v>
      </c>
      <c r="G510" t="s">
        <v>462</v>
      </c>
    </row>
    <row r="511" spans="1:7" x14ac:dyDescent="0.3">
      <c r="A511" t="s">
        <v>185</v>
      </c>
      <c r="B511" t="s">
        <v>16</v>
      </c>
      <c r="C511" t="s">
        <v>144</v>
      </c>
      <c r="D511" s="1">
        <v>43315</v>
      </c>
      <c r="E511">
        <v>1</v>
      </c>
      <c r="F511">
        <v>1593</v>
      </c>
      <c r="G511" t="s">
        <v>462</v>
      </c>
    </row>
    <row r="512" spans="1:7" x14ac:dyDescent="0.3">
      <c r="A512" t="s">
        <v>185</v>
      </c>
      <c r="B512" t="s">
        <v>34</v>
      </c>
      <c r="C512" t="s">
        <v>138</v>
      </c>
      <c r="D512" s="1">
        <v>43385</v>
      </c>
      <c r="E512">
        <v>1</v>
      </c>
      <c r="F512">
        <v>514</v>
      </c>
      <c r="G512" t="s">
        <v>462</v>
      </c>
    </row>
    <row r="513" spans="1:7" x14ac:dyDescent="0.3">
      <c r="A513" t="s">
        <v>185</v>
      </c>
      <c r="B513" t="s">
        <v>16</v>
      </c>
      <c r="C513" t="s">
        <v>144</v>
      </c>
      <c r="D513" s="1">
        <v>43390</v>
      </c>
      <c r="E513">
        <v>1</v>
      </c>
      <c r="F513">
        <v>4759</v>
      </c>
      <c r="G513" t="s">
        <v>462</v>
      </c>
    </row>
    <row r="514" spans="1:7" x14ac:dyDescent="0.3">
      <c r="A514" t="s">
        <v>185</v>
      </c>
      <c r="B514" t="s">
        <v>16</v>
      </c>
      <c r="C514" t="s">
        <v>144</v>
      </c>
      <c r="D514" s="1">
        <v>43398</v>
      </c>
      <c r="E514">
        <v>1</v>
      </c>
      <c r="F514">
        <v>1190</v>
      </c>
      <c r="G514" t="s">
        <v>462</v>
      </c>
    </row>
    <row r="515" spans="1:7" x14ac:dyDescent="0.3">
      <c r="A515" t="s">
        <v>185</v>
      </c>
      <c r="B515" t="s">
        <v>16</v>
      </c>
      <c r="C515" t="s">
        <v>144</v>
      </c>
      <c r="D515" s="1">
        <v>43399</v>
      </c>
      <c r="E515">
        <v>1</v>
      </c>
      <c r="F515">
        <v>1190</v>
      </c>
      <c r="G515" t="s">
        <v>462</v>
      </c>
    </row>
    <row r="516" spans="1:7" x14ac:dyDescent="0.3">
      <c r="A516" t="s">
        <v>185</v>
      </c>
      <c r="B516" t="s">
        <v>34</v>
      </c>
      <c r="C516" t="s">
        <v>138</v>
      </c>
      <c r="D516" s="1">
        <v>43404</v>
      </c>
      <c r="E516">
        <v>3</v>
      </c>
      <c r="F516">
        <v>4106</v>
      </c>
      <c r="G516" t="s">
        <v>462</v>
      </c>
    </row>
    <row r="517" spans="1:7" x14ac:dyDescent="0.3">
      <c r="A517" t="s">
        <v>185</v>
      </c>
      <c r="B517" t="s">
        <v>16</v>
      </c>
      <c r="C517" t="s">
        <v>144</v>
      </c>
      <c r="D517" s="1">
        <v>43409</v>
      </c>
      <c r="E517">
        <v>2</v>
      </c>
      <c r="F517">
        <v>5949</v>
      </c>
      <c r="G517" t="s">
        <v>462</v>
      </c>
    </row>
    <row r="518" spans="1:7" x14ac:dyDescent="0.3">
      <c r="A518" t="s">
        <v>185</v>
      </c>
      <c r="B518" t="s">
        <v>16</v>
      </c>
      <c r="C518" t="s">
        <v>144</v>
      </c>
      <c r="D518" s="1">
        <v>43410</v>
      </c>
      <c r="E518">
        <v>2</v>
      </c>
      <c r="F518">
        <v>5949</v>
      </c>
      <c r="G518" t="s">
        <v>462</v>
      </c>
    </row>
    <row r="519" spans="1:7" x14ac:dyDescent="0.3">
      <c r="A519" t="s">
        <v>185</v>
      </c>
      <c r="B519" t="s">
        <v>34</v>
      </c>
      <c r="C519" t="s">
        <v>138</v>
      </c>
      <c r="D519" s="1">
        <v>43441</v>
      </c>
      <c r="E519">
        <v>1</v>
      </c>
      <c r="F519">
        <v>514</v>
      </c>
      <c r="G519" t="s">
        <v>462</v>
      </c>
    </row>
    <row r="520" spans="1:7" x14ac:dyDescent="0.3">
      <c r="A520" t="s">
        <v>185</v>
      </c>
      <c r="B520" t="s">
        <v>34</v>
      </c>
      <c r="C520" t="s">
        <v>138</v>
      </c>
      <c r="D520" s="1">
        <v>43448</v>
      </c>
      <c r="E520">
        <v>1</v>
      </c>
      <c r="F520">
        <v>514</v>
      </c>
      <c r="G520" t="s">
        <v>462</v>
      </c>
    </row>
    <row r="521" spans="1:7" x14ac:dyDescent="0.3">
      <c r="A521" t="s">
        <v>185</v>
      </c>
      <c r="B521" t="s">
        <v>34</v>
      </c>
      <c r="C521" t="s">
        <v>138</v>
      </c>
      <c r="D521" s="1">
        <v>43455</v>
      </c>
      <c r="E521">
        <v>1</v>
      </c>
      <c r="F521">
        <v>514</v>
      </c>
      <c r="G521" t="s">
        <v>462</v>
      </c>
    </row>
    <row r="522" spans="1:7" x14ac:dyDescent="0.3">
      <c r="A522" t="s">
        <v>185</v>
      </c>
      <c r="B522" t="s">
        <v>38</v>
      </c>
      <c r="C522" t="s">
        <v>138</v>
      </c>
      <c r="D522" s="1">
        <v>43462</v>
      </c>
      <c r="E522">
        <v>1</v>
      </c>
      <c r="F522">
        <v>0</v>
      </c>
      <c r="G522" t="s">
        <v>462</v>
      </c>
    </row>
    <row r="523" spans="1:7" x14ac:dyDescent="0.3">
      <c r="A523" t="s">
        <v>185</v>
      </c>
      <c r="B523" t="s">
        <v>34</v>
      </c>
      <c r="C523" t="s">
        <v>138</v>
      </c>
      <c r="D523" s="1">
        <v>43493</v>
      </c>
      <c r="E523">
        <v>1</v>
      </c>
      <c r="F523">
        <v>514</v>
      </c>
      <c r="G523" t="s">
        <v>462</v>
      </c>
    </row>
    <row r="524" spans="1:7" x14ac:dyDescent="0.3">
      <c r="A524" t="s">
        <v>185</v>
      </c>
      <c r="B524" t="s">
        <v>34</v>
      </c>
      <c r="C524" t="s">
        <v>138</v>
      </c>
      <c r="D524" s="1">
        <v>43497</v>
      </c>
      <c r="E524">
        <v>1</v>
      </c>
      <c r="F524">
        <v>514</v>
      </c>
      <c r="G524" t="s">
        <v>462</v>
      </c>
    </row>
    <row r="525" spans="1:7" x14ac:dyDescent="0.3">
      <c r="A525" t="s">
        <v>185</v>
      </c>
      <c r="B525" t="s">
        <v>34</v>
      </c>
      <c r="C525" t="s">
        <v>138</v>
      </c>
      <c r="D525" s="1">
        <v>43504</v>
      </c>
      <c r="E525">
        <v>1</v>
      </c>
      <c r="F525">
        <v>1028</v>
      </c>
      <c r="G525" t="s">
        <v>462</v>
      </c>
    </row>
    <row r="526" spans="1:7" x14ac:dyDescent="0.3">
      <c r="A526" t="s">
        <v>185</v>
      </c>
      <c r="B526" t="s">
        <v>34</v>
      </c>
      <c r="C526" t="s">
        <v>138</v>
      </c>
      <c r="D526" s="1">
        <v>43511</v>
      </c>
      <c r="E526">
        <v>1</v>
      </c>
      <c r="F526">
        <v>2056</v>
      </c>
      <c r="G526" t="s">
        <v>462</v>
      </c>
    </row>
    <row r="527" spans="1:7" x14ac:dyDescent="0.3">
      <c r="A527" t="s">
        <v>185</v>
      </c>
      <c r="B527" t="s">
        <v>16</v>
      </c>
      <c r="C527" t="s">
        <v>144</v>
      </c>
      <c r="D527" s="1">
        <v>43518</v>
      </c>
      <c r="E527">
        <v>1</v>
      </c>
      <c r="F527">
        <v>796</v>
      </c>
      <c r="G527" t="s">
        <v>462</v>
      </c>
    </row>
    <row r="528" spans="1:7" x14ac:dyDescent="0.3">
      <c r="A528" t="s">
        <v>185</v>
      </c>
      <c r="B528" t="s">
        <v>34</v>
      </c>
      <c r="C528" t="s">
        <v>138</v>
      </c>
      <c r="D528" s="1">
        <v>43518</v>
      </c>
      <c r="E528">
        <v>1</v>
      </c>
      <c r="F528">
        <v>1542</v>
      </c>
      <c r="G528" t="s">
        <v>462</v>
      </c>
    </row>
    <row r="529" spans="1:7" x14ac:dyDescent="0.3">
      <c r="A529" t="s">
        <v>185</v>
      </c>
      <c r="B529" t="s">
        <v>34</v>
      </c>
      <c r="C529" t="s">
        <v>138</v>
      </c>
      <c r="D529" s="1">
        <v>43525</v>
      </c>
      <c r="E529">
        <v>1</v>
      </c>
      <c r="F529">
        <v>514</v>
      </c>
      <c r="G529" t="s">
        <v>462</v>
      </c>
    </row>
    <row r="530" spans="1:7" x14ac:dyDescent="0.3">
      <c r="A530" t="s">
        <v>185</v>
      </c>
      <c r="B530" t="s">
        <v>34</v>
      </c>
      <c r="C530" t="s">
        <v>138</v>
      </c>
      <c r="D530" s="1">
        <v>43532</v>
      </c>
      <c r="E530">
        <v>1</v>
      </c>
      <c r="F530">
        <v>1028</v>
      </c>
      <c r="G530" t="s">
        <v>462</v>
      </c>
    </row>
    <row r="531" spans="1:7" x14ac:dyDescent="0.3">
      <c r="A531" t="s">
        <v>185</v>
      </c>
      <c r="B531" t="s">
        <v>16</v>
      </c>
      <c r="C531" t="s">
        <v>144</v>
      </c>
      <c r="D531" s="1">
        <v>43567</v>
      </c>
      <c r="E531">
        <v>1</v>
      </c>
      <c r="F531">
        <v>796</v>
      </c>
      <c r="G531" t="s">
        <v>462</v>
      </c>
    </row>
    <row r="532" spans="1:7" x14ac:dyDescent="0.3">
      <c r="A532" t="s">
        <v>185</v>
      </c>
      <c r="B532" t="s">
        <v>16</v>
      </c>
      <c r="C532" t="s">
        <v>144</v>
      </c>
      <c r="D532" s="1">
        <v>43619</v>
      </c>
      <c r="E532">
        <v>1</v>
      </c>
      <c r="F532">
        <v>796</v>
      </c>
      <c r="G532" t="s">
        <v>462</v>
      </c>
    </row>
    <row r="533" spans="1:7" x14ac:dyDescent="0.3">
      <c r="A533" t="s">
        <v>185</v>
      </c>
      <c r="B533" t="s">
        <v>16</v>
      </c>
      <c r="C533" t="s">
        <v>144</v>
      </c>
      <c r="D533" s="1">
        <v>43633</v>
      </c>
      <c r="E533">
        <v>1</v>
      </c>
      <c r="F533">
        <v>1593</v>
      </c>
      <c r="G533" t="s">
        <v>462</v>
      </c>
    </row>
    <row r="534" spans="1:7" x14ac:dyDescent="0.3">
      <c r="A534" t="s">
        <v>185</v>
      </c>
      <c r="B534" t="s">
        <v>16</v>
      </c>
      <c r="C534" t="s">
        <v>144</v>
      </c>
      <c r="D534" s="1">
        <v>43640</v>
      </c>
      <c r="E534">
        <v>1</v>
      </c>
      <c r="F534">
        <v>796</v>
      </c>
      <c r="G534" t="s">
        <v>462</v>
      </c>
    </row>
    <row r="535" spans="1:7" x14ac:dyDescent="0.3">
      <c r="A535" t="s">
        <v>185</v>
      </c>
      <c r="B535" t="s">
        <v>24</v>
      </c>
      <c r="C535" t="s">
        <v>141</v>
      </c>
      <c r="D535" s="1">
        <v>43661</v>
      </c>
      <c r="E535">
        <v>1</v>
      </c>
      <c r="F535">
        <v>611</v>
      </c>
      <c r="G535" t="s">
        <v>462</v>
      </c>
    </row>
    <row r="536" spans="1:7" x14ac:dyDescent="0.3">
      <c r="A536" t="s">
        <v>185</v>
      </c>
      <c r="B536" t="s">
        <v>34</v>
      </c>
      <c r="C536" t="s">
        <v>138</v>
      </c>
      <c r="D536" s="1">
        <v>43693</v>
      </c>
      <c r="E536">
        <v>1</v>
      </c>
      <c r="F536">
        <v>1028</v>
      </c>
      <c r="G536" t="s">
        <v>462</v>
      </c>
    </row>
    <row r="537" spans="1:7" x14ac:dyDescent="0.3">
      <c r="A537" t="s">
        <v>185</v>
      </c>
      <c r="B537" t="s">
        <v>34</v>
      </c>
      <c r="C537" t="s">
        <v>138</v>
      </c>
      <c r="D537" s="1">
        <v>43735</v>
      </c>
      <c r="E537">
        <v>1</v>
      </c>
      <c r="F537">
        <v>514</v>
      </c>
      <c r="G537" t="s">
        <v>462</v>
      </c>
    </row>
    <row r="538" spans="1:7" x14ac:dyDescent="0.3">
      <c r="A538" t="s">
        <v>185</v>
      </c>
      <c r="B538" t="s">
        <v>34</v>
      </c>
      <c r="C538" t="s">
        <v>138</v>
      </c>
      <c r="D538" s="1">
        <v>43742</v>
      </c>
      <c r="E538">
        <v>1</v>
      </c>
      <c r="F538">
        <v>514</v>
      </c>
      <c r="G538" t="s">
        <v>462</v>
      </c>
    </row>
    <row r="539" spans="1:7" x14ac:dyDescent="0.3">
      <c r="A539" t="s">
        <v>185</v>
      </c>
      <c r="B539" t="s">
        <v>34</v>
      </c>
      <c r="C539" t="s">
        <v>138</v>
      </c>
      <c r="D539" s="1">
        <v>43756</v>
      </c>
      <c r="E539">
        <v>1</v>
      </c>
      <c r="F539">
        <v>514</v>
      </c>
      <c r="G539" t="s">
        <v>462</v>
      </c>
    </row>
    <row r="540" spans="1:7" x14ac:dyDescent="0.3">
      <c r="A540" t="s">
        <v>185</v>
      </c>
      <c r="B540" t="s">
        <v>16</v>
      </c>
      <c r="C540" t="s">
        <v>144</v>
      </c>
      <c r="D540" s="1">
        <v>43759</v>
      </c>
      <c r="E540">
        <v>1</v>
      </c>
      <c r="F540">
        <v>796</v>
      </c>
      <c r="G540" t="s">
        <v>462</v>
      </c>
    </row>
    <row r="541" spans="1:7" x14ac:dyDescent="0.3">
      <c r="A541" t="s">
        <v>185</v>
      </c>
      <c r="B541" t="s">
        <v>16</v>
      </c>
      <c r="C541" t="s">
        <v>144</v>
      </c>
      <c r="D541" s="1">
        <v>43763</v>
      </c>
      <c r="E541">
        <v>1</v>
      </c>
      <c r="F541">
        <v>796</v>
      </c>
      <c r="G541" t="s">
        <v>462</v>
      </c>
    </row>
    <row r="542" spans="1:7" x14ac:dyDescent="0.3">
      <c r="A542" t="s">
        <v>185</v>
      </c>
      <c r="B542" t="s">
        <v>34</v>
      </c>
      <c r="C542" t="s">
        <v>138</v>
      </c>
      <c r="D542" s="1">
        <v>43770</v>
      </c>
      <c r="E542">
        <v>1</v>
      </c>
      <c r="F542">
        <v>514</v>
      </c>
      <c r="G542" t="s">
        <v>462</v>
      </c>
    </row>
    <row r="543" spans="1:7" x14ac:dyDescent="0.3">
      <c r="A543" t="s">
        <v>185</v>
      </c>
      <c r="B543" t="s">
        <v>16</v>
      </c>
      <c r="C543" t="s">
        <v>144</v>
      </c>
      <c r="D543" s="1">
        <v>43773</v>
      </c>
      <c r="E543">
        <v>1</v>
      </c>
      <c r="F543">
        <v>796</v>
      </c>
      <c r="G543" t="s">
        <v>462</v>
      </c>
    </row>
    <row r="544" spans="1:7" x14ac:dyDescent="0.3">
      <c r="A544" t="s">
        <v>185</v>
      </c>
      <c r="B544" t="s">
        <v>16</v>
      </c>
      <c r="C544" t="s">
        <v>144</v>
      </c>
      <c r="D544" s="1">
        <v>43777</v>
      </c>
      <c r="E544">
        <v>1</v>
      </c>
      <c r="F544">
        <v>1593</v>
      </c>
      <c r="G544" t="s">
        <v>462</v>
      </c>
    </row>
    <row r="545" spans="1:7" x14ac:dyDescent="0.3">
      <c r="A545" t="s">
        <v>185</v>
      </c>
      <c r="B545" t="s">
        <v>34</v>
      </c>
      <c r="C545" t="s">
        <v>138</v>
      </c>
      <c r="D545" s="1">
        <v>43777</v>
      </c>
      <c r="E545">
        <v>1</v>
      </c>
      <c r="F545">
        <v>514</v>
      </c>
      <c r="G545" t="s">
        <v>462</v>
      </c>
    </row>
    <row r="546" spans="1:7" x14ac:dyDescent="0.3">
      <c r="A546" t="s">
        <v>185</v>
      </c>
      <c r="B546" t="s">
        <v>16</v>
      </c>
      <c r="C546" t="s">
        <v>144</v>
      </c>
      <c r="D546" s="1">
        <v>43784</v>
      </c>
      <c r="E546">
        <v>1</v>
      </c>
      <c r="F546">
        <v>3185</v>
      </c>
      <c r="G546" t="s">
        <v>462</v>
      </c>
    </row>
    <row r="547" spans="1:7" x14ac:dyDescent="0.3">
      <c r="A547" t="s">
        <v>185</v>
      </c>
      <c r="B547" t="s">
        <v>34</v>
      </c>
      <c r="C547" t="s">
        <v>138</v>
      </c>
      <c r="D547" s="1">
        <v>43784</v>
      </c>
      <c r="E547">
        <v>1</v>
      </c>
      <c r="F547">
        <v>514</v>
      </c>
      <c r="G547" t="s">
        <v>462</v>
      </c>
    </row>
    <row r="548" spans="1:7" x14ac:dyDescent="0.3">
      <c r="A548" t="s">
        <v>185</v>
      </c>
      <c r="B548" t="s">
        <v>34</v>
      </c>
      <c r="C548" t="s">
        <v>138</v>
      </c>
      <c r="D548" s="1">
        <v>43787</v>
      </c>
      <c r="E548">
        <v>1</v>
      </c>
      <c r="F548">
        <v>514</v>
      </c>
      <c r="G548" t="s">
        <v>462</v>
      </c>
    </row>
    <row r="549" spans="1:7" x14ac:dyDescent="0.3">
      <c r="A549" t="s">
        <v>185</v>
      </c>
      <c r="B549" t="s">
        <v>16</v>
      </c>
      <c r="C549" t="s">
        <v>144</v>
      </c>
      <c r="D549" s="1">
        <v>43805</v>
      </c>
      <c r="E549">
        <v>2</v>
      </c>
      <c r="F549">
        <v>4778</v>
      </c>
      <c r="G549" t="s">
        <v>462</v>
      </c>
    </row>
    <row r="550" spans="1:7" x14ac:dyDescent="0.3">
      <c r="A550" t="s">
        <v>185</v>
      </c>
      <c r="B550" t="s">
        <v>34</v>
      </c>
      <c r="C550" t="s">
        <v>138</v>
      </c>
      <c r="D550" s="1">
        <v>43805</v>
      </c>
      <c r="E550">
        <v>1</v>
      </c>
      <c r="F550">
        <v>514</v>
      </c>
      <c r="G550" t="s">
        <v>462</v>
      </c>
    </row>
    <row r="551" spans="1:7" x14ac:dyDescent="0.3">
      <c r="A551" t="s">
        <v>185</v>
      </c>
      <c r="B551" t="s">
        <v>16</v>
      </c>
      <c r="C551" t="s">
        <v>144</v>
      </c>
      <c r="D551" s="1">
        <v>43812</v>
      </c>
      <c r="E551">
        <v>4</v>
      </c>
      <c r="F551">
        <v>10352</v>
      </c>
      <c r="G551" t="s">
        <v>462</v>
      </c>
    </row>
    <row r="552" spans="1:7" x14ac:dyDescent="0.3">
      <c r="A552" t="s">
        <v>185</v>
      </c>
      <c r="B552" t="s">
        <v>16</v>
      </c>
      <c r="C552" t="s">
        <v>144</v>
      </c>
      <c r="D552" s="1">
        <v>43819</v>
      </c>
      <c r="E552">
        <v>1</v>
      </c>
      <c r="F552">
        <v>796</v>
      </c>
      <c r="G552" t="s">
        <v>462</v>
      </c>
    </row>
    <row r="553" spans="1:7" x14ac:dyDescent="0.3">
      <c r="A553" t="s">
        <v>185</v>
      </c>
      <c r="B553" t="s">
        <v>34</v>
      </c>
      <c r="C553" t="s">
        <v>138</v>
      </c>
      <c r="D553" s="1">
        <v>43994</v>
      </c>
      <c r="E553">
        <v>1</v>
      </c>
      <c r="F553">
        <v>1028</v>
      </c>
      <c r="G553" t="s">
        <v>462</v>
      </c>
    </row>
    <row r="554" spans="1:7" x14ac:dyDescent="0.3">
      <c r="A554" t="s">
        <v>185</v>
      </c>
      <c r="B554" t="s">
        <v>34</v>
      </c>
      <c r="C554" t="s">
        <v>138</v>
      </c>
      <c r="D554" s="1">
        <v>43998</v>
      </c>
      <c r="E554">
        <v>1</v>
      </c>
      <c r="F554">
        <v>514</v>
      </c>
      <c r="G554" t="s">
        <v>462</v>
      </c>
    </row>
    <row r="555" spans="1:7" x14ac:dyDescent="0.3">
      <c r="A555" t="s">
        <v>186</v>
      </c>
      <c r="B555" t="s">
        <v>40</v>
      </c>
      <c r="C555" t="s">
        <v>138</v>
      </c>
      <c r="D555" s="1">
        <v>43256</v>
      </c>
      <c r="E555">
        <v>33</v>
      </c>
      <c r="F555">
        <v>29648</v>
      </c>
      <c r="G555" t="s">
        <v>462</v>
      </c>
    </row>
    <row r="556" spans="1:7" x14ac:dyDescent="0.3">
      <c r="A556" t="s">
        <v>187</v>
      </c>
      <c r="B556" t="s">
        <v>3</v>
      </c>
      <c r="C556" t="s">
        <v>135</v>
      </c>
      <c r="D556" s="1">
        <v>43018</v>
      </c>
      <c r="E556">
        <v>240</v>
      </c>
      <c r="F556">
        <v>143560</v>
      </c>
      <c r="G556" t="s">
        <v>462</v>
      </c>
    </row>
    <row r="557" spans="1:7" x14ac:dyDescent="0.3">
      <c r="A557" t="s">
        <v>187</v>
      </c>
      <c r="B557" t="s">
        <v>12</v>
      </c>
      <c r="C557" t="s">
        <v>144</v>
      </c>
      <c r="D557" s="1">
        <v>43019</v>
      </c>
      <c r="E557">
        <v>7</v>
      </c>
      <c r="F557">
        <v>6204</v>
      </c>
      <c r="G557" t="s">
        <v>462</v>
      </c>
    </row>
    <row r="558" spans="1:7" x14ac:dyDescent="0.3">
      <c r="A558" t="s">
        <v>187</v>
      </c>
      <c r="B558" t="s">
        <v>16</v>
      </c>
      <c r="C558" t="s">
        <v>144</v>
      </c>
      <c r="D558" s="1">
        <v>43024</v>
      </c>
      <c r="E558">
        <v>1</v>
      </c>
      <c r="F558">
        <v>495</v>
      </c>
      <c r="G558" t="s">
        <v>462</v>
      </c>
    </row>
    <row r="559" spans="1:7" x14ac:dyDescent="0.3">
      <c r="A559" t="s">
        <v>187</v>
      </c>
      <c r="B559" t="s">
        <v>14</v>
      </c>
      <c r="C559" t="s">
        <v>144</v>
      </c>
      <c r="D559" s="1">
        <v>43031</v>
      </c>
      <c r="E559">
        <v>20</v>
      </c>
      <c r="F559">
        <v>25130</v>
      </c>
      <c r="G559" t="s">
        <v>462</v>
      </c>
    </row>
    <row r="560" spans="1:7" x14ac:dyDescent="0.3">
      <c r="A560" t="s">
        <v>187</v>
      </c>
      <c r="B560" t="s">
        <v>16</v>
      </c>
      <c r="C560" t="s">
        <v>144</v>
      </c>
      <c r="D560" s="1">
        <v>43033</v>
      </c>
      <c r="E560">
        <v>1</v>
      </c>
      <c r="F560">
        <v>986</v>
      </c>
      <c r="G560" t="s">
        <v>462</v>
      </c>
    </row>
    <row r="561" spans="1:7" x14ac:dyDescent="0.3">
      <c r="A561" t="s">
        <v>187</v>
      </c>
      <c r="B561" t="s">
        <v>42</v>
      </c>
      <c r="C561" t="s">
        <v>144</v>
      </c>
      <c r="D561" s="1">
        <v>43041</v>
      </c>
      <c r="E561">
        <v>13</v>
      </c>
      <c r="F561">
        <v>23898</v>
      </c>
      <c r="G561" t="s">
        <v>462</v>
      </c>
    </row>
    <row r="562" spans="1:7" x14ac:dyDescent="0.3">
      <c r="A562" t="s">
        <v>187</v>
      </c>
      <c r="B562" t="s">
        <v>12</v>
      </c>
      <c r="C562" t="s">
        <v>144</v>
      </c>
      <c r="D562" s="1">
        <v>43042</v>
      </c>
      <c r="E562">
        <v>1</v>
      </c>
      <c r="F562">
        <v>296</v>
      </c>
      <c r="G562" t="s">
        <v>462</v>
      </c>
    </row>
    <row r="563" spans="1:7" x14ac:dyDescent="0.3">
      <c r="A563" t="s">
        <v>187</v>
      </c>
      <c r="B563" t="s">
        <v>14</v>
      </c>
      <c r="C563" t="s">
        <v>144</v>
      </c>
      <c r="D563" s="1">
        <v>43047</v>
      </c>
      <c r="E563">
        <v>1</v>
      </c>
      <c r="F563">
        <v>356</v>
      </c>
      <c r="G563" t="s">
        <v>462</v>
      </c>
    </row>
    <row r="564" spans="1:7" x14ac:dyDescent="0.3">
      <c r="A564" t="s">
        <v>187</v>
      </c>
      <c r="B564" t="s">
        <v>16</v>
      </c>
      <c r="C564" t="s">
        <v>144</v>
      </c>
      <c r="D564" s="1">
        <v>43053</v>
      </c>
      <c r="E564">
        <v>1</v>
      </c>
      <c r="F564">
        <v>1977</v>
      </c>
      <c r="G564" t="s">
        <v>462</v>
      </c>
    </row>
    <row r="565" spans="1:7" x14ac:dyDescent="0.3">
      <c r="A565" t="s">
        <v>187</v>
      </c>
      <c r="B565" t="s">
        <v>12</v>
      </c>
      <c r="C565" t="s">
        <v>144</v>
      </c>
      <c r="D565" s="1">
        <v>43061</v>
      </c>
      <c r="E565">
        <v>1</v>
      </c>
      <c r="F565">
        <v>296</v>
      </c>
      <c r="G565" t="s">
        <v>462</v>
      </c>
    </row>
    <row r="566" spans="1:7" x14ac:dyDescent="0.3">
      <c r="A566" t="s">
        <v>187</v>
      </c>
      <c r="B566" t="s">
        <v>14</v>
      </c>
      <c r="C566" t="s">
        <v>144</v>
      </c>
      <c r="D566" s="1">
        <v>43061</v>
      </c>
      <c r="E566">
        <v>7</v>
      </c>
      <c r="F566">
        <v>8375</v>
      </c>
      <c r="G566" t="s">
        <v>462</v>
      </c>
    </row>
    <row r="567" spans="1:7" x14ac:dyDescent="0.3">
      <c r="A567" t="s">
        <v>187</v>
      </c>
      <c r="B567" t="s">
        <v>42</v>
      </c>
      <c r="C567" t="s">
        <v>144</v>
      </c>
      <c r="D567" s="1">
        <v>43074</v>
      </c>
      <c r="E567">
        <v>4</v>
      </c>
      <c r="F567">
        <v>7171</v>
      </c>
      <c r="G567" t="s">
        <v>462</v>
      </c>
    </row>
    <row r="568" spans="1:7" x14ac:dyDescent="0.3">
      <c r="A568" t="s">
        <v>187</v>
      </c>
      <c r="B568" t="s">
        <v>14</v>
      </c>
      <c r="C568" t="s">
        <v>144</v>
      </c>
      <c r="D568" s="1">
        <v>43084</v>
      </c>
      <c r="E568">
        <v>1</v>
      </c>
      <c r="F568">
        <v>356</v>
      </c>
      <c r="G568" t="s">
        <v>462</v>
      </c>
    </row>
    <row r="569" spans="1:7" x14ac:dyDescent="0.3">
      <c r="A569" t="s">
        <v>187</v>
      </c>
      <c r="B569" t="s">
        <v>14</v>
      </c>
      <c r="C569" t="s">
        <v>144</v>
      </c>
      <c r="D569" s="1">
        <v>43115</v>
      </c>
      <c r="E569">
        <v>1</v>
      </c>
      <c r="F569">
        <v>356</v>
      </c>
      <c r="G569" t="s">
        <v>462</v>
      </c>
    </row>
    <row r="570" spans="1:7" x14ac:dyDescent="0.3">
      <c r="A570" t="s">
        <v>187</v>
      </c>
      <c r="B570" t="s">
        <v>14</v>
      </c>
      <c r="C570" t="s">
        <v>144</v>
      </c>
      <c r="D570" s="1">
        <v>43122</v>
      </c>
      <c r="E570">
        <v>7</v>
      </c>
      <c r="F570">
        <v>8375</v>
      </c>
      <c r="G570" t="s">
        <v>462</v>
      </c>
    </row>
    <row r="571" spans="1:7" x14ac:dyDescent="0.3">
      <c r="A571" t="s">
        <v>187</v>
      </c>
      <c r="B571" t="s">
        <v>16</v>
      </c>
      <c r="C571" t="s">
        <v>144</v>
      </c>
      <c r="D571" s="1">
        <v>43137</v>
      </c>
      <c r="E571">
        <v>208</v>
      </c>
      <c r="F571">
        <v>77931</v>
      </c>
      <c r="G571" t="s">
        <v>462</v>
      </c>
    </row>
    <row r="572" spans="1:7" x14ac:dyDescent="0.3">
      <c r="A572" t="s">
        <v>187</v>
      </c>
      <c r="B572" t="s">
        <v>16</v>
      </c>
      <c r="C572" t="s">
        <v>144</v>
      </c>
      <c r="D572" s="1">
        <v>43139</v>
      </c>
      <c r="E572">
        <v>105</v>
      </c>
      <c r="F572">
        <v>40704</v>
      </c>
      <c r="G572" t="s">
        <v>462</v>
      </c>
    </row>
    <row r="573" spans="1:7" x14ac:dyDescent="0.3">
      <c r="A573" t="s">
        <v>187</v>
      </c>
      <c r="B573" t="s">
        <v>16</v>
      </c>
      <c r="C573" t="s">
        <v>144</v>
      </c>
      <c r="D573" s="1">
        <v>43140</v>
      </c>
      <c r="E573">
        <v>125</v>
      </c>
      <c r="F573">
        <v>47074</v>
      </c>
      <c r="G573" t="s">
        <v>462</v>
      </c>
    </row>
    <row r="574" spans="1:7" x14ac:dyDescent="0.3">
      <c r="A574" t="s">
        <v>187</v>
      </c>
      <c r="B574" t="s">
        <v>16</v>
      </c>
      <c r="C574" t="s">
        <v>144</v>
      </c>
      <c r="D574" s="1">
        <v>43145</v>
      </c>
      <c r="E574">
        <v>10</v>
      </c>
      <c r="F574">
        <v>4028</v>
      </c>
      <c r="G574" t="s">
        <v>462</v>
      </c>
    </row>
    <row r="575" spans="1:7" x14ac:dyDescent="0.3">
      <c r="A575" t="s">
        <v>187</v>
      </c>
      <c r="B575" t="s">
        <v>6</v>
      </c>
      <c r="C575" t="s">
        <v>138</v>
      </c>
      <c r="D575" s="1">
        <v>43214</v>
      </c>
      <c r="E575">
        <v>33</v>
      </c>
      <c r="F575">
        <v>30167</v>
      </c>
      <c r="G575" t="s">
        <v>462</v>
      </c>
    </row>
    <row r="576" spans="1:7" x14ac:dyDescent="0.3">
      <c r="A576" t="s">
        <v>187</v>
      </c>
      <c r="B576" t="s">
        <v>16</v>
      </c>
      <c r="C576" t="s">
        <v>144</v>
      </c>
      <c r="D576" s="1">
        <v>43244</v>
      </c>
      <c r="E576">
        <v>6</v>
      </c>
      <c r="F576">
        <v>1968</v>
      </c>
      <c r="G576" t="s">
        <v>462</v>
      </c>
    </row>
    <row r="577" spans="1:7" x14ac:dyDescent="0.3">
      <c r="A577" t="s">
        <v>188</v>
      </c>
      <c r="B577" t="s">
        <v>16</v>
      </c>
      <c r="C577" t="s">
        <v>144</v>
      </c>
      <c r="D577" s="1">
        <v>43059</v>
      </c>
      <c r="E577">
        <v>3</v>
      </c>
      <c r="F577">
        <v>1366</v>
      </c>
      <c r="G577" t="s">
        <v>462</v>
      </c>
    </row>
    <row r="578" spans="1:7" x14ac:dyDescent="0.3">
      <c r="A578" t="s">
        <v>188</v>
      </c>
      <c r="B578" t="s">
        <v>16</v>
      </c>
      <c r="C578" t="s">
        <v>144</v>
      </c>
      <c r="D578" s="1">
        <v>43070</v>
      </c>
      <c r="E578">
        <v>1</v>
      </c>
      <c r="F578">
        <v>495</v>
      </c>
      <c r="G578" t="s">
        <v>462</v>
      </c>
    </row>
    <row r="579" spans="1:7" x14ac:dyDescent="0.3">
      <c r="A579" t="s">
        <v>188</v>
      </c>
      <c r="B579" t="s">
        <v>16</v>
      </c>
      <c r="C579" t="s">
        <v>144</v>
      </c>
      <c r="D579" s="1">
        <v>43181</v>
      </c>
      <c r="E579">
        <v>17</v>
      </c>
      <c r="F579">
        <v>6713</v>
      </c>
      <c r="G579" t="s">
        <v>462</v>
      </c>
    </row>
    <row r="580" spans="1:7" x14ac:dyDescent="0.3">
      <c r="A580" t="s">
        <v>189</v>
      </c>
      <c r="B580" t="s">
        <v>16</v>
      </c>
      <c r="C580" t="s">
        <v>144</v>
      </c>
      <c r="D580" s="1">
        <v>43238</v>
      </c>
      <c r="E580">
        <v>57</v>
      </c>
      <c r="F580">
        <v>27708</v>
      </c>
      <c r="G580" t="s">
        <v>462</v>
      </c>
    </row>
    <row r="581" spans="1:7" x14ac:dyDescent="0.3">
      <c r="A581" t="s">
        <v>190</v>
      </c>
      <c r="B581" t="s">
        <v>16</v>
      </c>
      <c r="C581" t="s">
        <v>144</v>
      </c>
      <c r="D581" s="1">
        <v>43021</v>
      </c>
      <c r="E581">
        <v>1</v>
      </c>
      <c r="F581">
        <v>537</v>
      </c>
      <c r="G581" t="s">
        <v>462</v>
      </c>
    </row>
    <row r="582" spans="1:7" x14ac:dyDescent="0.3">
      <c r="A582" t="s">
        <v>190</v>
      </c>
      <c r="B582" t="s">
        <v>12</v>
      </c>
      <c r="C582" t="s">
        <v>144</v>
      </c>
      <c r="D582" s="1">
        <v>43025</v>
      </c>
      <c r="E582">
        <v>7</v>
      </c>
      <c r="F582">
        <v>7644</v>
      </c>
      <c r="G582" t="s">
        <v>462</v>
      </c>
    </row>
    <row r="583" spans="1:7" x14ac:dyDescent="0.3">
      <c r="A583" t="s">
        <v>190</v>
      </c>
      <c r="B583" t="s">
        <v>12</v>
      </c>
      <c r="C583" t="s">
        <v>144</v>
      </c>
      <c r="D583" s="1">
        <v>43060</v>
      </c>
      <c r="E583">
        <v>1</v>
      </c>
      <c r="F583">
        <v>157</v>
      </c>
      <c r="G583" t="s">
        <v>462</v>
      </c>
    </row>
    <row r="584" spans="1:7" x14ac:dyDescent="0.3">
      <c r="A584" t="s">
        <v>190</v>
      </c>
      <c r="B584" t="s">
        <v>16</v>
      </c>
      <c r="C584" t="s">
        <v>144</v>
      </c>
      <c r="D584" s="1">
        <v>43063</v>
      </c>
      <c r="E584">
        <v>8</v>
      </c>
      <c r="F584">
        <v>10972</v>
      </c>
      <c r="G584" t="s">
        <v>462</v>
      </c>
    </row>
    <row r="585" spans="1:7" x14ac:dyDescent="0.3">
      <c r="A585" t="s">
        <v>190</v>
      </c>
      <c r="B585" t="s">
        <v>16</v>
      </c>
      <c r="C585" t="s">
        <v>144</v>
      </c>
      <c r="D585" s="1">
        <v>43070</v>
      </c>
      <c r="E585">
        <v>1</v>
      </c>
      <c r="F585">
        <v>1218</v>
      </c>
      <c r="G585" t="s">
        <v>462</v>
      </c>
    </row>
    <row r="586" spans="1:7" x14ac:dyDescent="0.3">
      <c r="A586" t="s">
        <v>190</v>
      </c>
      <c r="B586" t="s">
        <v>16</v>
      </c>
      <c r="C586" t="s">
        <v>144</v>
      </c>
      <c r="D586" s="1">
        <v>43073</v>
      </c>
      <c r="E586">
        <v>9</v>
      </c>
      <c r="F586">
        <v>13407</v>
      </c>
      <c r="G586" t="s">
        <v>462</v>
      </c>
    </row>
    <row r="587" spans="1:7" x14ac:dyDescent="0.3">
      <c r="A587" t="s">
        <v>190</v>
      </c>
      <c r="B587" t="s">
        <v>12</v>
      </c>
      <c r="C587" t="s">
        <v>148</v>
      </c>
      <c r="D587" s="1">
        <v>43110</v>
      </c>
      <c r="E587">
        <v>5</v>
      </c>
      <c r="F587">
        <v>0</v>
      </c>
      <c r="G587" t="s">
        <v>462</v>
      </c>
    </row>
    <row r="588" spans="1:7" x14ac:dyDescent="0.3">
      <c r="A588" t="s">
        <v>190</v>
      </c>
      <c r="B588" t="s">
        <v>16</v>
      </c>
      <c r="C588" t="s">
        <v>144</v>
      </c>
      <c r="D588" s="1">
        <v>43112</v>
      </c>
      <c r="E588">
        <v>1</v>
      </c>
      <c r="F588">
        <v>245</v>
      </c>
      <c r="G588" t="s">
        <v>462</v>
      </c>
    </row>
    <row r="589" spans="1:7" x14ac:dyDescent="0.3">
      <c r="A589" t="s">
        <v>190</v>
      </c>
      <c r="B589" t="s">
        <v>16</v>
      </c>
      <c r="C589" t="s">
        <v>144</v>
      </c>
      <c r="D589" s="1">
        <v>43153</v>
      </c>
      <c r="E589">
        <v>1</v>
      </c>
      <c r="F589">
        <v>245</v>
      </c>
      <c r="G589" t="s">
        <v>462</v>
      </c>
    </row>
    <row r="590" spans="1:7" x14ac:dyDescent="0.3">
      <c r="A590" t="s">
        <v>190</v>
      </c>
      <c r="B590" t="s">
        <v>3</v>
      </c>
      <c r="C590" t="s">
        <v>135</v>
      </c>
      <c r="D590" s="1">
        <v>43279</v>
      </c>
      <c r="E590">
        <v>187</v>
      </c>
      <c r="F590">
        <v>115481</v>
      </c>
      <c r="G590" t="s">
        <v>462</v>
      </c>
    </row>
    <row r="591" spans="1:7" x14ac:dyDescent="0.3">
      <c r="A591" t="s">
        <v>190</v>
      </c>
      <c r="B591" t="s">
        <v>14</v>
      </c>
      <c r="C591" t="s">
        <v>144</v>
      </c>
      <c r="D591" s="1">
        <v>43280</v>
      </c>
      <c r="E591">
        <v>38</v>
      </c>
      <c r="F591">
        <v>78986</v>
      </c>
      <c r="G591" t="s">
        <v>462</v>
      </c>
    </row>
    <row r="592" spans="1:7" x14ac:dyDescent="0.3">
      <c r="A592" t="s">
        <v>190</v>
      </c>
      <c r="B592" t="s">
        <v>14</v>
      </c>
      <c r="C592" t="s">
        <v>144</v>
      </c>
      <c r="D592" s="1">
        <v>43283</v>
      </c>
      <c r="E592">
        <v>119</v>
      </c>
      <c r="F592">
        <v>245546</v>
      </c>
      <c r="G592" t="s">
        <v>462</v>
      </c>
    </row>
    <row r="593" spans="1:7" x14ac:dyDescent="0.3">
      <c r="A593" t="s">
        <v>190</v>
      </c>
      <c r="B593" t="s">
        <v>14</v>
      </c>
      <c r="C593" t="s">
        <v>144</v>
      </c>
      <c r="D593" s="1">
        <v>43284</v>
      </c>
      <c r="E593">
        <v>79</v>
      </c>
      <c r="F593">
        <v>162292</v>
      </c>
      <c r="G593" t="s">
        <v>462</v>
      </c>
    </row>
    <row r="594" spans="1:7" x14ac:dyDescent="0.3">
      <c r="A594" t="s">
        <v>190</v>
      </c>
      <c r="B594" t="s">
        <v>14</v>
      </c>
      <c r="C594" t="s">
        <v>144</v>
      </c>
      <c r="D594" s="1">
        <v>43285</v>
      </c>
      <c r="E594">
        <v>1</v>
      </c>
      <c r="F594">
        <v>412</v>
      </c>
      <c r="G594" t="s">
        <v>462</v>
      </c>
    </row>
    <row r="595" spans="1:7" x14ac:dyDescent="0.3">
      <c r="A595" t="s">
        <v>190</v>
      </c>
      <c r="B595" t="s">
        <v>14</v>
      </c>
      <c r="C595" t="s">
        <v>144</v>
      </c>
      <c r="D595" s="1">
        <v>43287</v>
      </c>
      <c r="E595">
        <v>5</v>
      </c>
      <c r="F595">
        <v>7981</v>
      </c>
      <c r="G595" t="s">
        <v>462</v>
      </c>
    </row>
    <row r="596" spans="1:7" x14ac:dyDescent="0.3">
      <c r="A596" t="s">
        <v>190</v>
      </c>
      <c r="B596" t="s">
        <v>14</v>
      </c>
      <c r="C596" t="s">
        <v>144</v>
      </c>
      <c r="D596" s="1">
        <v>43292</v>
      </c>
      <c r="E596">
        <v>19</v>
      </c>
      <c r="F596">
        <v>27505</v>
      </c>
      <c r="G596" t="s">
        <v>462</v>
      </c>
    </row>
    <row r="597" spans="1:7" x14ac:dyDescent="0.3">
      <c r="A597" t="s">
        <v>190</v>
      </c>
      <c r="B597" t="s">
        <v>45</v>
      </c>
      <c r="C597" t="s">
        <v>146</v>
      </c>
      <c r="D597" s="1">
        <v>43294</v>
      </c>
      <c r="E597">
        <v>173</v>
      </c>
      <c r="F597">
        <v>145921</v>
      </c>
      <c r="G597" t="s">
        <v>462</v>
      </c>
    </row>
    <row r="598" spans="1:7" x14ac:dyDescent="0.3">
      <c r="A598" t="s">
        <v>190</v>
      </c>
      <c r="B598" t="s">
        <v>14</v>
      </c>
      <c r="C598" t="s">
        <v>144</v>
      </c>
      <c r="D598" s="1">
        <v>43294</v>
      </c>
      <c r="E598">
        <v>1</v>
      </c>
      <c r="F598">
        <v>546</v>
      </c>
      <c r="G598" t="s">
        <v>462</v>
      </c>
    </row>
    <row r="599" spans="1:7" x14ac:dyDescent="0.3">
      <c r="A599" t="s">
        <v>190</v>
      </c>
      <c r="B599" t="s">
        <v>14</v>
      </c>
      <c r="C599" t="s">
        <v>144</v>
      </c>
      <c r="D599" s="1">
        <v>43300</v>
      </c>
      <c r="E599">
        <v>20</v>
      </c>
      <c r="F599">
        <v>28167</v>
      </c>
      <c r="G599" t="s">
        <v>462</v>
      </c>
    </row>
    <row r="600" spans="1:7" x14ac:dyDescent="0.3">
      <c r="A600" t="s">
        <v>190</v>
      </c>
      <c r="B600" t="s">
        <v>14</v>
      </c>
      <c r="C600" t="s">
        <v>144</v>
      </c>
      <c r="D600" s="1">
        <v>43305</v>
      </c>
      <c r="E600">
        <v>23</v>
      </c>
      <c r="F600">
        <v>32764</v>
      </c>
      <c r="G600" t="s">
        <v>462</v>
      </c>
    </row>
    <row r="601" spans="1:7" x14ac:dyDescent="0.3">
      <c r="A601" t="s">
        <v>190</v>
      </c>
      <c r="B601" t="s">
        <v>14</v>
      </c>
      <c r="C601" t="s">
        <v>144</v>
      </c>
      <c r="D601" s="1">
        <v>43306</v>
      </c>
      <c r="E601">
        <v>5</v>
      </c>
      <c r="F601">
        <v>6648</v>
      </c>
      <c r="G601" t="s">
        <v>462</v>
      </c>
    </row>
    <row r="602" spans="1:7" x14ac:dyDescent="0.3">
      <c r="A602" t="s">
        <v>190</v>
      </c>
      <c r="B602" t="s">
        <v>14</v>
      </c>
      <c r="C602" t="s">
        <v>144</v>
      </c>
      <c r="D602" s="1">
        <v>43307</v>
      </c>
      <c r="E602">
        <v>28</v>
      </c>
      <c r="F602">
        <v>40366</v>
      </c>
      <c r="G602" t="s">
        <v>462</v>
      </c>
    </row>
    <row r="603" spans="1:7" x14ac:dyDescent="0.3">
      <c r="A603" t="s">
        <v>190</v>
      </c>
      <c r="B603" t="s">
        <v>14</v>
      </c>
      <c r="C603" t="s">
        <v>144</v>
      </c>
      <c r="D603" s="1">
        <v>43308</v>
      </c>
      <c r="E603">
        <v>3</v>
      </c>
      <c r="F603">
        <v>4273</v>
      </c>
      <c r="G603" t="s">
        <v>462</v>
      </c>
    </row>
    <row r="604" spans="1:7" x14ac:dyDescent="0.3">
      <c r="A604" t="s">
        <v>190</v>
      </c>
      <c r="B604" t="s">
        <v>14</v>
      </c>
      <c r="C604" t="s">
        <v>144</v>
      </c>
      <c r="D604" s="1">
        <v>43312</v>
      </c>
      <c r="E604">
        <v>1</v>
      </c>
      <c r="F604">
        <v>949</v>
      </c>
      <c r="G604" t="s">
        <v>462</v>
      </c>
    </row>
    <row r="605" spans="1:7" x14ac:dyDescent="0.3">
      <c r="A605" t="s">
        <v>190</v>
      </c>
      <c r="B605" t="s">
        <v>14</v>
      </c>
      <c r="C605" t="s">
        <v>144</v>
      </c>
      <c r="D605" s="1">
        <v>43313</v>
      </c>
      <c r="E605">
        <v>1</v>
      </c>
      <c r="F605">
        <v>477</v>
      </c>
      <c r="G605" t="s">
        <v>462</v>
      </c>
    </row>
    <row r="606" spans="1:7" x14ac:dyDescent="0.3">
      <c r="A606" t="s">
        <v>190</v>
      </c>
      <c r="B606" t="s">
        <v>14</v>
      </c>
      <c r="C606" t="s">
        <v>144</v>
      </c>
      <c r="D606" s="1">
        <v>43314</v>
      </c>
      <c r="E606">
        <v>1</v>
      </c>
      <c r="F606">
        <v>949</v>
      </c>
      <c r="G606" t="s">
        <v>462</v>
      </c>
    </row>
    <row r="607" spans="1:7" x14ac:dyDescent="0.3">
      <c r="A607" t="s">
        <v>190</v>
      </c>
      <c r="B607" t="s">
        <v>14</v>
      </c>
      <c r="C607" t="s">
        <v>144</v>
      </c>
      <c r="D607" s="1">
        <v>43315</v>
      </c>
      <c r="E607">
        <v>41</v>
      </c>
      <c r="F607">
        <v>70356</v>
      </c>
      <c r="G607" t="s">
        <v>462</v>
      </c>
    </row>
    <row r="608" spans="1:7" x14ac:dyDescent="0.3">
      <c r="A608" t="s">
        <v>190</v>
      </c>
      <c r="B608" t="s">
        <v>12</v>
      </c>
      <c r="C608" t="s">
        <v>144</v>
      </c>
      <c r="D608" s="1">
        <v>43319</v>
      </c>
      <c r="E608">
        <v>7</v>
      </c>
      <c r="F608">
        <v>6528</v>
      </c>
      <c r="G608" t="s">
        <v>462</v>
      </c>
    </row>
    <row r="609" spans="1:7" x14ac:dyDescent="0.3">
      <c r="A609" t="s">
        <v>190</v>
      </c>
      <c r="B609" t="s">
        <v>14</v>
      </c>
      <c r="C609" t="s">
        <v>144</v>
      </c>
      <c r="D609" s="1">
        <v>43319</v>
      </c>
      <c r="E609">
        <v>1</v>
      </c>
      <c r="F609">
        <v>477</v>
      </c>
      <c r="G609" t="s">
        <v>462</v>
      </c>
    </row>
    <row r="610" spans="1:7" x14ac:dyDescent="0.3">
      <c r="A610" t="s">
        <v>190</v>
      </c>
      <c r="B610" t="s">
        <v>14</v>
      </c>
      <c r="C610" t="s">
        <v>144</v>
      </c>
      <c r="D610" s="1">
        <v>43322</v>
      </c>
      <c r="E610">
        <v>12</v>
      </c>
      <c r="F610">
        <v>19727</v>
      </c>
      <c r="G610" t="s">
        <v>462</v>
      </c>
    </row>
    <row r="611" spans="1:7" x14ac:dyDescent="0.3">
      <c r="A611" t="s">
        <v>190</v>
      </c>
      <c r="B611" t="s">
        <v>14</v>
      </c>
      <c r="C611" t="s">
        <v>144</v>
      </c>
      <c r="D611" s="1">
        <v>43327</v>
      </c>
      <c r="E611">
        <v>2</v>
      </c>
      <c r="F611">
        <v>3324</v>
      </c>
      <c r="G611" t="s">
        <v>462</v>
      </c>
    </row>
    <row r="612" spans="1:7" x14ac:dyDescent="0.3">
      <c r="A612" t="s">
        <v>190</v>
      </c>
      <c r="B612" t="s">
        <v>16</v>
      </c>
      <c r="C612" t="s">
        <v>144</v>
      </c>
      <c r="D612" s="1">
        <v>43355</v>
      </c>
      <c r="E612">
        <v>227</v>
      </c>
      <c r="F612">
        <v>103889</v>
      </c>
      <c r="G612" t="s">
        <v>462</v>
      </c>
    </row>
    <row r="613" spans="1:7" x14ac:dyDescent="0.3">
      <c r="A613" t="s">
        <v>190</v>
      </c>
      <c r="B613" t="s">
        <v>16</v>
      </c>
      <c r="C613" t="s">
        <v>144</v>
      </c>
      <c r="D613" s="1">
        <v>43356</v>
      </c>
      <c r="E613">
        <v>36</v>
      </c>
      <c r="F613">
        <v>18167</v>
      </c>
      <c r="G613" t="s">
        <v>462</v>
      </c>
    </row>
    <row r="614" spans="1:7" x14ac:dyDescent="0.3">
      <c r="A614" t="s">
        <v>190</v>
      </c>
      <c r="B614" t="s">
        <v>14</v>
      </c>
      <c r="C614" t="s">
        <v>144</v>
      </c>
      <c r="D614" s="1">
        <v>43502</v>
      </c>
      <c r="E614">
        <v>112</v>
      </c>
      <c r="F614">
        <v>106560</v>
      </c>
      <c r="G614" t="s">
        <v>462</v>
      </c>
    </row>
    <row r="615" spans="1:7" x14ac:dyDescent="0.3">
      <c r="A615" t="s">
        <v>190</v>
      </c>
      <c r="B615" t="s">
        <v>14</v>
      </c>
      <c r="C615" t="s">
        <v>144</v>
      </c>
      <c r="D615" s="1">
        <v>43539</v>
      </c>
      <c r="E615">
        <v>50</v>
      </c>
      <c r="F615">
        <v>90130</v>
      </c>
      <c r="G615" t="s">
        <v>462</v>
      </c>
    </row>
    <row r="616" spans="1:7" x14ac:dyDescent="0.3">
      <c r="A616" t="s">
        <v>190</v>
      </c>
      <c r="B616" t="s">
        <v>14</v>
      </c>
      <c r="C616" t="s">
        <v>144</v>
      </c>
      <c r="D616" s="1">
        <v>43546</v>
      </c>
      <c r="E616">
        <v>30</v>
      </c>
      <c r="F616">
        <v>54079</v>
      </c>
      <c r="G616" t="s">
        <v>462</v>
      </c>
    </row>
    <row r="617" spans="1:7" x14ac:dyDescent="0.3">
      <c r="A617" t="s">
        <v>190</v>
      </c>
      <c r="B617" t="s">
        <v>45</v>
      </c>
      <c r="C617" t="s">
        <v>146</v>
      </c>
      <c r="D617" s="1">
        <v>43593</v>
      </c>
      <c r="E617">
        <v>182</v>
      </c>
      <c r="F617">
        <v>153815</v>
      </c>
      <c r="G617" t="s">
        <v>462</v>
      </c>
    </row>
    <row r="618" spans="1:7" x14ac:dyDescent="0.3">
      <c r="A618" t="s">
        <v>190</v>
      </c>
      <c r="B618" t="s">
        <v>12</v>
      </c>
      <c r="C618" t="s">
        <v>144</v>
      </c>
      <c r="D618" s="1">
        <v>43602</v>
      </c>
      <c r="E618">
        <v>1</v>
      </c>
      <c r="F618">
        <v>306</v>
      </c>
      <c r="G618" t="s">
        <v>462</v>
      </c>
    </row>
    <row r="619" spans="1:7" x14ac:dyDescent="0.3">
      <c r="A619" t="s">
        <v>190</v>
      </c>
      <c r="B619" t="s">
        <v>45</v>
      </c>
      <c r="C619" t="s">
        <v>146</v>
      </c>
      <c r="D619" s="1">
        <v>43658</v>
      </c>
      <c r="E619">
        <v>157</v>
      </c>
      <c r="F619">
        <v>132519</v>
      </c>
      <c r="G619" t="s">
        <v>462</v>
      </c>
    </row>
    <row r="620" spans="1:7" x14ac:dyDescent="0.3">
      <c r="A620" t="s">
        <v>190</v>
      </c>
      <c r="B620" t="s">
        <v>14</v>
      </c>
      <c r="C620" t="s">
        <v>144</v>
      </c>
      <c r="D620" s="1">
        <v>43675</v>
      </c>
      <c r="E620">
        <v>111</v>
      </c>
      <c r="F620">
        <v>152833</v>
      </c>
      <c r="G620" t="s">
        <v>462</v>
      </c>
    </row>
    <row r="621" spans="1:7" x14ac:dyDescent="0.3">
      <c r="A621" t="s">
        <v>190</v>
      </c>
      <c r="B621" t="s">
        <v>14</v>
      </c>
      <c r="C621" t="s">
        <v>144</v>
      </c>
      <c r="D621" s="1">
        <v>43678</v>
      </c>
      <c r="E621">
        <v>7</v>
      </c>
      <c r="F621">
        <v>10144</v>
      </c>
      <c r="G621" t="s">
        <v>462</v>
      </c>
    </row>
    <row r="622" spans="1:7" x14ac:dyDescent="0.3">
      <c r="A622" t="s">
        <v>190</v>
      </c>
      <c r="B622" t="s">
        <v>14</v>
      </c>
      <c r="C622" t="s">
        <v>144</v>
      </c>
      <c r="D622" s="1">
        <v>43705</v>
      </c>
      <c r="E622">
        <v>7</v>
      </c>
      <c r="F622">
        <v>8991</v>
      </c>
      <c r="G622" t="s">
        <v>462</v>
      </c>
    </row>
    <row r="623" spans="1:7" x14ac:dyDescent="0.3">
      <c r="A623" t="s">
        <v>190</v>
      </c>
      <c r="B623" t="s">
        <v>16</v>
      </c>
      <c r="C623" t="s">
        <v>144</v>
      </c>
      <c r="D623" s="1">
        <v>43714</v>
      </c>
      <c r="E623">
        <v>1</v>
      </c>
      <c r="F623">
        <v>1218</v>
      </c>
      <c r="G623" t="s">
        <v>462</v>
      </c>
    </row>
    <row r="624" spans="1:7" x14ac:dyDescent="0.3">
      <c r="A624" t="s">
        <v>190</v>
      </c>
      <c r="B624" t="s">
        <v>16</v>
      </c>
      <c r="C624" t="s">
        <v>144</v>
      </c>
      <c r="D624" s="1">
        <v>43721</v>
      </c>
      <c r="E624">
        <v>1</v>
      </c>
      <c r="F624">
        <v>1708</v>
      </c>
      <c r="G624" t="s">
        <v>462</v>
      </c>
    </row>
    <row r="625" spans="1:7" x14ac:dyDescent="0.3">
      <c r="A625" t="s">
        <v>190</v>
      </c>
      <c r="B625" t="s">
        <v>16</v>
      </c>
      <c r="C625" t="s">
        <v>144</v>
      </c>
      <c r="D625" s="1">
        <v>43727</v>
      </c>
      <c r="E625">
        <v>177</v>
      </c>
      <c r="F625">
        <v>79676</v>
      </c>
      <c r="G625" t="s">
        <v>462</v>
      </c>
    </row>
    <row r="626" spans="1:7" x14ac:dyDescent="0.3">
      <c r="A626" t="s">
        <v>190</v>
      </c>
      <c r="B626" t="s">
        <v>16</v>
      </c>
      <c r="C626" t="s">
        <v>144</v>
      </c>
      <c r="D626" s="1">
        <v>43728</v>
      </c>
      <c r="E626">
        <v>1</v>
      </c>
      <c r="F626">
        <v>486</v>
      </c>
      <c r="G626" t="s">
        <v>462</v>
      </c>
    </row>
    <row r="627" spans="1:7" x14ac:dyDescent="0.3">
      <c r="A627" t="s">
        <v>190</v>
      </c>
      <c r="B627" t="s">
        <v>14</v>
      </c>
      <c r="C627" t="s">
        <v>144</v>
      </c>
      <c r="D627" s="1">
        <v>43748</v>
      </c>
      <c r="E627">
        <v>18</v>
      </c>
      <c r="F627">
        <v>25356</v>
      </c>
      <c r="G627" t="s">
        <v>462</v>
      </c>
    </row>
    <row r="628" spans="1:7" x14ac:dyDescent="0.3">
      <c r="A628" t="s">
        <v>190</v>
      </c>
      <c r="B628" t="s">
        <v>14</v>
      </c>
      <c r="C628" t="s">
        <v>144</v>
      </c>
      <c r="D628" s="1">
        <v>43776</v>
      </c>
      <c r="E628">
        <v>13</v>
      </c>
      <c r="F628">
        <v>17519</v>
      </c>
      <c r="G628" t="s">
        <v>462</v>
      </c>
    </row>
    <row r="629" spans="1:7" x14ac:dyDescent="0.3">
      <c r="A629" t="s">
        <v>190</v>
      </c>
      <c r="B629" t="s">
        <v>16</v>
      </c>
      <c r="C629" t="s">
        <v>144</v>
      </c>
      <c r="D629" s="1">
        <v>43798</v>
      </c>
      <c r="E629">
        <v>4</v>
      </c>
      <c r="F629">
        <v>6338</v>
      </c>
      <c r="G629" t="s">
        <v>462</v>
      </c>
    </row>
    <row r="630" spans="1:7" x14ac:dyDescent="0.3">
      <c r="A630" t="s">
        <v>191</v>
      </c>
      <c r="B630" t="s">
        <v>47</v>
      </c>
      <c r="C630" t="s">
        <v>138</v>
      </c>
      <c r="D630" s="1">
        <v>43013</v>
      </c>
      <c r="E630">
        <v>4</v>
      </c>
      <c r="F630">
        <v>9190</v>
      </c>
      <c r="G630" t="s">
        <v>462</v>
      </c>
    </row>
    <row r="631" spans="1:7" x14ac:dyDescent="0.3">
      <c r="A631" t="s">
        <v>191</v>
      </c>
      <c r="B631" t="s">
        <v>34</v>
      </c>
      <c r="C631" t="s">
        <v>138</v>
      </c>
      <c r="D631" s="1">
        <v>43014</v>
      </c>
      <c r="E631">
        <v>4</v>
      </c>
      <c r="F631">
        <v>8384</v>
      </c>
      <c r="G631" t="s">
        <v>462</v>
      </c>
    </row>
    <row r="632" spans="1:7" x14ac:dyDescent="0.3">
      <c r="A632" t="s">
        <v>191</v>
      </c>
      <c r="B632" t="s">
        <v>34</v>
      </c>
      <c r="C632" t="s">
        <v>138</v>
      </c>
      <c r="D632" s="1">
        <v>43020</v>
      </c>
      <c r="E632">
        <v>2</v>
      </c>
      <c r="F632">
        <v>4889</v>
      </c>
      <c r="G632" t="s">
        <v>462</v>
      </c>
    </row>
    <row r="633" spans="1:7" x14ac:dyDescent="0.3">
      <c r="A633" t="s">
        <v>191</v>
      </c>
      <c r="B633" t="s">
        <v>34</v>
      </c>
      <c r="C633" t="s">
        <v>138</v>
      </c>
      <c r="D633" s="1">
        <v>43021</v>
      </c>
      <c r="E633">
        <v>2</v>
      </c>
      <c r="F633">
        <v>3495</v>
      </c>
      <c r="G633" t="s">
        <v>462</v>
      </c>
    </row>
    <row r="634" spans="1:7" x14ac:dyDescent="0.3">
      <c r="A634" t="s">
        <v>191</v>
      </c>
      <c r="B634" t="s">
        <v>49</v>
      </c>
      <c r="C634" t="s">
        <v>138</v>
      </c>
      <c r="D634" s="1">
        <v>43021</v>
      </c>
      <c r="E634">
        <v>1</v>
      </c>
      <c r="F634">
        <v>2065</v>
      </c>
      <c r="G634" t="s">
        <v>462</v>
      </c>
    </row>
    <row r="635" spans="1:7" x14ac:dyDescent="0.3">
      <c r="A635" t="s">
        <v>191</v>
      </c>
      <c r="B635" t="s">
        <v>49</v>
      </c>
      <c r="C635" t="s">
        <v>138</v>
      </c>
      <c r="D635" s="1">
        <v>43033</v>
      </c>
      <c r="E635">
        <v>1</v>
      </c>
      <c r="F635">
        <v>1380</v>
      </c>
      <c r="G635" t="s">
        <v>462</v>
      </c>
    </row>
    <row r="636" spans="1:7" x14ac:dyDescent="0.3">
      <c r="A636" t="s">
        <v>191</v>
      </c>
      <c r="B636" t="s">
        <v>34</v>
      </c>
      <c r="C636" t="s">
        <v>138</v>
      </c>
      <c r="D636" s="1">
        <v>43035</v>
      </c>
      <c r="E636">
        <v>6</v>
      </c>
      <c r="F636">
        <v>11870</v>
      </c>
      <c r="G636" t="s">
        <v>462</v>
      </c>
    </row>
    <row r="637" spans="1:7" x14ac:dyDescent="0.3">
      <c r="A637" t="s">
        <v>191</v>
      </c>
      <c r="B637" t="s">
        <v>34</v>
      </c>
      <c r="C637" t="s">
        <v>138</v>
      </c>
      <c r="D637" s="1">
        <v>43042</v>
      </c>
      <c r="E637">
        <v>6</v>
      </c>
      <c r="F637">
        <v>12574</v>
      </c>
      <c r="G637" t="s">
        <v>462</v>
      </c>
    </row>
    <row r="638" spans="1:7" x14ac:dyDescent="0.3">
      <c r="A638" t="s">
        <v>191</v>
      </c>
      <c r="B638" t="s">
        <v>34</v>
      </c>
      <c r="C638" t="s">
        <v>138</v>
      </c>
      <c r="D638" s="1">
        <v>43045</v>
      </c>
      <c r="E638">
        <v>1</v>
      </c>
      <c r="F638">
        <v>2796</v>
      </c>
      <c r="G638" t="s">
        <v>462</v>
      </c>
    </row>
    <row r="639" spans="1:7" x14ac:dyDescent="0.3">
      <c r="A639" t="s">
        <v>191</v>
      </c>
      <c r="B639" t="s">
        <v>34</v>
      </c>
      <c r="C639" t="s">
        <v>138</v>
      </c>
      <c r="D639" s="1">
        <v>43049</v>
      </c>
      <c r="E639">
        <v>2</v>
      </c>
      <c r="F639">
        <v>4889</v>
      </c>
      <c r="G639" t="s">
        <v>462</v>
      </c>
    </row>
    <row r="640" spans="1:7" x14ac:dyDescent="0.3">
      <c r="A640" t="s">
        <v>191</v>
      </c>
      <c r="B640" t="s">
        <v>34</v>
      </c>
      <c r="C640" t="s">
        <v>138</v>
      </c>
      <c r="D640" s="1">
        <v>43056</v>
      </c>
      <c r="E640">
        <v>1</v>
      </c>
      <c r="F640">
        <v>2792</v>
      </c>
      <c r="G640" t="s">
        <v>462</v>
      </c>
    </row>
    <row r="641" spans="1:7" x14ac:dyDescent="0.3">
      <c r="A641" t="s">
        <v>191</v>
      </c>
      <c r="B641" t="s">
        <v>49</v>
      </c>
      <c r="C641" t="s">
        <v>138</v>
      </c>
      <c r="D641" s="1">
        <v>43059</v>
      </c>
      <c r="E641">
        <v>33</v>
      </c>
      <c r="F641">
        <v>68898</v>
      </c>
      <c r="G641" t="s">
        <v>462</v>
      </c>
    </row>
    <row r="642" spans="1:7" x14ac:dyDescent="0.3">
      <c r="A642" t="s">
        <v>191</v>
      </c>
      <c r="B642" t="s">
        <v>34</v>
      </c>
      <c r="C642" t="s">
        <v>138</v>
      </c>
      <c r="D642" s="1">
        <v>43062</v>
      </c>
      <c r="E642">
        <v>1</v>
      </c>
      <c r="F642">
        <v>2792</v>
      </c>
      <c r="G642" t="s">
        <v>462</v>
      </c>
    </row>
    <row r="643" spans="1:7" x14ac:dyDescent="0.3">
      <c r="A643" t="s">
        <v>191</v>
      </c>
      <c r="B643" t="s">
        <v>34</v>
      </c>
      <c r="C643" t="s">
        <v>138</v>
      </c>
      <c r="D643" s="1">
        <v>43063</v>
      </c>
      <c r="E643">
        <v>3</v>
      </c>
      <c r="F643">
        <v>6991</v>
      </c>
      <c r="G643" t="s">
        <v>462</v>
      </c>
    </row>
    <row r="644" spans="1:7" x14ac:dyDescent="0.3">
      <c r="A644" t="s">
        <v>191</v>
      </c>
      <c r="B644" t="s">
        <v>51</v>
      </c>
      <c r="C644" t="s">
        <v>138</v>
      </c>
      <c r="D644" s="1">
        <v>43066</v>
      </c>
      <c r="E644">
        <v>1</v>
      </c>
      <c r="F644">
        <v>681</v>
      </c>
      <c r="G644" t="s">
        <v>462</v>
      </c>
    </row>
    <row r="645" spans="1:7" x14ac:dyDescent="0.3">
      <c r="A645" t="s">
        <v>191</v>
      </c>
      <c r="B645" t="s">
        <v>49</v>
      </c>
      <c r="C645" t="s">
        <v>138</v>
      </c>
      <c r="D645" s="1">
        <v>43069</v>
      </c>
      <c r="E645">
        <v>22</v>
      </c>
      <c r="F645">
        <v>44782</v>
      </c>
      <c r="G645" t="s">
        <v>462</v>
      </c>
    </row>
    <row r="646" spans="1:7" x14ac:dyDescent="0.3">
      <c r="A646" t="s">
        <v>191</v>
      </c>
      <c r="B646" t="s">
        <v>34</v>
      </c>
      <c r="C646" t="s">
        <v>138</v>
      </c>
      <c r="D646" s="1">
        <v>43070</v>
      </c>
      <c r="E646">
        <v>13</v>
      </c>
      <c r="F646">
        <v>26537</v>
      </c>
      <c r="G646" t="s">
        <v>462</v>
      </c>
    </row>
    <row r="647" spans="1:7" x14ac:dyDescent="0.3">
      <c r="A647" t="s">
        <v>191</v>
      </c>
      <c r="B647" t="s">
        <v>49</v>
      </c>
      <c r="C647" t="s">
        <v>138</v>
      </c>
      <c r="D647" s="1">
        <v>43075</v>
      </c>
      <c r="E647">
        <v>2</v>
      </c>
      <c r="F647">
        <v>3444</v>
      </c>
      <c r="G647" t="s">
        <v>462</v>
      </c>
    </row>
    <row r="648" spans="1:7" x14ac:dyDescent="0.3">
      <c r="A648" t="s">
        <v>191</v>
      </c>
      <c r="B648" t="s">
        <v>34</v>
      </c>
      <c r="C648" t="s">
        <v>138</v>
      </c>
      <c r="D648" s="1">
        <v>43076</v>
      </c>
      <c r="E648">
        <v>2</v>
      </c>
      <c r="F648">
        <v>4190</v>
      </c>
      <c r="G648" t="s">
        <v>462</v>
      </c>
    </row>
    <row r="649" spans="1:7" x14ac:dyDescent="0.3">
      <c r="A649" t="s">
        <v>191</v>
      </c>
      <c r="B649" t="s">
        <v>49</v>
      </c>
      <c r="C649" t="s">
        <v>138</v>
      </c>
      <c r="D649" s="1">
        <v>43076</v>
      </c>
      <c r="E649">
        <v>1</v>
      </c>
      <c r="F649">
        <v>2755</v>
      </c>
      <c r="G649" t="s">
        <v>462</v>
      </c>
    </row>
    <row r="650" spans="1:7" x14ac:dyDescent="0.3">
      <c r="A650" t="s">
        <v>191</v>
      </c>
      <c r="B650" t="s">
        <v>34</v>
      </c>
      <c r="C650" t="s">
        <v>138</v>
      </c>
      <c r="D650" s="1">
        <v>43077</v>
      </c>
      <c r="E650">
        <v>9</v>
      </c>
      <c r="F650">
        <v>18852</v>
      </c>
      <c r="G650" t="s">
        <v>462</v>
      </c>
    </row>
    <row r="651" spans="1:7" x14ac:dyDescent="0.3">
      <c r="A651" t="s">
        <v>191</v>
      </c>
      <c r="B651" t="s">
        <v>49</v>
      </c>
      <c r="C651" t="s">
        <v>138</v>
      </c>
      <c r="D651" s="1">
        <v>43081</v>
      </c>
      <c r="E651">
        <v>1</v>
      </c>
      <c r="F651">
        <v>1380</v>
      </c>
      <c r="G651" t="s">
        <v>462</v>
      </c>
    </row>
    <row r="652" spans="1:7" x14ac:dyDescent="0.3">
      <c r="A652" t="s">
        <v>191</v>
      </c>
      <c r="B652" t="s">
        <v>34</v>
      </c>
      <c r="C652" t="s">
        <v>138</v>
      </c>
      <c r="D652" s="1">
        <v>43083</v>
      </c>
      <c r="E652">
        <v>3</v>
      </c>
      <c r="F652">
        <v>6287</v>
      </c>
      <c r="G652" t="s">
        <v>462</v>
      </c>
    </row>
    <row r="653" spans="1:7" x14ac:dyDescent="0.3">
      <c r="A653" t="s">
        <v>191</v>
      </c>
      <c r="B653" t="s">
        <v>34</v>
      </c>
      <c r="C653" t="s">
        <v>138</v>
      </c>
      <c r="D653" s="1">
        <v>43084</v>
      </c>
      <c r="E653">
        <v>20</v>
      </c>
      <c r="F653">
        <v>41199</v>
      </c>
      <c r="G653" t="s">
        <v>462</v>
      </c>
    </row>
    <row r="654" spans="1:7" x14ac:dyDescent="0.3">
      <c r="A654" t="s">
        <v>191</v>
      </c>
      <c r="B654" t="s">
        <v>51</v>
      </c>
      <c r="C654" t="s">
        <v>138</v>
      </c>
      <c r="D654" s="1">
        <v>43087</v>
      </c>
      <c r="E654">
        <v>1</v>
      </c>
      <c r="F654">
        <v>1356</v>
      </c>
      <c r="G654" t="s">
        <v>462</v>
      </c>
    </row>
    <row r="655" spans="1:7" x14ac:dyDescent="0.3">
      <c r="A655" t="s">
        <v>191</v>
      </c>
      <c r="B655" t="s">
        <v>51</v>
      </c>
      <c r="C655" t="s">
        <v>138</v>
      </c>
      <c r="D655" s="1">
        <v>43088</v>
      </c>
      <c r="E655">
        <v>1</v>
      </c>
      <c r="F655">
        <v>681</v>
      </c>
      <c r="G655" t="s">
        <v>462</v>
      </c>
    </row>
    <row r="656" spans="1:7" x14ac:dyDescent="0.3">
      <c r="A656" t="s">
        <v>191</v>
      </c>
      <c r="B656" t="s">
        <v>34</v>
      </c>
      <c r="C656" t="s">
        <v>138</v>
      </c>
      <c r="D656" s="1">
        <v>43090</v>
      </c>
      <c r="E656">
        <v>3</v>
      </c>
      <c r="F656">
        <v>5588</v>
      </c>
      <c r="G656" t="s">
        <v>462</v>
      </c>
    </row>
    <row r="657" spans="1:7" x14ac:dyDescent="0.3">
      <c r="A657" t="s">
        <v>191</v>
      </c>
      <c r="B657" t="s">
        <v>34</v>
      </c>
      <c r="C657" t="s">
        <v>138</v>
      </c>
      <c r="D657" s="1">
        <v>43091</v>
      </c>
      <c r="E657">
        <v>15</v>
      </c>
      <c r="F657">
        <v>32125</v>
      </c>
      <c r="G657" t="s">
        <v>462</v>
      </c>
    </row>
    <row r="658" spans="1:7" x14ac:dyDescent="0.3">
      <c r="A658" t="s">
        <v>191</v>
      </c>
      <c r="B658" t="s">
        <v>49</v>
      </c>
      <c r="C658" t="s">
        <v>138</v>
      </c>
      <c r="D658" s="1">
        <v>43091</v>
      </c>
      <c r="E658">
        <v>7</v>
      </c>
      <c r="F658">
        <v>13778</v>
      </c>
      <c r="G658" t="s">
        <v>462</v>
      </c>
    </row>
    <row r="659" spans="1:7" x14ac:dyDescent="0.3">
      <c r="A659" t="s">
        <v>191</v>
      </c>
      <c r="B659" t="s">
        <v>34</v>
      </c>
      <c r="C659" t="s">
        <v>138</v>
      </c>
      <c r="D659" s="1">
        <v>43102</v>
      </c>
      <c r="E659">
        <v>2</v>
      </c>
      <c r="F659">
        <v>4194</v>
      </c>
      <c r="G659" t="s">
        <v>462</v>
      </c>
    </row>
    <row r="660" spans="1:7" x14ac:dyDescent="0.3">
      <c r="A660" t="s">
        <v>191</v>
      </c>
      <c r="B660" t="s">
        <v>51</v>
      </c>
      <c r="C660" t="s">
        <v>138</v>
      </c>
      <c r="D660" s="1">
        <v>43102</v>
      </c>
      <c r="E660">
        <v>1</v>
      </c>
      <c r="F660">
        <v>2713</v>
      </c>
      <c r="G660" t="s">
        <v>462</v>
      </c>
    </row>
    <row r="661" spans="1:7" x14ac:dyDescent="0.3">
      <c r="A661" t="s">
        <v>191</v>
      </c>
      <c r="B661" t="s">
        <v>34</v>
      </c>
      <c r="C661" t="s">
        <v>138</v>
      </c>
      <c r="D661" s="1">
        <v>43105</v>
      </c>
      <c r="E661">
        <v>31</v>
      </c>
      <c r="F661">
        <v>65648</v>
      </c>
      <c r="G661" t="s">
        <v>462</v>
      </c>
    </row>
    <row r="662" spans="1:7" x14ac:dyDescent="0.3">
      <c r="A662" t="s">
        <v>191</v>
      </c>
      <c r="B662" t="s">
        <v>49</v>
      </c>
      <c r="C662" t="s">
        <v>138</v>
      </c>
      <c r="D662" s="1">
        <v>43108</v>
      </c>
      <c r="E662">
        <v>23</v>
      </c>
      <c r="F662">
        <v>48231</v>
      </c>
      <c r="G662" t="s">
        <v>462</v>
      </c>
    </row>
    <row r="663" spans="1:7" x14ac:dyDescent="0.3">
      <c r="A663" t="s">
        <v>191</v>
      </c>
      <c r="B663" t="s">
        <v>34</v>
      </c>
      <c r="C663" t="s">
        <v>138</v>
      </c>
      <c r="D663" s="1">
        <v>43112</v>
      </c>
      <c r="E663">
        <v>8</v>
      </c>
      <c r="F663">
        <v>16065</v>
      </c>
      <c r="G663" t="s">
        <v>462</v>
      </c>
    </row>
    <row r="664" spans="1:7" x14ac:dyDescent="0.3">
      <c r="A664" t="s">
        <v>191</v>
      </c>
      <c r="B664" t="s">
        <v>51</v>
      </c>
      <c r="C664" t="s">
        <v>138</v>
      </c>
      <c r="D664" s="1">
        <v>43115</v>
      </c>
      <c r="E664">
        <v>1</v>
      </c>
      <c r="F664">
        <v>1356</v>
      </c>
      <c r="G664" t="s">
        <v>462</v>
      </c>
    </row>
    <row r="665" spans="1:7" x14ac:dyDescent="0.3">
      <c r="A665" t="s">
        <v>191</v>
      </c>
      <c r="B665" t="s">
        <v>51</v>
      </c>
      <c r="C665" t="s">
        <v>138</v>
      </c>
      <c r="D665" s="1">
        <v>43116</v>
      </c>
      <c r="E665">
        <v>1</v>
      </c>
      <c r="F665">
        <v>1356</v>
      </c>
      <c r="G665" t="s">
        <v>462</v>
      </c>
    </row>
    <row r="666" spans="1:7" x14ac:dyDescent="0.3">
      <c r="A666" t="s">
        <v>191</v>
      </c>
      <c r="B666" t="s">
        <v>51</v>
      </c>
      <c r="C666" t="s">
        <v>138</v>
      </c>
      <c r="D666" s="1">
        <v>43129</v>
      </c>
      <c r="E666">
        <v>1</v>
      </c>
      <c r="F666">
        <v>681</v>
      </c>
      <c r="G666" t="s">
        <v>462</v>
      </c>
    </row>
    <row r="667" spans="1:7" x14ac:dyDescent="0.3">
      <c r="A667" t="s">
        <v>191</v>
      </c>
      <c r="B667" t="s">
        <v>34</v>
      </c>
      <c r="C667" t="s">
        <v>138</v>
      </c>
      <c r="D667" s="1">
        <v>43132</v>
      </c>
      <c r="E667">
        <v>1</v>
      </c>
      <c r="F667">
        <v>1398</v>
      </c>
      <c r="G667" t="s">
        <v>462</v>
      </c>
    </row>
    <row r="668" spans="1:7" x14ac:dyDescent="0.3">
      <c r="A668" t="s">
        <v>191</v>
      </c>
      <c r="B668" t="s">
        <v>34</v>
      </c>
      <c r="C668" t="s">
        <v>138</v>
      </c>
      <c r="D668" s="1">
        <v>43133</v>
      </c>
      <c r="E668">
        <v>10</v>
      </c>
      <c r="F668">
        <v>20255</v>
      </c>
      <c r="G668" t="s">
        <v>462</v>
      </c>
    </row>
    <row r="669" spans="1:7" x14ac:dyDescent="0.3">
      <c r="A669" t="s">
        <v>191</v>
      </c>
      <c r="B669" t="s">
        <v>51</v>
      </c>
      <c r="C669" t="s">
        <v>138</v>
      </c>
      <c r="D669" s="1">
        <v>43137</v>
      </c>
      <c r="E669">
        <v>1</v>
      </c>
      <c r="F669">
        <v>681</v>
      </c>
      <c r="G669" t="s">
        <v>462</v>
      </c>
    </row>
    <row r="670" spans="1:7" x14ac:dyDescent="0.3">
      <c r="A670" t="s">
        <v>191</v>
      </c>
      <c r="B670" t="s">
        <v>34</v>
      </c>
      <c r="C670" t="s">
        <v>138</v>
      </c>
      <c r="D670" s="1">
        <v>43140</v>
      </c>
      <c r="E670">
        <v>1</v>
      </c>
      <c r="F670">
        <v>699</v>
      </c>
      <c r="G670" t="s">
        <v>462</v>
      </c>
    </row>
    <row r="671" spans="1:7" x14ac:dyDescent="0.3">
      <c r="A671" t="s">
        <v>191</v>
      </c>
      <c r="B671" t="s">
        <v>47</v>
      </c>
      <c r="C671" t="s">
        <v>138</v>
      </c>
      <c r="D671" s="1">
        <v>43153</v>
      </c>
      <c r="E671">
        <v>6</v>
      </c>
      <c r="F671">
        <v>12014</v>
      </c>
      <c r="G671" t="s">
        <v>462</v>
      </c>
    </row>
    <row r="672" spans="1:7" x14ac:dyDescent="0.3">
      <c r="A672" t="s">
        <v>191</v>
      </c>
      <c r="B672" t="s">
        <v>51</v>
      </c>
      <c r="C672" t="s">
        <v>138</v>
      </c>
      <c r="D672" s="1">
        <v>43200</v>
      </c>
      <c r="E672">
        <v>1</v>
      </c>
      <c r="F672">
        <v>681</v>
      </c>
      <c r="G672" t="s">
        <v>462</v>
      </c>
    </row>
    <row r="673" spans="1:7" x14ac:dyDescent="0.3">
      <c r="A673" t="s">
        <v>191</v>
      </c>
      <c r="B673" t="s">
        <v>53</v>
      </c>
      <c r="C673" t="s">
        <v>138</v>
      </c>
      <c r="D673" s="1">
        <v>43209</v>
      </c>
      <c r="E673">
        <v>19</v>
      </c>
      <c r="F673">
        <v>43537</v>
      </c>
      <c r="G673" t="s">
        <v>462</v>
      </c>
    </row>
    <row r="674" spans="1:7" x14ac:dyDescent="0.3">
      <c r="A674" t="s">
        <v>191</v>
      </c>
      <c r="B674" t="s">
        <v>51</v>
      </c>
      <c r="C674" t="s">
        <v>138</v>
      </c>
      <c r="D674" s="1">
        <v>43213</v>
      </c>
      <c r="E674">
        <v>1</v>
      </c>
      <c r="F674">
        <v>681</v>
      </c>
      <c r="G674" t="s">
        <v>462</v>
      </c>
    </row>
    <row r="675" spans="1:7" x14ac:dyDescent="0.3">
      <c r="A675" t="s">
        <v>191</v>
      </c>
      <c r="B675" t="s">
        <v>53</v>
      </c>
      <c r="C675" t="s">
        <v>138</v>
      </c>
      <c r="D675" s="1">
        <v>43228</v>
      </c>
      <c r="E675">
        <v>28</v>
      </c>
      <c r="F675">
        <v>65310</v>
      </c>
      <c r="G675" t="s">
        <v>462</v>
      </c>
    </row>
    <row r="676" spans="1:7" x14ac:dyDescent="0.3">
      <c r="A676" t="s">
        <v>191</v>
      </c>
      <c r="B676" t="s">
        <v>51</v>
      </c>
      <c r="C676" t="s">
        <v>138</v>
      </c>
      <c r="D676" s="1">
        <v>43235</v>
      </c>
      <c r="E676">
        <v>1</v>
      </c>
      <c r="F676">
        <v>681</v>
      </c>
      <c r="G676" t="s">
        <v>462</v>
      </c>
    </row>
    <row r="677" spans="1:7" x14ac:dyDescent="0.3">
      <c r="A677" t="s">
        <v>191</v>
      </c>
      <c r="B677" t="s">
        <v>53</v>
      </c>
      <c r="C677" t="s">
        <v>138</v>
      </c>
      <c r="D677" s="1">
        <v>43255</v>
      </c>
      <c r="E677">
        <v>9</v>
      </c>
      <c r="F677">
        <v>21769</v>
      </c>
      <c r="G677" t="s">
        <v>462</v>
      </c>
    </row>
    <row r="678" spans="1:7" x14ac:dyDescent="0.3">
      <c r="A678" t="s">
        <v>191</v>
      </c>
      <c r="B678" t="s">
        <v>53</v>
      </c>
      <c r="C678" t="s">
        <v>138</v>
      </c>
      <c r="D678" s="1">
        <v>43259</v>
      </c>
      <c r="E678">
        <v>1</v>
      </c>
      <c r="F678">
        <v>2176</v>
      </c>
      <c r="G678" t="s">
        <v>462</v>
      </c>
    </row>
    <row r="679" spans="1:7" x14ac:dyDescent="0.3">
      <c r="A679" t="s">
        <v>192</v>
      </c>
      <c r="B679" t="s">
        <v>49</v>
      </c>
      <c r="C679" t="s">
        <v>138</v>
      </c>
      <c r="D679" s="1">
        <v>43116</v>
      </c>
      <c r="E679">
        <v>8</v>
      </c>
      <c r="F679">
        <v>17222</v>
      </c>
      <c r="G679" t="s">
        <v>462</v>
      </c>
    </row>
    <row r="680" spans="1:7" x14ac:dyDescent="0.3">
      <c r="A680" t="s">
        <v>192</v>
      </c>
      <c r="B680" t="s">
        <v>49</v>
      </c>
      <c r="C680" t="s">
        <v>138</v>
      </c>
      <c r="D680" s="1">
        <v>43117</v>
      </c>
      <c r="E680">
        <v>24</v>
      </c>
      <c r="F680">
        <v>48917</v>
      </c>
      <c r="G680" t="s">
        <v>462</v>
      </c>
    </row>
    <row r="681" spans="1:7" x14ac:dyDescent="0.3">
      <c r="A681" t="s">
        <v>192</v>
      </c>
      <c r="B681" t="s">
        <v>49</v>
      </c>
      <c r="C681" t="s">
        <v>138</v>
      </c>
      <c r="D681" s="1">
        <v>43140</v>
      </c>
      <c r="E681">
        <v>1</v>
      </c>
      <c r="F681">
        <v>1380</v>
      </c>
      <c r="G681" t="s">
        <v>462</v>
      </c>
    </row>
    <row r="682" spans="1:7" x14ac:dyDescent="0.3">
      <c r="A682" t="s">
        <v>192</v>
      </c>
      <c r="B682" t="s">
        <v>55</v>
      </c>
      <c r="C682" t="s">
        <v>152</v>
      </c>
      <c r="D682" s="1">
        <v>43143</v>
      </c>
      <c r="E682">
        <v>13</v>
      </c>
      <c r="F682">
        <v>26333</v>
      </c>
      <c r="G682" t="s">
        <v>462</v>
      </c>
    </row>
    <row r="683" spans="1:7" x14ac:dyDescent="0.3">
      <c r="A683" t="s">
        <v>192</v>
      </c>
      <c r="B683" t="s">
        <v>55</v>
      </c>
      <c r="C683" t="s">
        <v>152</v>
      </c>
      <c r="D683" s="1">
        <v>43147</v>
      </c>
      <c r="E683">
        <v>13</v>
      </c>
      <c r="F683">
        <v>26333</v>
      </c>
      <c r="G683" t="s">
        <v>462</v>
      </c>
    </row>
    <row r="684" spans="1:7" x14ac:dyDescent="0.3">
      <c r="A684" t="s">
        <v>192</v>
      </c>
      <c r="B684" t="s">
        <v>34</v>
      </c>
      <c r="C684" t="s">
        <v>138</v>
      </c>
      <c r="D684" s="1">
        <v>43153</v>
      </c>
      <c r="E684">
        <v>1</v>
      </c>
      <c r="F684">
        <v>347</v>
      </c>
      <c r="G684" t="s">
        <v>462</v>
      </c>
    </row>
    <row r="685" spans="1:7" x14ac:dyDescent="0.3">
      <c r="A685" t="s">
        <v>192</v>
      </c>
      <c r="B685" t="s">
        <v>47</v>
      </c>
      <c r="C685" t="s">
        <v>138</v>
      </c>
      <c r="D685" s="1">
        <v>43153</v>
      </c>
      <c r="E685">
        <v>3</v>
      </c>
      <c r="F685">
        <v>6125</v>
      </c>
      <c r="G685" t="s">
        <v>462</v>
      </c>
    </row>
    <row r="686" spans="1:7" x14ac:dyDescent="0.3">
      <c r="A686" t="s">
        <v>192</v>
      </c>
      <c r="B686" t="s">
        <v>34</v>
      </c>
      <c r="C686" t="s">
        <v>138</v>
      </c>
      <c r="D686" s="1">
        <v>43154</v>
      </c>
      <c r="E686">
        <v>5</v>
      </c>
      <c r="F686">
        <v>10824</v>
      </c>
      <c r="G686" t="s">
        <v>462</v>
      </c>
    </row>
    <row r="687" spans="1:7" x14ac:dyDescent="0.3">
      <c r="A687" t="s">
        <v>192</v>
      </c>
      <c r="B687" t="s">
        <v>47</v>
      </c>
      <c r="C687" t="s">
        <v>138</v>
      </c>
      <c r="D687" s="1">
        <v>43157</v>
      </c>
      <c r="E687">
        <v>1</v>
      </c>
      <c r="F687">
        <v>3065</v>
      </c>
      <c r="G687" t="s">
        <v>462</v>
      </c>
    </row>
    <row r="688" spans="1:7" x14ac:dyDescent="0.3">
      <c r="A688" t="s">
        <v>192</v>
      </c>
      <c r="B688" t="s">
        <v>49</v>
      </c>
      <c r="C688" t="s">
        <v>138</v>
      </c>
      <c r="D688" s="1">
        <v>43160</v>
      </c>
      <c r="E688">
        <v>1</v>
      </c>
      <c r="F688">
        <v>1380</v>
      </c>
      <c r="G688" t="s">
        <v>462</v>
      </c>
    </row>
    <row r="689" spans="1:7" x14ac:dyDescent="0.3">
      <c r="A689" t="s">
        <v>192</v>
      </c>
      <c r="B689" t="s">
        <v>34</v>
      </c>
      <c r="C689" t="s">
        <v>138</v>
      </c>
      <c r="D689" s="1">
        <v>43161</v>
      </c>
      <c r="E689">
        <v>2</v>
      </c>
      <c r="F689">
        <v>3843</v>
      </c>
      <c r="G689" t="s">
        <v>462</v>
      </c>
    </row>
    <row r="690" spans="1:7" x14ac:dyDescent="0.3">
      <c r="A690" t="s">
        <v>192</v>
      </c>
      <c r="B690" t="s">
        <v>47</v>
      </c>
      <c r="C690" t="s">
        <v>138</v>
      </c>
      <c r="D690" s="1">
        <v>43164</v>
      </c>
      <c r="E690">
        <v>1</v>
      </c>
      <c r="F690">
        <v>3065</v>
      </c>
      <c r="G690" t="s">
        <v>462</v>
      </c>
    </row>
    <row r="691" spans="1:7" x14ac:dyDescent="0.3">
      <c r="A691" t="s">
        <v>192</v>
      </c>
      <c r="B691" t="s">
        <v>47</v>
      </c>
      <c r="C691" t="s">
        <v>138</v>
      </c>
      <c r="D691" s="1">
        <v>43165</v>
      </c>
      <c r="E691">
        <v>1</v>
      </c>
      <c r="F691">
        <v>3065</v>
      </c>
      <c r="G691" t="s">
        <v>462</v>
      </c>
    </row>
    <row r="692" spans="1:7" x14ac:dyDescent="0.3">
      <c r="A692" t="s">
        <v>192</v>
      </c>
      <c r="B692" t="s">
        <v>47</v>
      </c>
      <c r="C692" t="s">
        <v>138</v>
      </c>
      <c r="D692" s="1">
        <v>43167</v>
      </c>
      <c r="E692">
        <v>1</v>
      </c>
      <c r="F692">
        <v>3065</v>
      </c>
      <c r="G692" t="s">
        <v>462</v>
      </c>
    </row>
    <row r="693" spans="1:7" x14ac:dyDescent="0.3">
      <c r="A693" t="s">
        <v>192</v>
      </c>
      <c r="B693" t="s">
        <v>47</v>
      </c>
      <c r="C693" t="s">
        <v>138</v>
      </c>
      <c r="D693" s="1">
        <v>43168</v>
      </c>
      <c r="E693">
        <v>1</v>
      </c>
      <c r="F693">
        <v>3065</v>
      </c>
      <c r="G693" t="s">
        <v>462</v>
      </c>
    </row>
    <row r="694" spans="1:7" x14ac:dyDescent="0.3">
      <c r="A694" t="s">
        <v>192</v>
      </c>
      <c r="B694" t="s">
        <v>47</v>
      </c>
      <c r="C694" t="s">
        <v>138</v>
      </c>
      <c r="D694" s="1">
        <v>43174</v>
      </c>
      <c r="E694">
        <v>3</v>
      </c>
      <c r="F694">
        <v>6130</v>
      </c>
      <c r="G694" t="s">
        <v>462</v>
      </c>
    </row>
    <row r="695" spans="1:7" x14ac:dyDescent="0.3">
      <c r="A695" t="s">
        <v>192</v>
      </c>
      <c r="B695" t="s">
        <v>47</v>
      </c>
      <c r="C695" t="s">
        <v>138</v>
      </c>
      <c r="D695" s="1">
        <v>43178</v>
      </c>
      <c r="E695">
        <v>1</v>
      </c>
      <c r="F695">
        <v>3065</v>
      </c>
      <c r="G695" t="s">
        <v>462</v>
      </c>
    </row>
    <row r="696" spans="1:7" x14ac:dyDescent="0.3">
      <c r="A696" t="s">
        <v>192</v>
      </c>
      <c r="B696" t="s">
        <v>53</v>
      </c>
      <c r="C696" t="s">
        <v>138</v>
      </c>
      <c r="D696" s="1">
        <v>43178</v>
      </c>
      <c r="E696">
        <v>5</v>
      </c>
      <c r="F696">
        <v>10884</v>
      </c>
      <c r="G696" t="s">
        <v>462</v>
      </c>
    </row>
    <row r="697" spans="1:7" x14ac:dyDescent="0.3">
      <c r="A697" t="s">
        <v>192</v>
      </c>
      <c r="B697" t="s">
        <v>47</v>
      </c>
      <c r="C697" t="s">
        <v>138</v>
      </c>
      <c r="D697" s="1">
        <v>43179</v>
      </c>
      <c r="E697">
        <v>1</v>
      </c>
      <c r="F697">
        <v>3065</v>
      </c>
      <c r="G697" t="s">
        <v>462</v>
      </c>
    </row>
    <row r="698" spans="1:7" x14ac:dyDescent="0.3">
      <c r="A698" t="s">
        <v>192</v>
      </c>
      <c r="B698" t="s">
        <v>47</v>
      </c>
      <c r="C698" t="s">
        <v>138</v>
      </c>
      <c r="D698" s="1">
        <v>43180</v>
      </c>
      <c r="E698">
        <v>1</v>
      </c>
      <c r="F698">
        <v>3065</v>
      </c>
      <c r="G698" t="s">
        <v>462</v>
      </c>
    </row>
    <row r="699" spans="1:7" x14ac:dyDescent="0.3">
      <c r="A699" t="s">
        <v>192</v>
      </c>
      <c r="B699" t="s">
        <v>49</v>
      </c>
      <c r="C699" t="s">
        <v>138</v>
      </c>
      <c r="D699" s="1">
        <v>43180</v>
      </c>
      <c r="E699">
        <v>1</v>
      </c>
      <c r="F699">
        <v>343</v>
      </c>
      <c r="G699" t="s">
        <v>462</v>
      </c>
    </row>
    <row r="700" spans="1:7" x14ac:dyDescent="0.3">
      <c r="A700" t="s">
        <v>192</v>
      </c>
      <c r="B700" t="s">
        <v>47</v>
      </c>
      <c r="C700" t="s">
        <v>138</v>
      </c>
      <c r="D700" s="1">
        <v>43182</v>
      </c>
      <c r="E700">
        <v>1</v>
      </c>
      <c r="F700">
        <v>3065</v>
      </c>
      <c r="G700" t="s">
        <v>462</v>
      </c>
    </row>
    <row r="701" spans="1:7" x14ac:dyDescent="0.3">
      <c r="A701" t="s">
        <v>192</v>
      </c>
      <c r="B701" t="s">
        <v>49</v>
      </c>
      <c r="C701" t="s">
        <v>138</v>
      </c>
      <c r="D701" s="1">
        <v>43182</v>
      </c>
      <c r="E701">
        <v>1</v>
      </c>
      <c r="F701">
        <v>690</v>
      </c>
      <c r="G701" t="s">
        <v>462</v>
      </c>
    </row>
    <row r="702" spans="1:7" x14ac:dyDescent="0.3">
      <c r="A702" t="s">
        <v>192</v>
      </c>
      <c r="B702" t="s">
        <v>47</v>
      </c>
      <c r="C702" t="s">
        <v>138</v>
      </c>
      <c r="D702" s="1">
        <v>43186</v>
      </c>
      <c r="E702">
        <v>1</v>
      </c>
      <c r="F702">
        <v>3065</v>
      </c>
      <c r="G702" t="s">
        <v>462</v>
      </c>
    </row>
    <row r="703" spans="1:7" x14ac:dyDescent="0.3">
      <c r="A703" t="s">
        <v>192</v>
      </c>
      <c r="B703" t="s">
        <v>47</v>
      </c>
      <c r="C703" t="s">
        <v>138</v>
      </c>
      <c r="D703" s="1">
        <v>43187</v>
      </c>
      <c r="E703">
        <v>1</v>
      </c>
      <c r="F703">
        <v>3065</v>
      </c>
      <c r="G703" t="s">
        <v>462</v>
      </c>
    </row>
    <row r="704" spans="1:7" x14ac:dyDescent="0.3">
      <c r="A704" t="s">
        <v>192</v>
      </c>
      <c r="B704" t="s">
        <v>47</v>
      </c>
      <c r="C704" t="s">
        <v>138</v>
      </c>
      <c r="D704" s="1">
        <v>43188</v>
      </c>
      <c r="E704">
        <v>1</v>
      </c>
      <c r="F704">
        <v>3065</v>
      </c>
      <c r="G704" t="s">
        <v>462</v>
      </c>
    </row>
    <row r="705" spans="1:7" x14ac:dyDescent="0.3">
      <c r="A705" t="s">
        <v>192</v>
      </c>
      <c r="B705" t="s">
        <v>49</v>
      </c>
      <c r="C705" t="s">
        <v>138</v>
      </c>
      <c r="D705" s="1">
        <v>43188</v>
      </c>
      <c r="E705">
        <v>1</v>
      </c>
      <c r="F705">
        <v>1380</v>
      </c>
      <c r="G705" t="s">
        <v>462</v>
      </c>
    </row>
    <row r="706" spans="1:7" x14ac:dyDescent="0.3">
      <c r="A706" t="s">
        <v>192</v>
      </c>
      <c r="B706" t="s">
        <v>47</v>
      </c>
      <c r="C706" t="s">
        <v>138</v>
      </c>
      <c r="D706" s="1">
        <v>43194</v>
      </c>
      <c r="E706">
        <v>1</v>
      </c>
      <c r="F706">
        <v>3065</v>
      </c>
      <c r="G706" t="s">
        <v>462</v>
      </c>
    </row>
    <row r="707" spans="1:7" x14ac:dyDescent="0.3">
      <c r="A707" t="s">
        <v>192</v>
      </c>
      <c r="B707" t="s">
        <v>47</v>
      </c>
      <c r="C707" t="s">
        <v>138</v>
      </c>
      <c r="D707" s="1">
        <v>43196</v>
      </c>
      <c r="E707">
        <v>5</v>
      </c>
      <c r="F707">
        <v>12250</v>
      </c>
      <c r="G707" t="s">
        <v>462</v>
      </c>
    </row>
    <row r="708" spans="1:7" x14ac:dyDescent="0.3">
      <c r="A708" t="s">
        <v>192</v>
      </c>
      <c r="B708" t="s">
        <v>49</v>
      </c>
      <c r="C708" t="s">
        <v>138</v>
      </c>
      <c r="D708" s="1">
        <v>43201</v>
      </c>
      <c r="E708">
        <v>2</v>
      </c>
      <c r="F708">
        <v>4130</v>
      </c>
      <c r="G708" t="s">
        <v>462</v>
      </c>
    </row>
    <row r="709" spans="1:7" x14ac:dyDescent="0.3">
      <c r="A709" t="s">
        <v>192</v>
      </c>
      <c r="B709" t="s">
        <v>47</v>
      </c>
      <c r="C709" t="s">
        <v>138</v>
      </c>
      <c r="D709" s="1">
        <v>43202</v>
      </c>
      <c r="E709">
        <v>3</v>
      </c>
      <c r="F709">
        <v>6125</v>
      </c>
      <c r="G709" t="s">
        <v>462</v>
      </c>
    </row>
    <row r="710" spans="1:7" x14ac:dyDescent="0.3">
      <c r="A710" t="s">
        <v>192</v>
      </c>
      <c r="B710" t="s">
        <v>53</v>
      </c>
      <c r="C710" t="s">
        <v>138</v>
      </c>
      <c r="D710" s="1">
        <v>43202</v>
      </c>
      <c r="E710">
        <v>14</v>
      </c>
      <c r="F710">
        <v>32653</v>
      </c>
      <c r="G710" t="s">
        <v>462</v>
      </c>
    </row>
    <row r="711" spans="1:7" x14ac:dyDescent="0.3">
      <c r="A711" t="s">
        <v>192</v>
      </c>
      <c r="B711" t="s">
        <v>24</v>
      </c>
      <c r="C711" t="s">
        <v>141</v>
      </c>
      <c r="D711" s="1">
        <v>43203</v>
      </c>
      <c r="E711">
        <v>11</v>
      </c>
      <c r="F711">
        <v>37690</v>
      </c>
      <c r="G711" t="s">
        <v>462</v>
      </c>
    </row>
    <row r="712" spans="1:7" x14ac:dyDescent="0.3">
      <c r="A712" t="s">
        <v>192</v>
      </c>
      <c r="B712" t="s">
        <v>47</v>
      </c>
      <c r="C712" t="s">
        <v>138</v>
      </c>
      <c r="D712" s="1">
        <v>43207</v>
      </c>
      <c r="E712">
        <v>1</v>
      </c>
      <c r="F712">
        <v>3065</v>
      </c>
      <c r="G712" t="s">
        <v>462</v>
      </c>
    </row>
    <row r="713" spans="1:7" x14ac:dyDescent="0.3">
      <c r="A713" t="s">
        <v>192</v>
      </c>
      <c r="B713" t="s">
        <v>49</v>
      </c>
      <c r="C713" t="s">
        <v>138</v>
      </c>
      <c r="D713" s="1">
        <v>43208</v>
      </c>
      <c r="E713">
        <v>2</v>
      </c>
      <c r="F713">
        <v>3444</v>
      </c>
      <c r="G713" t="s">
        <v>462</v>
      </c>
    </row>
    <row r="714" spans="1:7" x14ac:dyDescent="0.3">
      <c r="A714" t="s">
        <v>192</v>
      </c>
      <c r="B714" t="s">
        <v>47</v>
      </c>
      <c r="C714" t="s">
        <v>138</v>
      </c>
      <c r="D714" s="1">
        <v>43209</v>
      </c>
      <c r="E714">
        <v>4</v>
      </c>
      <c r="F714">
        <v>9190</v>
      </c>
      <c r="G714" t="s">
        <v>462</v>
      </c>
    </row>
    <row r="715" spans="1:7" x14ac:dyDescent="0.3">
      <c r="A715" t="s">
        <v>192</v>
      </c>
      <c r="B715" t="s">
        <v>47</v>
      </c>
      <c r="C715" t="s">
        <v>138</v>
      </c>
      <c r="D715" s="1">
        <v>43210</v>
      </c>
      <c r="E715">
        <v>1</v>
      </c>
      <c r="F715">
        <v>3065</v>
      </c>
      <c r="G715" t="s">
        <v>462</v>
      </c>
    </row>
    <row r="716" spans="1:7" x14ac:dyDescent="0.3">
      <c r="A716" t="s">
        <v>192</v>
      </c>
      <c r="B716" t="s">
        <v>47</v>
      </c>
      <c r="C716" t="s">
        <v>138</v>
      </c>
      <c r="D716" s="1">
        <v>43213</v>
      </c>
      <c r="E716">
        <v>1</v>
      </c>
      <c r="F716">
        <v>3065</v>
      </c>
      <c r="G716" t="s">
        <v>462</v>
      </c>
    </row>
    <row r="717" spans="1:7" x14ac:dyDescent="0.3">
      <c r="A717" t="s">
        <v>192</v>
      </c>
      <c r="B717" t="s">
        <v>51</v>
      </c>
      <c r="C717" t="s">
        <v>138</v>
      </c>
      <c r="D717" s="1">
        <v>43214</v>
      </c>
      <c r="E717">
        <v>2</v>
      </c>
      <c r="F717">
        <v>3056</v>
      </c>
      <c r="G717" t="s">
        <v>462</v>
      </c>
    </row>
    <row r="718" spans="1:7" x14ac:dyDescent="0.3">
      <c r="A718" t="s">
        <v>192</v>
      </c>
      <c r="B718" t="s">
        <v>24</v>
      </c>
      <c r="C718" t="s">
        <v>141</v>
      </c>
      <c r="D718" s="1">
        <v>43217</v>
      </c>
      <c r="E718">
        <v>10</v>
      </c>
      <c r="F718">
        <v>34157</v>
      </c>
      <c r="G718" t="s">
        <v>462</v>
      </c>
    </row>
    <row r="719" spans="1:7" x14ac:dyDescent="0.3">
      <c r="A719" t="s">
        <v>192</v>
      </c>
      <c r="B719" t="s">
        <v>47</v>
      </c>
      <c r="C719" t="s">
        <v>138</v>
      </c>
      <c r="D719" s="1">
        <v>43217</v>
      </c>
      <c r="E719">
        <v>1</v>
      </c>
      <c r="F719">
        <v>3065</v>
      </c>
      <c r="G719" t="s">
        <v>462</v>
      </c>
    </row>
    <row r="720" spans="1:7" x14ac:dyDescent="0.3">
      <c r="A720" t="s">
        <v>192</v>
      </c>
      <c r="B720" t="s">
        <v>47</v>
      </c>
      <c r="C720" t="s">
        <v>138</v>
      </c>
      <c r="D720" s="1">
        <v>43220</v>
      </c>
      <c r="E720">
        <v>1</v>
      </c>
      <c r="F720">
        <v>3065</v>
      </c>
      <c r="G720" t="s">
        <v>462</v>
      </c>
    </row>
    <row r="721" spans="1:7" x14ac:dyDescent="0.3">
      <c r="A721" t="s">
        <v>192</v>
      </c>
      <c r="B721" t="s">
        <v>51</v>
      </c>
      <c r="C721" t="s">
        <v>138</v>
      </c>
      <c r="D721" s="1">
        <v>43220</v>
      </c>
      <c r="E721">
        <v>2</v>
      </c>
      <c r="F721">
        <v>3056</v>
      </c>
      <c r="G721" t="s">
        <v>462</v>
      </c>
    </row>
    <row r="722" spans="1:7" x14ac:dyDescent="0.3">
      <c r="A722" t="s">
        <v>192</v>
      </c>
      <c r="B722" t="s">
        <v>49</v>
      </c>
      <c r="C722" t="s">
        <v>138</v>
      </c>
      <c r="D722" s="1">
        <v>43220</v>
      </c>
      <c r="E722">
        <v>1</v>
      </c>
      <c r="F722">
        <v>2065</v>
      </c>
      <c r="G722" t="s">
        <v>462</v>
      </c>
    </row>
    <row r="723" spans="1:7" x14ac:dyDescent="0.3">
      <c r="A723" t="s">
        <v>192</v>
      </c>
      <c r="B723" t="s">
        <v>47</v>
      </c>
      <c r="C723" t="s">
        <v>138</v>
      </c>
      <c r="D723" s="1">
        <v>43223</v>
      </c>
      <c r="E723">
        <v>3</v>
      </c>
      <c r="F723">
        <v>6125</v>
      </c>
      <c r="G723" t="s">
        <v>462</v>
      </c>
    </row>
    <row r="724" spans="1:7" x14ac:dyDescent="0.3">
      <c r="A724" t="s">
        <v>192</v>
      </c>
      <c r="B724" t="s">
        <v>49</v>
      </c>
      <c r="C724" t="s">
        <v>138</v>
      </c>
      <c r="D724" s="1">
        <v>43223</v>
      </c>
      <c r="E724">
        <v>1</v>
      </c>
      <c r="F724">
        <v>1380</v>
      </c>
      <c r="G724" t="s">
        <v>462</v>
      </c>
    </row>
    <row r="725" spans="1:7" x14ac:dyDescent="0.3">
      <c r="A725" t="s">
        <v>192</v>
      </c>
      <c r="B725" t="s">
        <v>47</v>
      </c>
      <c r="C725" t="s">
        <v>138</v>
      </c>
      <c r="D725" s="1">
        <v>43224</v>
      </c>
      <c r="E725">
        <v>4</v>
      </c>
      <c r="F725">
        <v>9190</v>
      </c>
      <c r="G725" t="s">
        <v>462</v>
      </c>
    </row>
    <row r="726" spans="1:7" x14ac:dyDescent="0.3">
      <c r="A726" t="s">
        <v>192</v>
      </c>
      <c r="B726" t="s">
        <v>24</v>
      </c>
      <c r="C726" t="s">
        <v>141</v>
      </c>
      <c r="D726" s="1">
        <v>43227</v>
      </c>
      <c r="E726">
        <v>6</v>
      </c>
      <c r="F726">
        <v>20023</v>
      </c>
      <c r="G726" t="s">
        <v>462</v>
      </c>
    </row>
    <row r="727" spans="1:7" x14ac:dyDescent="0.3">
      <c r="A727" t="s">
        <v>192</v>
      </c>
      <c r="B727" t="s">
        <v>47</v>
      </c>
      <c r="C727" t="s">
        <v>138</v>
      </c>
      <c r="D727" s="1">
        <v>43229</v>
      </c>
      <c r="E727">
        <v>1</v>
      </c>
      <c r="F727">
        <v>3065</v>
      </c>
      <c r="G727" t="s">
        <v>462</v>
      </c>
    </row>
    <row r="728" spans="1:7" x14ac:dyDescent="0.3">
      <c r="A728" t="s">
        <v>192</v>
      </c>
      <c r="B728" t="s">
        <v>47</v>
      </c>
      <c r="C728" t="s">
        <v>138</v>
      </c>
      <c r="D728" s="1">
        <v>43229</v>
      </c>
      <c r="E728">
        <v>13</v>
      </c>
      <c r="F728">
        <v>28269</v>
      </c>
      <c r="G728" t="s">
        <v>462</v>
      </c>
    </row>
    <row r="729" spans="1:7" x14ac:dyDescent="0.3">
      <c r="A729" t="s">
        <v>192</v>
      </c>
      <c r="B729" t="s">
        <v>47</v>
      </c>
      <c r="C729" t="s">
        <v>138</v>
      </c>
      <c r="D729" s="1">
        <v>43234</v>
      </c>
      <c r="E729">
        <v>1</v>
      </c>
      <c r="F729">
        <v>3065</v>
      </c>
      <c r="G729" t="s">
        <v>462</v>
      </c>
    </row>
    <row r="730" spans="1:7" x14ac:dyDescent="0.3">
      <c r="A730" t="s">
        <v>192</v>
      </c>
      <c r="B730" t="s">
        <v>51</v>
      </c>
      <c r="C730" t="s">
        <v>138</v>
      </c>
      <c r="D730" s="1">
        <v>43234</v>
      </c>
      <c r="E730">
        <v>2</v>
      </c>
      <c r="F730">
        <v>3056</v>
      </c>
      <c r="G730" t="s">
        <v>462</v>
      </c>
    </row>
    <row r="731" spans="1:7" x14ac:dyDescent="0.3">
      <c r="A731" t="s">
        <v>192</v>
      </c>
      <c r="B731" t="s">
        <v>51</v>
      </c>
      <c r="C731" t="s">
        <v>138</v>
      </c>
      <c r="D731" s="1">
        <v>43235</v>
      </c>
      <c r="E731">
        <v>2</v>
      </c>
      <c r="F731">
        <v>3056</v>
      </c>
      <c r="G731" t="s">
        <v>462</v>
      </c>
    </row>
    <row r="732" spans="1:7" x14ac:dyDescent="0.3">
      <c r="A732" t="s">
        <v>192</v>
      </c>
      <c r="B732" t="s">
        <v>47</v>
      </c>
      <c r="C732" t="s">
        <v>138</v>
      </c>
      <c r="D732" s="1">
        <v>43236</v>
      </c>
      <c r="E732">
        <v>1</v>
      </c>
      <c r="F732">
        <v>3065</v>
      </c>
      <c r="G732" t="s">
        <v>462</v>
      </c>
    </row>
    <row r="733" spans="1:7" x14ac:dyDescent="0.3">
      <c r="A733" t="s">
        <v>192</v>
      </c>
      <c r="B733" t="s">
        <v>47</v>
      </c>
      <c r="C733" t="s">
        <v>138</v>
      </c>
      <c r="D733" s="1">
        <v>43236</v>
      </c>
      <c r="E733">
        <v>13</v>
      </c>
      <c r="F733">
        <v>28269</v>
      </c>
      <c r="G733" t="s">
        <v>462</v>
      </c>
    </row>
    <row r="734" spans="1:7" x14ac:dyDescent="0.3">
      <c r="A734" t="s">
        <v>192</v>
      </c>
      <c r="B734" t="s">
        <v>24</v>
      </c>
      <c r="C734" t="s">
        <v>141</v>
      </c>
      <c r="D734" s="1">
        <v>43237</v>
      </c>
      <c r="E734">
        <v>1</v>
      </c>
      <c r="F734">
        <v>1176</v>
      </c>
      <c r="G734" t="s">
        <v>462</v>
      </c>
    </row>
    <row r="735" spans="1:7" x14ac:dyDescent="0.3">
      <c r="A735" t="s">
        <v>192</v>
      </c>
      <c r="B735" t="s">
        <v>47</v>
      </c>
      <c r="C735" t="s">
        <v>138</v>
      </c>
      <c r="D735" s="1">
        <v>43237</v>
      </c>
      <c r="E735">
        <v>3</v>
      </c>
      <c r="F735">
        <v>6125</v>
      </c>
      <c r="G735" t="s">
        <v>462</v>
      </c>
    </row>
    <row r="736" spans="1:7" x14ac:dyDescent="0.3">
      <c r="A736" t="s">
        <v>192</v>
      </c>
      <c r="B736" t="s">
        <v>47</v>
      </c>
      <c r="C736" t="s">
        <v>138</v>
      </c>
      <c r="D736" s="1">
        <v>43237</v>
      </c>
      <c r="E736">
        <v>27</v>
      </c>
      <c r="F736">
        <v>56537</v>
      </c>
      <c r="G736" t="s">
        <v>462</v>
      </c>
    </row>
    <row r="737" spans="1:7" x14ac:dyDescent="0.3">
      <c r="A737" t="s">
        <v>192</v>
      </c>
      <c r="B737" t="s">
        <v>24</v>
      </c>
      <c r="C737" t="s">
        <v>141</v>
      </c>
      <c r="D737" s="1">
        <v>43238</v>
      </c>
      <c r="E737">
        <v>5</v>
      </c>
      <c r="F737">
        <v>16491</v>
      </c>
      <c r="G737" t="s">
        <v>462</v>
      </c>
    </row>
    <row r="738" spans="1:7" x14ac:dyDescent="0.3">
      <c r="A738" t="s">
        <v>192</v>
      </c>
      <c r="B738" t="s">
        <v>47</v>
      </c>
      <c r="C738" t="s">
        <v>138</v>
      </c>
      <c r="D738" s="1">
        <v>43238</v>
      </c>
      <c r="E738">
        <v>1</v>
      </c>
      <c r="F738">
        <v>3065</v>
      </c>
      <c r="G738" t="s">
        <v>462</v>
      </c>
    </row>
    <row r="739" spans="1:7" x14ac:dyDescent="0.3">
      <c r="A739" t="s">
        <v>192</v>
      </c>
      <c r="B739" t="s">
        <v>47</v>
      </c>
      <c r="C739" t="s">
        <v>138</v>
      </c>
      <c r="D739" s="1">
        <v>43238</v>
      </c>
      <c r="E739">
        <v>13</v>
      </c>
      <c r="F739">
        <v>28269</v>
      </c>
      <c r="G739" t="s">
        <v>462</v>
      </c>
    </row>
    <row r="740" spans="1:7" x14ac:dyDescent="0.3">
      <c r="A740" t="s">
        <v>192</v>
      </c>
      <c r="B740" t="s">
        <v>51</v>
      </c>
      <c r="C740" t="s">
        <v>138</v>
      </c>
      <c r="D740" s="1">
        <v>43241</v>
      </c>
      <c r="E740">
        <v>2</v>
      </c>
      <c r="F740">
        <v>3056</v>
      </c>
      <c r="G740" t="s">
        <v>462</v>
      </c>
    </row>
    <row r="741" spans="1:7" x14ac:dyDescent="0.3">
      <c r="A741" t="s">
        <v>192</v>
      </c>
      <c r="B741" t="s">
        <v>51</v>
      </c>
      <c r="C741" t="s">
        <v>138</v>
      </c>
      <c r="D741" s="1">
        <v>43242</v>
      </c>
      <c r="E741">
        <v>2</v>
      </c>
      <c r="F741">
        <v>3056</v>
      </c>
      <c r="G741" t="s">
        <v>462</v>
      </c>
    </row>
    <row r="742" spans="1:7" x14ac:dyDescent="0.3">
      <c r="A742" t="s">
        <v>192</v>
      </c>
      <c r="B742" t="s">
        <v>47</v>
      </c>
      <c r="C742" t="s">
        <v>138</v>
      </c>
      <c r="D742" s="1">
        <v>43243</v>
      </c>
      <c r="E742">
        <v>1</v>
      </c>
      <c r="F742">
        <v>3065</v>
      </c>
      <c r="G742" t="s">
        <v>462</v>
      </c>
    </row>
    <row r="743" spans="1:7" x14ac:dyDescent="0.3">
      <c r="A743" t="s">
        <v>192</v>
      </c>
      <c r="B743" t="s">
        <v>47</v>
      </c>
      <c r="C743" t="s">
        <v>138</v>
      </c>
      <c r="D743" s="1">
        <v>43244</v>
      </c>
      <c r="E743">
        <v>1</v>
      </c>
      <c r="F743">
        <v>3065</v>
      </c>
      <c r="G743" t="s">
        <v>462</v>
      </c>
    </row>
    <row r="744" spans="1:7" x14ac:dyDescent="0.3">
      <c r="A744" t="s">
        <v>192</v>
      </c>
      <c r="B744" t="s">
        <v>47</v>
      </c>
      <c r="C744" t="s">
        <v>138</v>
      </c>
      <c r="D744" s="1">
        <v>43245</v>
      </c>
      <c r="E744">
        <v>1</v>
      </c>
      <c r="F744">
        <v>3065</v>
      </c>
      <c r="G744" t="s">
        <v>462</v>
      </c>
    </row>
    <row r="745" spans="1:7" x14ac:dyDescent="0.3">
      <c r="A745" t="s">
        <v>192</v>
      </c>
      <c r="B745" t="s">
        <v>24</v>
      </c>
      <c r="C745" t="s">
        <v>141</v>
      </c>
      <c r="D745" s="1">
        <v>43248</v>
      </c>
      <c r="E745">
        <v>4</v>
      </c>
      <c r="F745">
        <v>14134</v>
      </c>
      <c r="G745" t="s">
        <v>462</v>
      </c>
    </row>
    <row r="746" spans="1:7" x14ac:dyDescent="0.3">
      <c r="A746" t="s">
        <v>192</v>
      </c>
      <c r="B746" t="s">
        <v>47</v>
      </c>
      <c r="C746" t="s">
        <v>138</v>
      </c>
      <c r="D746" s="1">
        <v>43250</v>
      </c>
      <c r="E746">
        <v>3</v>
      </c>
      <c r="F746">
        <v>6125</v>
      </c>
      <c r="G746" t="s">
        <v>462</v>
      </c>
    </row>
    <row r="747" spans="1:7" x14ac:dyDescent="0.3">
      <c r="A747" t="s">
        <v>192</v>
      </c>
      <c r="B747" t="s">
        <v>24</v>
      </c>
      <c r="C747" t="s">
        <v>141</v>
      </c>
      <c r="D747" s="1">
        <v>43252</v>
      </c>
      <c r="E747">
        <v>5</v>
      </c>
      <c r="F747">
        <v>16491</v>
      </c>
      <c r="G747" t="s">
        <v>462</v>
      </c>
    </row>
    <row r="748" spans="1:7" x14ac:dyDescent="0.3">
      <c r="A748" t="s">
        <v>192</v>
      </c>
      <c r="B748" t="s">
        <v>47</v>
      </c>
      <c r="C748" t="s">
        <v>138</v>
      </c>
      <c r="D748" s="1">
        <v>43252</v>
      </c>
      <c r="E748">
        <v>1</v>
      </c>
      <c r="F748">
        <v>3065</v>
      </c>
      <c r="G748" t="s">
        <v>462</v>
      </c>
    </row>
    <row r="749" spans="1:7" x14ac:dyDescent="0.3">
      <c r="A749" t="s">
        <v>192</v>
      </c>
      <c r="B749" t="s">
        <v>47</v>
      </c>
      <c r="C749" t="s">
        <v>138</v>
      </c>
      <c r="D749" s="1">
        <v>43255</v>
      </c>
      <c r="E749">
        <v>1</v>
      </c>
      <c r="F749">
        <v>3065</v>
      </c>
      <c r="G749" t="s">
        <v>462</v>
      </c>
    </row>
    <row r="750" spans="1:7" x14ac:dyDescent="0.3">
      <c r="A750" t="s">
        <v>192</v>
      </c>
      <c r="B750" t="s">
        <v>47</v>
      </c>
      <c r="C750" t="s">
        <v>138</v>
      </c>
      <c r="D750" s="1">
        <v>43256</v>
      </c>
      <c r="E750">
        <v>1</v>
      </c>
      <c r="F750">
        <v>3065</v>
      </c>
      <c r="G750" t="s">
        <v>462</v>
      </c>
    </row>
    <row r="751" spans="1:7" x14ac:dyDescent="0.3">
      <c r="A751" t="s">
        <v>192</v>
      </c>
      <c r="B751" t="s">
        <v>47</v>
      </c>
      <c r="C751" t="s">
        <v>138</v>
      </c>
      <c r="D751" s="1">
        <v>43258</v>
      </c>
      <c r="E751">
        <v>3</v>
      </c>
      <c r="F751">
        <v>6125</v>
      </c>
      <c r="G751" t="s">
        <v>462</v>
      </c>
    </row>
    <row r="752" spans="1:7" x14ac:dyDescent="0.3">
      <c r="A752" t="s">
        <v>192</v>
      </c>
      <c r="B752" t="s">
        <v>24</v>
      </c>
      <c r="C752" t="s">
        <v>141</v>
      </c>
      <c r="D752" s="1">
        <v>43262</v>
      </c>
      <c r="E752">
        <v>11</v>
      </c>
      <c r="F752">
        <v>40046</v>
      </c>
      <c r="G752" t="s">
        <v>462</v>
      </c>
    </row>
    <row r="753" spans="1:7" x14ac:dyDescent="0.3">
      <c r="A753" t="s">
        <v>192</v>
      </c>
      <c r="B753" t="s">
        <v>47</v>
      </c>
      <c r="C753" t="s">
        <v>138</v>
      </c>
      <c r="D753" s="1">
        <v>43262</v>
      </c>
      <c r="E753">
        <v>1</v>
      </c>
      <c r="F753">
        <v>3065</v>
      </c>
      <c r="G753" t="s">
        <v>462</v>
      </c>
    </row>
    <row r="754" spans="1:7" x14ac:dyDescent="0.3">
      <c r="A754" t="s">
        <v>192</v>
      </c>
      <c r="B754" t="s">
        <v>47</v>
      </c>
      <c r="C754" t="s">
        <v>138</v>
      </c>
      <c r="D754" s="1">
        <v>43263</v>
      </c>
      <c r="E754">
        <v>1</v>
      </c>
      <c r="F754">
        <v>3065</v>
      </c>
      <c r="G754" t="s">
        <v>462</v>
      </c>
    </row>
    <row r="755" spans="1:7" x14ac:dyDescent="0.3">
      <c r="A755" t="s">
        <v>192</v>
      </c>
      <c r="B755" t="s">
        <v>51</v>
      </c>
      <c r="C755" t="s">
        <v>138</v>
      </c>
      <c r="D755" s="1">
        <v>43263</v>
      </c>
      <c r="E755">
        <v>1</v>
      </c>
      <c r="F755">
        <v>338</v>
      </c>
      <c r="G755" t="s">
        <v>462</v>
      </c>
    </row>
    <row r="756" spans="1:7" x14ac:dyDescent="0.3">
      <c r="A756" t="s">
        <v>192</v>
      </c>
      <c r="B756" t="s">
        <v>47</v>
      </c>
      <c r="C756" t="s">
        <v>138</v>
      </c>
      <c r="D756" s="1">
        <v>43264</v>
      </c>
      <c r="E756">
        <v>1</v>
      </c>
      <c r="F756">
        <v>3065</v>
      </c>
      <c r="G756" t="s">
        <v>462</v>
      </c>
    </row>
    <row r="757" spans="1:7" x14ac:dyDescent="0.3">
      <c r="A757" t="s">
        <v>192</v>
      </c>
      <c r="B757" t="s">
        <v>47</v>
      </c>
      <c r="C757" t="s">
        <v>138</v>
      </c>
      <c r="D757" s="1">
        <v>43265</v>
      </c>
      <c r="E757">
        <v>5</v>
      </c>
      <c r="F757">
        <v>12250</v>
      </c>
      <c r="G757" t="s">
        <v>462</v>
      </c>
    </row>
    <row r="758" spans="1:7" x14ac:dyDescent="0.3">
      <c r="A758" t="s">
        <v>192</v>
      </c>
      <c r="B758" t="s">
        <v>49</v>
      </c>
      <c r="C758" t="s">
        <v>138</v>
      </c>
      <c r="D758" s="1">
        <v>43265</v>
      </c>
      <c r="E758">
        <v>7</v>
      </c>
      <c r="F758">
        <v>14407</v>
      </c>
      <c r="G758" t="s">
        <v>462</v>
      </c>
    </row>
    <row r="759" spans="1:7" x14ac:dyDescent="0.3">
      <c r="A759" t="s">
        <v>192</v>
      </c>
      <c r="B759" t="s">
        <v>47</v>
      </c>
      <c r="C759" t="s">
        <v>138</v>
      </c>
      <c r="D759" s="1">
        <v>43266</v>
      </c>
      <c r="E759">
        <v>3</v>
      </c>
      <c r="F759">
        <v>6125</v>
      </c>
      <c r="G759" t="s">
        <v>462</v>
      </c>
    </row>
    <row r="760" spans="1:7" x14ac:dyDescent="0.3">
      <c r="A760" t="s">
        <v>192</v>
      </c>
      <c r="B760" t="s">
        <v>24</v>
      </c>
      <c r="C760" t="s">
        <v>141</v>
      </c>
      <c r="D760" s="1">
        <v>43270</v>
      </c>
      <c r="E760">
        <v>7</v>
      </c>
      <c r="F760">
        <v>25912</v>
      </c>
      <c r="G760" t="s">
        <v>462</v>
      </c>
    </row>
    <row r="761" spans="1:7" x14ac:dyDescent="0.3">
      <c r="A761" t="s">
        <v>192</v>
      </c>
      <c r="B761" t="s">
        <v>55</v>
      </c>
      <c r="C761" t="s">
        <v>152</v>
      </c>
      <c r="D761" s="1">
        <v>43270</v>
      </c>
      <c r="E761">
        <v>27</v>
      </c>
      <c r="F761">
        <v>52667</v>
      </c>
      <c r="G761" t="s">
        <v>462</v>
      </c>
    </row>
    <row r="762" spans="1:7" x14ac:dyDescent="0.3">
      <c r="A762" t="s">
        <v>192</v>
      </c>
      <c r="B762" t="s">
        <v>47</v>
      </c>
      <c r="C762" t="s">
        <v>138</v>
      </c>
      <c r="D762" s="1">
        <v>43270</v>
      </c>
      <c r="E762">
        <v>1</v>
      </c>
      <c r="F762">
        <v>3065</v>
      </c>
      <c r="G762" t="s">
        <v>462</v>
      </c>
    </row>
    <row r="763" spans="1:7" x14ac:dyDescent="0.3">
      <c r="A763" t="s">
        <v>192</v>
      </c>
      <c r="B763" t="s">
        <v>51</v>
      </c>
      <c r="C763" t="s">
        <v>138</v>
      </c>
      <c r="D763" s="1">
        <v>43270</v>
      </c>
      <c r="E763">
        <v>1</v>
      </c>
      <c r="F763">
        <v>338</v>
      </c>
      <c r="G763" t="s">
        <v>462</v>
      </c>
    </row>
    <row r="764" spans="1:7" x14ac:dyDescent="0.3">
      <c r="A764" t="s">
        <v>192</v>
      </c>
      <c r="B764" t="s">
        <v>49</v>
      </c>
      <c r="C764" t="s">
        <v>138</v>
      </c>
      <c r="D764" s="1">
        <v>43270</v>
      </c>
      <c r="E764">
        <v>2</v>
      </c>
      <c r="F764">
        <v>4319</v>
      </c>
      <c r="G764" t="s">
        <v>462</v>
      </c>
    </row>
    <row r="765" spans="1:7" x14ac:dyDescent="0.3">
      <c r="A765" t="s">
        <v>192</v>
      </c>
      <c r="B765" t="s">
        <v>47</v>
      </c>
      <c r="C765" t="s">
        <v>138</v>
      </c>
      <c r="D765" s="1">
        <v>43271</v>
      </c>
      <c r="E765">
        <v>1</v>
      </c>
      <c r="F765">
        <v>3065</v>
      </c>
      <c r="G765" t="s">
        <v>462</v>
      </c>
    </row>
    <row r="766" spans="1:7" x14ac:dyDescent="0.3">
      <c r="A766" t="s">
        <v>192</v>
      </c>
      <c r="B766" t="s">
        <v>53</v>
      </c>
      <c r="C766" t="s">
        <v>138</v>
      </c>
      <c r="D766" s="1">
        <v>43271</v>
      </c>
      <c r="E766">
        <v>108</v>
      </c>
      <c r="F766">
        <v>251903</v>
      </c>
      <c r="G766" t="s">
        <v>462</v>
      </c>
    </row>
    <row r="767" spans="1:7" x14ac:dyDescent="0.3">
      <c r="A767" t="s">
        <v>192</v>
      </c>
      <c r="B767" t="s">
        <v>47</v>
      </c>
      <c r="C767" t="s">
        <v>138</v>
      </c>
      <c r="D767" s="1">
        <v>43272</v>
      </c>
      <c r="E767">
        <v>5</v>
      </c>
      <c r="F767">
        <v>12250</v>
      </c>
      <c r="G767" t="s">
        <v>462</v>
      </c>
    </row>
    <row r="768" spans="1:7" x14ac:dyDescent="0.3">
      <c r="A768" t="s">
        <v>192</v>
      </c>
      <c r="B768" t="s">
        <v>49</v>
      </c>
      <c r="C768" t="s">
        <v>138</v>
      </c>
      <c r="D768" s="1">
        <v>43272</v>
      </c>
      <c r="E768">
        <v>1</v>
      </c>
      <c r="F768">
        <v>1440</v>
      </c>
      <c r="G768" t="s">
        <v>462</v>
      </c>
    </row>
    <row r="769" spans="1:7" x14ac:dyDescent="0.3">
      <c r="A769" t="s">
        <v>192</v>
      </c>
      <c r="B769" t="s">
        <v>24</v>
      </c>
      <c r="C769" t="s">
        <v>141</v>
      </c>
      <c r="D769" s="1">
        <v>43276</v>
      </c>
      <c r="E769">
        <v>6</v>
      </c>
      <c r="F769">
        <v>21199</v>
      </c>
      <c r="G769" t="s">
        <v>462</v>
      </c>
    </row>
    <row r="770" spans="1:7" x14ac:dyDescent="0.3">
      <c r="A770" t="s">
        <v>192</v>
      </c>
      <c r="B770" t="s">
        <v>47</v>
      </c>
      <c r="C770" t="s">
        <v>138</v>
      </c>
      <c r="D770" s="1">
        <v>43276</v>
      </c>
      <c r="E770">
        <v>1</v>
      </c>
      <c r="F770">
        <v>3065</v>
      </c>
      <c r="G770" t="s">
        <v>462</v>
      </c>
    </row>
    <row r="771" spans="1:7" x14ac:dyDescent="0.3">
      <c r="A771" t="s">
        <v>192</v>
      </c>
      <c r="B771" t="s">
        <v>47</v>
      </c>
      <c r="C771" t="s">
        <v>138</v>
      </c>
      <c r="D771" s="1">
        <v>43278</v>
      </c>
      <c r="E771">
        <v>3</v>
      </c>
      <c r="F771">
        <v>6125</v>
      </c>
      <c r="G771" t="s">
        <v>462</v>
      </c>
    </row>
    <row r="772" spans="1:7" x14ac:dyDescent="0.3">
      <c r="A772" t="s">
        <v>192</v>
      </c>
      <c r="B772" t="s">
        <v>47</v>
      </c>
      <c r="C772" t="s">
        <v>138</v>
      </c>
      <c r="D772" s="1">
        <v>43279</v>
      </c>
      <c r="E772">
        <v>3</v>
      </c>
      <c r="F772">
        <v>6125</v>
      </c>
      <c r="G772" t="s">
        <v>462</v>
      </c>
    </row>
    <row r="773" spans="1:7" x14ac:dyDescent="0.3">
      <c r="A773" t="s">
        <v>192</v>
      </c>
      <c r="B773" t="s">
        <v>49</v>
      </c>
      <c r="C773" t="s">
        <v>138</v>
      </c>
      <c r="D773" s="1">
        <v>43279</v>
      </c>
      <c r="E773">
        <v>1</v>
      </c>
      <c r="F773">
        <v>361</v>
      </c>
      <c r="G773" t="s">
        <v>462</v>
      </c>
    </row>
    <row r="774" spans="1:7" x14ac:dyDescent="0.3">
      <c r="A774" t="s">
        <v>192</v>
      </c>
      <c r="B774" t="s">
        <v>47</v>
      </c>
      <c r="C774" t="s">
        <v>138</v>
      </c>
      <c r="D774" s="1">
        <v>43280</v>
      </c>
      <c r="E774">
        <v>1</v>
      </c>
      <c r="F774">
        <v>3065</v>
      </c>
      <c r="G774" t="s">
        <v>462</v>
      </c>
    </row>
    <row r="775" spans="1:7" x14ac:dyDescent="0.3">
      <c r="A775" t="s">
        <v>192</v>
      </c>
      <c r="B775" t="s">
        <v>24</v>
      </c>
      <c r="C775" t="s">
        <v>141</v>
      </c>
      <c r="D775" s="1">
        <v>43283</v>
      </c>
      <c r="E775">
        <v>16</v>
      </c>
      <c r="F775">
        <v>55356</v>
      </c>
      <c r="G775" t="s">
        <v>462</v>
      </c>
    </row>
    <row r="776" spans="1:7" x14ac:dyDescent="0.3">
      <c r="A776" t="s">
        <v>192</v>
      </c>
      <c r="B776" t="s">
        <v>47</v>
      </c>
      <c r="C776" t="s">
        <v>138</v>
      </c>
      <c r="D776" s="1">
        <v>43283</v>
      </c>
      <c r="E776">
        <v>1</v>
      </c>
      <c r="F776">
        <v>3065</v>
      </c>
      <c r="G776" t="s">
        <v>462</v>
      </c>
    </row>
    <row r="777" spans="1:7" x14ac:dyDescent="0.3">
      <c r="A777" t="s">
        <v>192</v>
      </c>
      <c r="B777" t="s">
        <v>47</v>
      </c>
      <c r="C777" t="s">
        <v>138</v>
      </c>
      <c r="D777" s="1">
        <v>43286</v>
      </c>
      <c r="E777">
        <v>4</v>
      </c>
      <c r="F777">
        <v>9190</v>
      </c>
      <c r="G777" t="s">
        <v>462</v>
      </c>
    </row>
    <row r="778" spans="1:7" x14ac:dyDescent="0.3">
      <c r="A778" t="s">
        <v>192</v>
      </c>
      <c r="B778" t="s">
        <v>47</v>
      </c>
      <c r="C778" t="s">
        <v>138</v>
      </c>
      <c r="D778" s="1">
        <v>43287</v>
      </c>
      <c r="E778">
        <v>3</v>
      </c>
      <c r="F778">
        <v>6125</v>
      </c>
      <c r="G778" t="s">
        <v>462</v>
      </c>
    </row>
    <row r="779" spans="1:7" x14ac:dyDescent="0.3">
      <c r="A779" t="s">
        <v>192</v>
      </c>
      <c r="B779" t="s">
        <v>24</v>
      </c>
      <c r="C779" t="s">
        <v>141</v>
      </c>
      <c r="D779" s="1">
        <v>43290</v>
      </c>
      <c r="E779">
        <v>8</v>
      </c>
      <c r="F779">
        <v>29444</v>
      </c>
      <c r="G779" t="s">
        <v>462</v>
      </c>
    </row>
    <row r="780" spans="1:7" x14ac:dyDescent="0.3">
      <c r="A780" t="s">
        <v>192</v>
      </c>
      <c r="B780" t="s">
        <v>47</v>
      </c>
      <c r="C780" t="s">
        <v>138</v>
      </c>
      <c r="D780" s="1">
        <v>43290</v>
      </c>
      <c r="E780">
        <v>1</v>
      </c>
      <c r="F780">
        <v>3065</v>
      </c>
      <c r="G780" t="s">
        <v>462</v>
      </c>
    </row>
    <row r="781" spans="1:7" x14ac:dyDescent="0.3">
      <c r="A781" t="s">
        <v>192</v>
      </c>
      <c r="B781" t="s">
        <v>47</v>
      </c>
      <c r="C781" t="s">
        <v>138</v>
      </c>
      <c r="D781" s="1">
        <v>43291</v>
      </c>
      <c r="E781">
        <v>1</v>
      </c>
      <c r="F781">
        <v>3065</v>
      </c>
      <c r="G781" t="s">
        <v>462</v>
      </c>
    </row>
    <row r="782" spans="1:7" x14ac:dyDescent="0.3">
      <c r="A782" t="s">
        <v>192</v>
      </c>
      <c r="B782" t="s">
        <v>51</v>
      </c>
      <c r="C782" t="s">
        <v>138</v>
      </c>
      <c r="D782" s="1">
        <v>43291</v>
      </c>
      <c r="E782">
        <v>1</v>
      </c>
      <c r="F782">
        <v>338</v>
      </c>
      <c r="G782" t="s">
        <v>462</v>
      </c>
    </row>
    <row r="783" spans="1:7" x14ac:dyDescent="0.3">
      <c r="A783" t="s">
        <v>192</v>
      </c>
      <c r="B783" t="s">
        <v>49</v>
      </c>
      <c r="C783" t="s">
        <v>138</v>
      </c>
      <c r="D783" s="1">
        <v>43291</v>
      </c>
      <c r="E783">
        <v>1</v>
      </c>
      <c r="F783">
        <v>1440</v>
      </c>
      <c r="G783" t="s">
        <v>462</v>
      </c>
    </row>
    <row r="784" spans="1:7" x14ac:dyDescent="0.3">
      <c r="A784" t="s">
        <v>192</v>
      </c>
      <c r="B784" t="s">
        <v>47</v>
      </c>
      <c r="C784" t="s">
        <v>138</v>
      </c>
      <c r="D784" s="1">
        <v>43292</v>
      </c>
      <c r="E784">
        <v>1</v>
      </c>
      <c r="F784">
        <v>3065</v>
      </c>
      <c r="G784" t="s">
        <v>462</v>
      </c>
    </row>
    <row r="785" spans="1:7" x14ac:dyDescent="0.3">
      <c r="A785" t="s">
        <v>192</v>
      </c>
      <c r="B785" t="s">
        <v>49</v>
      </c>
      <c r="C785" t="s">
        <v>138</v>
      </c>
      <c r="D785" s="1">
        <v>43293</v>
      </c>
      <c r="E785">
        <v>1</v>
      </c>
      <c r="F785">
        <v>2162</v>
      </c>
      <c r="G785" t="s">
        <v>462</v>
      </c>
    </row>
    <row r="786" spans="1:7" x14ac:dyDescent="0.3">
      <c r="A786" t="s">
        <v>192</v>
      </c>
      <c r="B786" t="s">
        <v>47</v>
      </c>
      <c r="C786" t="s">
        <v>138</v>
      </c>
      <c r="D786" s="1">
        <v>43294</v>
      </c>
      <c r="E786">
        <v>1</v>
      </c>
      <c r="F786">
        <v>3065</v>
      </c>
      <c r="G786" t="s">
        <v>462</v>
      </c>
    </row>
    <row r="787" spans="1:7" x14ac:dyDescent="0.3">
      <c r="A787" t="s">
        <v>192</v>
      </c>
      <c r="B787" t="s">
        <v>47</v>
      </c>
      <c r="C787" t="s">
        <v>138</v>
      </c>
      <c r="D787" s="1">
        <v>43297</v>
      </c>
      <c r="E787">
        <v>1</v>
      </c>
      <c r="F787">
        <v>3065</v>
      </c>
      <c r="G787" t="s">
        <v>462</v>
      </c>
    </row>
    <row r="788" spans="1:7" x14ac:dyDescent="0.3">
      <c r="A788" t="s">
        <v>192</v>
      </c>
      <c r="B788" t="s">
        <v>24</v>
      </c>
      <c r="C788" t="s">
        <v>141</v>
      </c>
      <c r="D788" s="1">
        <v>43298</v>
      </c>
      <c r="E788">
        <v>2</v>
      </c>
      <c r="F788">
        <v>7065</v>
      </c>
      <c r="G788" t="s">
        <v>462</v>
      </c>
    </row>
    <row r="789" spans="1:7" x14ac:dyDescent="0.3">
      <c r="A789" t="s">
        <v>192</v>
      </c>
      <c r="B789" t="s">
        <v>47</v>
      </c>
      <c r="C789" t="s">
        <v>138</v>
      </c>
      <c r="D789" s="1">
        <v>43298</v>
      </c>
      <c r="E789">
        <v>5</v>
      </c>
      <c r="F789">
        <v>12250</v>
      </c>
      <c r="G789" t="s">
        <v>462</v>
      </c>
    </row>
    <row r="790" spans="1:7" x14ac:dyDescent="0.3">
      <c r="A790" t="s">
        <v>192</v>
      </c>
      <c r="B790" t="s">
        <v>47</v>
      </c>
      <c r="C790" t="s">
        <v>138</v>
      </c>
      <c r="D790" s="1">
        <v>43300</v>
      </c>
      <c r="E790">
        <v>3</v>
      </c>
      <c r="F790">
        <v>6125</v>
      </c>
      <c r="G790" t="s">
        <v>462</v>
      </c>
    </row>
    <row r="791" spans="1:7" x14ac:dyDescent="0.3">
      <c r="A791" t="s">
        <v>192</v>
      </c>
      <c r="B791" t="s">
        <v>47</v>
      </c>
      <c r="C791" t="s">
        <v>138</v>
      </c>
      <c r="D791" s="1">
        <v>43300</v>
      </c>
      <c r="E791">
        <v>13</v>
      </c>
      <c r="F791">
        <v>28269</v>
      </c>
      <c r="G791" t="s">
        <v>462</v>
      </c>
    </row>
    <row r="792" spans="1:7" x14ac:dyDescent="0.3">
      <c r="A792" t="s">
        <v>192</v>
      </c>
      <c r="B792" t="s">
        <v>49</v>
      </c>
      <c r="C792" t="s">
        <v>138</v>
      </c>
      <c r="D792" s="1">
        <v>43301</v>
      </c>
      <c r="E792">
        <v>1</v>
      </c>
      <c r="F792">
        <v>1440</v>
      </c>
      <c r="G792" t="s">
        <v>462</v>
      </c>
    </row>
    <row r="793" spans="1:7" x14ac:dyDescent="0.3">
      <c r="A793" t="s">
        <v>192</v>
      </c>
      <c r="B793" t="s">
        <v>47</v>
      </c>
      <c r="C793" t="s">
        <v>138</v>
      </c>
      <c r="D793" s="1">
        <v>43306</v>
      </c>
      <c r="E793">
        <v>3</v>
      </c>
      <c r="F793">
        <v>6125</v>
      </c>
      <c r="G793" t="s">
        <v>462</v>
      </c>
    </row>
    <row r="794" spans="1:7" x14ac:dyDescent="0.3">
      <c r="A794" t="s">
        <v>192</v>
      </c>
      <c r="B794" t="s">
        <v>47</v>
      </c>
      <c r="C794" t="s">
        <v>138</v>
      </c>
      <c r="D794" s="1">
        <v>43307</v>
      </c>
      <c r="E794">
        <v>1</v>
      </c>
      <c r="F794">
        <v>3065</v>
      </c>
      <c r="G794" t="s">
        <v>462</v>
      </c>
    </row>
    <row r="795" spans="1:7" x14ac:dyDescent="0.3">
      <c r="A795" t="s">
        <v>192</v>
      </c>
      <c r="B795" t="s">
        <v>47</v>
      </c>
      <c r="C795" t="s">
        <v>138</v>
      </c>
      <c r="D795" s="1">
        <v>43308</v>
      </c>
      <c r="E795">
        <v>1</v>
      </c>
      <c r="F795">
        <v>3065</v>
      </c>
      <c r="G795" t="s">
        <v>462</v>
      </c>
    </row>
    <row r="796" spans="1:7" x14ac:dyDescent="0.3">
      <c r="A796" t="s">
        <v>192</v>
      </c>
      <c r="B796" t="s">
        <v>47</v>
      </c>
      <c r="C796" t="s">
        <v>138</v>
      </c>
      <c r="D796" s="1">
        <v>43311</v>
      </c>
      <c r="E796">
        <v>1</v>
      </c>
      <c r="F796">
        <v>3065</v>
      </c>
      <c r="G796" t="s">
        <v>462</v>
      </c>
    </row>
    <row r="797" spans="1:7" x14ac:dyDescent="0.3">
      <c r="A797" t="s">
        <v>192</v>
      </c>
      <c r="B797" t="s">
        <v>49</v>
      </c>
      <c r="C797" t="s">
        <v>138</v>
      </c>
      <c r="D797" s="1">
        <v>43311</v>
      </c>
      <c r="E797">
        <v>1</v>
      </c>
      <c r="F797">
        <v>2162</v>
      </c>
      <c r="G797" t="s">
        <v>462</v>
      </c>
    </row>
    <row r="798" spans="1:7" x14ac:dyDescent="0.3">
      <c r="A798" t="s">
        <v>192</v>
      </c>
      <c r="B798" t="s">
        <v>47</v>
      </c>
      <c r="C798" t="s">
        <v>138</v>
      </c>
      <c r="D798" s="1">
        <v>43313</v>
      </c>
      <c r="E798">
        <v>1</v>
      </c>
      <c r="F798">
        <v>3065</v>
      </c>
      <c r="G798" t="s">
        <v>462</v>
      </c>
    </row>
    <row r="799" spans="1:7" x14ac:dyDescent="0.3">
      <c r="A799" t="s">
        <v>192</v>
      </c>
      <c r="B799" t="s">
        <v>47</v>
      </c>
      <c r="C799" t="s">
        <v>138</v>
      </c>
      <c r="D799" s="1">
        <v>43314</v>
      </c>
      <c r="E799">
        <v>1</v>
      </c>
      <c r="F799">
        <v>3065</v>
      </c>
      <c r="G799" t="s">
        <v>462</v>
      </c>
    </row>
    <row r="800" spans="1:7" x14ac:dyDescent="0.3">
      <c r="A800" t="s">
        <v>192</v>
      </c>
      <c r="B800" t="s">
        <v>53</v>
      </c>
      <c r="C800" t="s">
        <v>138</v>
      </c>
      <c r="D800" s="1">
        <v>43314</v>
      </c>
      <c r="E800">
        <v>24</v>
      </c>
      <c r="F800">
        <v>55977</v>
      </c>
      <c r="G800" t="s">
        <v>462</v>
      </c>
    </row>
    <row r="801" spans="1:7" x14ac:dyDescent="0.3">
      <c r="A801" t="s">
        <v>192</v>
      </c>
      <c r="B801" t="s">
        <v>47</v>
      </c>
      <c r="C801" t="s">
        <v>138</v>
      </c>
      <c r="D801" s="1">
        <v>43315</v>
      </c>
      <c r="E801">
        <v>1</v>
      </c>
      <c r="F801">
        <v>3065</v>
      </c>
      <c r="G801" t="s">
        <v>462</v>
      </c>
    </row>
    <row r="802" spans="1:7" x14ac:dyDescent="0.3">
      <c r="A802" t="s">
        <v>192</v>
      </c>
      <c r="B802" t="s">
        <v>47</v>
      </c>
      <c r="C802" t="s">
        <v>138</v>
      </c>
      <c r="D802" s="1">
        <v>43318</v>
      </c>
      <c r="E802">
        <v>1</v>
      </c>
      <c r="F802">
        <v>3065</v>
      </c>
      <c r="G802" t="s">
        <v>462</v>
      </c>
    </row>
    <row r="803" spans="1:7" x14ac:dyDescent="0.3">
      <c r="A803" t="s">
        <v>192</v>
      </c>
      <c r="B803" t="s">
        <v>47</v>
      </c>
      <c r="C803" t="s">
        <v>138</v>
      </c>
      <c r="D803" s="1">
        <v>43320</v>
      </c>
      <c r="E803">
        <v>3</v>
      </c>
      <c r="F803">
        <v>6125</v>
      </c>
      <c r="G803" t="s">
        <v>462</v>
      </c>
    </row>
    <row r="804" spans="1:7" x14ac:dyDescent="0.3">
      <c r="A804" t="s">
        <v>192</v>
      </c>
      <c r="B804" t="s">
        <v>47</v>
      </c>
      <c r="C804" t="s">
        <v>138</v>
      </c>
      <c r="D804" s="1">
        <v>43321</v>
      </c>
      <c r="E804">
        <v>1</v>
      </c>
      <c r="F804">
        <v>3065</v>
      </c>
      <c r="G804" t="s">
        <v>462</v>
      </c>
    </row>
    <row r="805" spans="1:7" x14ac:dyDescent="0.3">
      <c r="A805" t="s">
        <v>192</v>
      </c>
      <c r="B805" t="s">
        <v>53</v>
      </c>
      <c r="C805" t="s">
        <v>138</v>
      </c>
      <c r="D805" s="1">
        <v>43321</v>
      </c>
      <c r="E805">
        <v>5</v>
      </c>
      <c r="F805">
        <v>10495</v>
      </c>
      <c r="G805" t="s">
        <v>462</v>
      </c>
    </row>
    <row r="806" spans="1:7" x14ac:dyDescent="0.3">
      <c r="A806" t="s">
        <v>192</v>
      </c>
      <c r="B806" t="s">
        <v>24</v>
      </c>
      <c r="C806" t="s">
        <v>141</v>
      </c>
      <c r="D806" s="1">
        <v>43322</v>
      </c>
      <c r="E806">
        <v>13</v>
      </c>
      <c r="F806">
        <v>45935</v>
      </c>
      <c r="G806" t="s">
        <v>462</v>
      </c>
    </row>
    <row r="807" spans="1:7" x14ac:dyDescent="0.3">
      <c r="A807" t="s">
        <v>192</v>
      </c>
      <c r="B807" t="s">
        <v>47</v>
      </c>
      <c r="C807" t="s">
        <v>138</v>
      </c>
      <c r="D807" s="1">
        <v>43322</v>
      </c>
      <c r="E807">
        <v>3</v>
      </c>
      <c r="F807">
        <v>6125</v>
      </c>
      <c r="G807" t="s">
        <v>462</v>
      </c>
    </row>
    <row r="808" spans="1:7" x14ac:dyDescent="0.3">
      <c r="A808" t="s">
        <v>192</v>
      </c>
      <c r="B808" t="s">
        <v>47</v>
      </c>
      <c r="C808" t="s">
        <v>138</v>
      </c>
      <c r="D808" s="1">
        <v>43325</v>
      </c>
      <c r="E808">
        <v>3</v>
      </c>
      <c r="F808">
        <v>6125</v>
      </c>
      <c r="G808" t="s">
        <v>462</v>
      </c>
    </row>
    <row r="809" spans="1:7" x14ac:dyDescent="0.3">
      <c r="A809" t="s">
        <v>192</v>
      </c>
      <c r="B809" t="s">
        <v>53</v>
      </c>
      <c r="C809" t="s">
        <v>138</v>
      </c>
      <c r="D809" s="1">
        <v>43325</v>
      </c>
      <c r="E809">
        <v>15</v>
      </c>
      <c r="F809">
        <v>34986</v>
      </c>
      <c r="G809" t="s">
        <v>462</v>
      </c>
    </row>
    <row r="810" spans="1:7" x14ac:dyDescent="0.3">
      <c r="A810" t="s">
        <v>192</v>
      </c>
      <c r="B810" t="s">
        <v>47</v>
      </c>
      <c r="C810" t="s">
        <v>138</v>
      </c>
      <c r="D810" s="1">
        <v>43326</v>
      </c>
      <c r="E810">
        <v>1</v>
      </c>
      <c r="F810">
        <v>3065</v>
      </c>
      <c r="G810" t="s">
        <v>462</v>
      </c>
    </row>
    <row r="811" spans="1:7" x14ac:dyDescent="0.3">
      <c r="A811" t="s">
        <v>192</v>
      </c>
      <c r="B811" t="s">
        <v>47</v>
      </c>
      <c r="C811" t="s">
        <v>138</v>
      </c>
      <c r="D811" s="1">
        <v>43326</v>
      </c>
      <c r="E811">
        <v>13</v>
      </c>
      <c r="F811">
        <v>28269</v>
      </c>
      <c r="G811" t="s">
        <v>462</v>
      </c>
    </row>
    <row r="812" spans="1:7" x14ac:dyDescent="0.3">
      <c r="A812" t="s">
        <v>192</v>
      </c>
      <c r="B812" t="s">
        <v>47</v>
      </c>
      <c r="C812" t="s">
        <v>138</v>
      </c>
      <c r="D812" s="1">
        <v>43329</v>
      </c>
      <c r="E812">
        <v>4</v>
      </c>
      <c r="F812">
        <v>9190</v>
      </c>
      <c r="G812" t="s">
        <v>462</v>
      </c>
    </row>
    <row r="813" spans="1:7" x14ac:dyDescent="0.3">
      <c r="A813" t="s">
        <v>192</v>
      </c>
      <c r="B813" t="s">
        <v>53</v>
      </c>
      <c r="C813" t="s">
        <v>138</v>
      </c>
      <c r="D813" s="1">
        <v>43329</v>
      </c>
      <c r="E813">
        <v>15</v>
      </c>
      <c r="F813">
        <v>34986</v>
      </c>
      <c r="G813" t="s">
        <v>462</v>
      </c>
    </row>
    <row r="814" spans="1:7" x14ac:dyDescent="0.3">
      <c r="A814" t="s">
        <v>192</v>
      </c>
      <c r="B814" t="s">
        <v>24</v>
      </c>
      <c r="C814" t="s">
        <v>141</v>
      </c>
      <c r="D814" s="1">
        <v>43332</v>
      </c>
      <c r="E814">
        <v>10</v>
      </c>
      <c r="F814">
        <v>36509</v>
      </c>
      <c r="G814" t="s">
        <v>462</v>
      </c>
    </row>
    <row r="815" spans="1:7" x14ac:dyDescent="0.3">
      <c r="A815" t="s">
        <v>192</v>
      </c>
      <c r="B815" t="s">
        <v>47</v>
      </c>
      <c r="C815" t="s">
        <v>138</v>
      </c>
      <c r="D815" s="1">
        <v>43333</v>
      </c>
      <c r="E815">
        <v>5</v>
      </c>
      <c r="F815">
        <v>12250</v>
      </c>
      <c r="G815" t="s">
        <v>462</v>
      </c>
    </row>
    <row r="816" spans="1:7" x14ac:dyDescent="0.3">
      <c r="A816" t="s">
        <v>192</v>
      </c>
      <c r="B816" t="s">
        <v>51</v>
      </c>
      <c r="C816" t="s">
        <v>138</v>
      </c>
      <c r="D816" s="1">
        <v>43333</v>
      </c>
      <c r="E816">
        <v>1</v>
      </c>
      <c r="F816">
        <v>338</v>
      </c>
      <c r="G816" t="s">
        <v>462</v>
      </c>
    </row>
    <row r="817" spans="1:7" x14ac:dyDescent="0.3">
      <c r="A817" t="s">
        <v>192</v>
      </c>
      <c r="B817" t="s">
        <v>47</v>
      </c>
      <c r="C817" t="s">
        <v>138</v>
      </c>
      <c r="D817" s="1">
        <v>43334</v>
      </c>
      <c r="E817">
        <v>1</v>
      </c>
      <c r="F817">
        <v>3065</v>
      </c>
      <c r="G817" t="s">
        <v>462</v>
      </c>
    </row>
    <row r="818" spans="1:7" x14ac:dyDescent="0.3">
      <c r="A818" t="s">
        <v>192</v>
      </c>
      <c r="B818" t="s">
        <v>47</v>
      </c>
      <c r="C818" t="s">
        <v>138</v>
      </c>
      <c r="D818" s="1">
        <v>43335</v>
      </c>
      <c r="E818">
        <v>3</v>
      </c>
      <c r="F818">
        <v>6125</v>
      </c>
      <c r="G818" t="s">
        <v>462</v>
      </c>
    </row>
    <row r="819" spans="1:7" x14ac:dyDescent="0.3">
      <c r="A819" t="s">
        <v>192</v>
      </c>
      <c r="B819" t="s">
        <v>53</v>
      </c>
      <c r="C819" t="s">
        <v>138</v>
      </c>
      <c r="D819" s="1">
        <v>43335</v>
      </c>
      <c r="E819">
        <v>12</v>
      </c>
      <c r="F819">
        <v>27991</v>
      </c>
      <c r="G819" t="s">
        <v>462</v>
      </c>
    </row>
    <row r="820" spans="1:7" x14ac:dyDescent="0.3">
      <c r="A820" t="s">
        <v>192</v>
      </c>
      <c r="B820" t="s">
        <v>47</v>
      </c>
      <c r="C820" t="s">
        <v>138</v>
      </c>
      <c r="D820" s="1">
        <v>43336</v>
      </c>
      <c r="E820">
        <v>3</v>
      </c>
      <c r="F820">
        <v>6125</v>
      </c>
      <c r="G820" t="s">
        <v>462</v>
      </c>
    </row>
    <row r="821" spans="1:7" x14ac:dyDescent="0.3">
      <c r="A821" t="s">
        <v>192</v>
      </c>
      <c r="B821" t="s">
        <v>24</v>
      </c>
      <c r="C821" t="s">
        <v>141</v>
      </c>
      <c r="D821" s="1">
        <v>43339</v>
      </c>
      <c r="E821">
        <v>13</v>
      </c>
      <c r="F821">
        <v>45935</v>
      </c>
      <c r="G821" t="s">
        <v>462</v>
      </c>
    </row>
    <row r="822" spans="1:7" x14ac:dyDescent="0.3">
      <c r="A822" t="s">
        <v>192</v>
      </c>
      <c r="B822" t="s">
        <v>47</v>
      </c>
      <c r="C822" t="s">
        <v>138</v>
      </c>
      <c r="D822" s="1">
        <v>43341</v>
      </c>
      <c r="E822">
        <v>1</v>
      </c>
      <c r="F822">
        <v>3065</v>
      </c>
      <c r="G822" t="s">
        <v>462</v>
      </c>
    </row>
    <row r="823" spans="1:7" x14ac:dyDescent="0.3">
      <c r="A823" t="s">
        <v>192</v>
      </c>
      <c r="B823" t="s">
        <v>49</v>
      </c>
      <c r="C823" t="s">
        <v>138</v>
      </c>
      <c r="D823" s="1">
        <v>43341</v>
      </c>
      <c r="E823">
        <v>1</v>
      </c>
      <c r="F823">
        <v>361</v>
      </c>
      <c r="G823" t="s">
        <v>462</v>
      </c>
    </row>
    <row r="824" spans="1:7" x14ac:dyDescent="0.3">
      <c r="A824" t="s">
        <v>192</v>
      </c>
      <c r="B824" t="s">
        <v>47</v>
      </c>
      <c r="C824" t="s">
        <v>138</v>
      </c>
      <c r="D824" s="1">
        <v>43343</v>
      </c>
      <c r="E824">
        <v>7</v>
      </c>
      <c r="F824">
        <v>15315</v>
      </c>
      <c r="G824" t="s">
        <v>462</v>
      </c>
    </row>
    <row r="825" spans="1:7" x14ac:dyDescent="0.3">
      <c r="A825" t="s">
        <v>192</v>
      </c>
      <c r="B825" t="s">
        <v>53</v>
      </c>
      <c r="C825" t="s">
        <v>138</v>
      </c>
      <c r="D825" s="1">
        <v>43343</v>
      </c>
      <c r="E825">
        <v>20</v>
      </c>
      <c r="F825">
        <v>45481</v>
      </c>
      <c r="G825" t="s">
        <v>462</v>
      </c>
    </row>
    <row r="826" spans="1:7" x14ac:dyDescent="0.3">
      <c r="A826" t="s">
        <v>192</v>
      </c>
      <c r="B826" t="s">
        <v>24</v>
      </c>
      <c r="C826" t="s">
        <v>141</v>
      </c>
      <c r="D826" s="1">
        <v>43346</v>
      </c>
      <c r="E826">
        <v>40</v>
      </c>
      <c r="F826">
        <v>140157</v>
      </c>
      <c r="G826" t="s">
        <v>462</v>
      </c>
    </row>
    <row r="827" spans="1:7" x14ac:dyDescent="0.3">
      <c r="A827" t="s">
        <v>192</v>
      </c>
      <c r="B827" t="s">
        <v>47</v>
      </c>
      <c r="C827" t="s">
        <v>138</v>
      </c>
      <c r="D827" s="1">
        <v>43346</v>
      </c>
      <c r="E827">
        <v>1</v>
      </c>
      <c r="F827">
        <v>3065</v>
      </c>
      <c r="G827" t="s">
        <v>462</v>
      </c>
    </row>
    <row r="828" spans="1:7" x14ac:dyDescent="0.3">
      <c r="A828" t="s">
        <v>192</v>
      </c>
      <c r="B828" t="s">
        <v>53</v>
      </c>
      <c r="C828" t="s">
        <v>138</v>
      </c>
      <c r="D828" s="1">
        <v>43346</v>
      </c>
      <c r="E828">
        <v>8</v>
      </c>
      <c r="F828">
        <v>17495</v>
      </c>
      <c r="G828" t="s">
        <v>462</v>
      </c>
    </row>
    <row r="829" spans="1:7" x14ac:dyDescent="0.3">
      <c r="A829" t="s">
        <v>192</v>
      </c>
      <c r="B829" t="s">
        <v>47</v>
      </c>
      <c r="C829" t="s">
        <v>138</v>
      </c>
      <c r="D829" s="1">
        <v>43347</v>
      </c>
      <c r="E829">
        <v>13</v>
      </c>
      <c r="F829">
        <v>28269</v>
      </c>
      <c r="G829" t="s">
        <v>462</v>
      </c>
    </row>
    <row r="830" spans="1:7" x14ac:dyDescent="0.3">
      <c r="A830" t="s">
        <v>192</v>
      </c>
      <c r="B830" t="s">
        <v>53</v>
      </c>
      <c r="C830" t="s">
        <v>138</v>
      </c>
      <c r="D830" s="1">
        <v>43349</v>
      </c>
      <c r="E830">
        <v>15</v>
      </c>
      <c r="F830">
        <v>34986</v>
      </c>
      <c r="G830" t="s">
        <v>462</v>
      </c>
    </row>
    <row r="831" spans="1:7" x14ac:dyDescent="0.3">
      <c r="A831" t="s">
        <v>192</v>
      </c>
      <c r="B831" t="s">
        <v>49</v>
      </c>
      <c r="C831" t="s">
        <v>138</v>
      </c>
      <c r="D831" s="1">
        <v>43349</v>
      </c>
      <c r="E831">
        <v>1</v>
      </c>
      <c r="F831">
        <v>361</v>
      </c>
      <c r="G831" t="s">
        <v>462</v>
      </c>
    </row>
    <row r="832" spans="1:7" x14ac:dyDescent="0.3">
      <c r="A832" t="s">
        <v>192</v>
      </c>
      <c r="B832" t="s">
        <v>47</v>
      </c>
      <c r="C832" t="s">
        <v>138</v>
      </c>
      <c r="D832" s="1">
        <v>43350</v>
      </c>
      <c r="E832">
        <v>1</v>
      </c>
      <c r="F832">
        <v>3065</v>
      </c>
      <c r="G832" t="s">
        <v>462</v>
      </c>
    </row>
    <row r="833" spans="1:7" x14ac:dyDescent="0.3">
      <c r="A833" t="s">
        <v>192</v>
      </c>
      <c r="B833" t="s">
        <v>53</v>
      </c>
      <c r="C833" t="s">
        <v>138</v>
      </c>
      <c r="D833" s="1">
        <v>43350</v>
      </c>
      <c r="E833">
        <v>26</v>
      </c>
      <c r="F833">
        <v>59477</v>
      </c>
      <c r="G833" t="s">
        <v>462</v>
      </c>
    </row>
    <row r="834" spans="1:7" x14ac:dyDescent="0.3">
      <c r="A834" t="s">
        <v>192</v>
      </c>
      <c r="B834" t="s">
        <v>49</v>
      </c>
      <c r="C834" t="s">
        <v>138</v>
      </c>
      <c r="D834" s="1">
        <v>43350</v>
      </c>
      <c r="E834">
        <v>1</v>
      </c>
      <c r="F834">
        <v>1079</v>
      </c>
      <c r="G834" t="s">
        <v>462</v>
      </c>
    </row>
    <row r="835" spans="1:7" x14ac:dyDescent="0.3">
      <c r="A835" t="s">
        <v>192</v>
      </c>
      <c r="B835" t="s">
        <v>47</v>
      </c>
      <c r="C835" t="s">
        <v>138</v>
      </c>
      <c r="D835" s="1">
        <v>43353</v>
      </c>
      <c r="E835">
        <v>3</v>
      </c>
      <c r="F835">
        <v>6125</v>
      </c>
      <c r="G835" t="s">
        <v>462</v>
      </c>
    </row>
    <row r="836" spans="1:7" x14ac:dyDescent="0.3">
      <c r="A836" t="s">
        <v>192</v>
      </c>
      <c r="B836" t="s">
        <v>51</v>
      </c>
      <c r="C836" t="s">
        <v>138</v>
      </c>
      <c r="D836" s="1">
        <v>43355</v>
      </c>
      <c r="E836">
        <v>1</v>
      </c>
      <c r="F836">
        <v>681</v>
      </c>
      <c r="G836" t="s">
        <v>462</v>
      </c>
    </row>
    <row r="837" spans="1:7" x14ac:dyDescent="0.3">
      <c r="A837" t="s">
        <v>192</v>
      </c>
      <c r="B837" t="s">
        <v>47</v>
      </c>
      <c r="C837" t="s">
        <v>138</v>
      </c>
      <c r="D837" s="1">
        <v>43356</v>
      </c>
      <c r="E837">
        <v>3</v>
      </c>
      <c r="F837">
        <v>6130</v>
      </c>
      <c r="G837" t="s">
        <v>462</v>
      </c>
    </row>
    <row r="838" spans="1:7" x14ac:dyDescent="0.3">
      <c r="A838" t="s">
        <v>192</v>
      </c>
      <c r="B838" t="s">
        <v>53</v>
      </c>
      <c r="C838" t="s">
        <v>138</v>
      </c>
      <c r="D838" s="1">
        <v>43356</v>
      </c>
      <c r="E838">
        <v>8</v>
      </c>
      <c r="F838">
        <v>17495</v>
      </c>
      <c r="G838" t="s">
        <v>462</v>
      </c>
    </row>
    <row r="839" spans="1:7" x14ac:dyDescent="0.3">
      <c r="A839" t="s">
        <v>192</v>
      </c>
      <c r="B839" t="s">
        <v>49</v>
      </c>
      <c r="C839" t="s">
        <v>138</v>
      </c>
      <c r="D839" s="1">
        <v>43356</v>
      </c>
      <c r="E839">
        <v>1</v>
      </c>
      <c r="F839">
        <v>1440</v>
      </c>
      <c r="G839" t="s">
        <v>462</v>
      </c>
    </row>
    <row r="840" spans="1:7" x14ac:dyDescent="0.3">
      <c r="A840" t="s">
        <v>192</v>
      </c>
      <c r="B840" t="s">
        <v>47</v>
      </c>
      <c r="C840" t="s">
        <v>138</v>
      </c>
      <c r="D840" s="1">
        <v>43357</v>
      </c>
      <c r="E840">
        <v>3</v>
      </c>
      <c r="F840">
        <v>6125</v>
      </c>
      <c r="G840" t="s">
        <v>462</v>
      </c>
    </row>
    <row r="841" spans="1:7" x14ac:dyDescent="0.3">
      <c r="A841" t="s">
        <v>192</v>
      </c>
      <c r="B841" t="s">
        <v>47</v>
      </c>
      <c r="C841" t="s">
        <v>138</v>
      </c>
      <c r="D841" s="1">
        <v>43360</v>
      </c>
      <c r="E841">
        <v>1</v>
      </c>
      <c r="F841">
        <v>3065</v>
      </c>
      <c r="G841" t="s">
        <v>462</v>
      </c>
    </row>
    <row r="842" spans="1:7" x14ac:dyDescent="0.3">
      <c r="A842" t="s">
        <v>192</v>
      </c>
      <c r="B842" t="s">
        <v>51</v>
      </c>
      <c r="C842" t="s">
        <v>138</v>
      </c>
      <c r="D842" s="1">
        <v>43361</v>
      </c>
      <c r="E842">
        <v>1</v>
      </c>
      <c r="F842">
        <v>676</v>
      </c>
      <c r="G842" t="s">
        <v>462</v>
      </c>
    </row>
    <row r="843" spans="1:7" x14ac:dyDescent="0.3">
      <c r="A843" t="s">
        <v>192</v>
      </c>
      <c r="B843" t="s">
        <v>47</v>
      </c>
      <c r="C843" t="s">
        <v>138</v>
      </c>
      <c r="D843" s="1">
        <v>43362</v>
      </c>
      <c r="E843">
        <v>1</v>
      </c>
      <c r="F843">
        <v>3065</v>
      </c>
      <c r="G843" t="s">
        <v>462</v>
      </c>
    </row>
    <row r="844" spans="1:7" x14ac:dyDescent="0.3">
      <c r="A844" t="s">
        <v>192</v>
      </c>
      <c r="B844" t="s">
        <v>47</v>
      </c>
      <c r="C844" t="s">
        <v>138</v>
      </c>
      <c r="D844" s="1">
        <v>43364</v>
      </c>
      <c r="E844">
        <v>1</v>
      </c>
      <c r="F844">
        <v>3065</v>
      </c>
      <c r="G844" t="s">
        <v>462</v>
      </c>
    </row>
    <row r="845" spans="1:7" x14ac:dyDescent="0.3">
      <c r="A845" t="s">
        <v>192</v>
      </c>
      <c r="B845" t="s">
        <v>47</v>
      </c>
      <c r="C845" t="s">
        <v>138</v>
      </c>
      <c r="D845" s="1">
        <v>43364</v>
      </c>
      <c r="E845">
        <v>13</v>
      </c>
      <c r="F845">
        <v>28269</v>
      </c>
      <c r="G845" t="s">
        <v>462</v>
      </c>
    </row>
    <row r="846" spans="1:7" x14ac:dyDescent="0.3">
      <c r="A846" t="s">
        <v>192</v>
      </c>
      <c r="B846" t="s">
        <v>47</v>
      </c>
      <c r="C846" t="s">
        <v>138</v>
      </c>
      <c r="D846" s="1">
        <v>43367</v>
      </c>
      <c r="E846">
        <v>1</v>
      </c>
      <c r="F846">
        <v>3065</v>
      </c>
      <c r="G846" t="s">
        <v>462</v>
      </c>
    </row>
    <row r="847" spans="1:7" x14ac:dyDescent="0.3">
      <c r="A847" t="s">
        <v>192</v>
      </c>
      <c r="B847" t="s">
        <v>34</v>
      </c>
      <c r="C847" t="s">
        <v>138</v>
      </c>
      <c r="D847" s="1">
        <v>43369</v>
      </c>
      <c r="E847">
        <v>12</v>
      </c>
      <c r="F847">
        <v>24792</v>
      </c>
      <c r="G847" t="s">
        <v>462</v>
      </c>
    </row>
    <row r="848" spans="1:7" x14ac:dyDescent="0.3">
      <c r="A848" t="s">
        <v>192</v>
      </c>
      <c r="B848" t="s">
        <v>47</v>
      </c>
      <c r="C848" t="s">
        <v>138</v>
      </c>
      <c r="D848" s="1">
        <v>43369</v>
      </c>
      <c r="E848">
        <v>1</v>
      </c>
      <c r="F848">
        <v>3065</v>
      </c>
      <c r="G848" t="s">
        <v>462</v>
      </c>
    </row>
    <row r="849" spans="1:7" x14ac:dyDescent="0.3">
      <c r="A849" t="s">
        <v>192</v>
      </c>
      <c r="B849" t="s">
        <v>47</v>
      </c>
      <c r="C849" t="s">
        <v>138</v>
      </c>
      <c r="D849" s="1">
        <v>43370</v>
      </c>
      <c r="E849">
        <v>1</v>
      </c>
      <c r="F849">
        <v>3065</v>
      </c>
      <c r="G849" t="s">
        <v>462</v>
      </c>
    </row>
    <row r="850" spans="1:7" x14ac:dyDescent="0.3">
      <c r="A850" t="s">
        <v>192</v>
      </c>
      <c r="B850" t="s">
        <v>47</v>
      </c>
      <c r="C850" t="s">
        <v>138</v>
      </c>
      <c r="D850" s="1">
        <v>43371</v>
      </c>
      <c r="E850">
        <v>1</v>
      </c>
      <c r="F850">
        <v>3065</v>
      </c>
      <c r="G850" t="s">
        <v>462</v>
      </c>
    </row>
    <row r="851" spans="1:7" x14ac:dyDescent="0.3">
      <c r="A851" t="s">
        <v>192</v>
      </c>
      <c r="B851" t="s">
        <v>49</v>
      </c>
      <c r="C851" t="s">
        <v>138</v>
      </c>
      <c r="D851" s="1">
        <v>43371</v>
      </c>
      <c r="E851">
        <v>1</v>
      </c>
      <c r="F851">
        <v>1440</v>
      </c>
      <c r="G851" t="s">
        <v>462</v>
      </c>
    </row>
    <row r="852" spans="1:7" x14ac:dyDescent="0.3">
      <c r="A852" t="s">
        <v>192</v>
      </c>
      <c r="B852" t="s">
        <v>34</v>
      </c>
      <c r="C852" t="s">
        <v>138</v>
      </c>
      <c r="D852" s="1">
        <v>43374</v>
      </c>
      <c r="E852">
        <v>6</v>
      </c>
      <c r="F852">
        <v>11519</v>
      </c>
      <c r="G852" t="s">
        <v>462</v>
      </c>
    </row>
    <row r="853" spans="1:7" x14ac:dyDescent="0.3">
      <c r="A853" t="s">
        <v>192</v>
      </c>
      <c r="B853" t="s">
        <v>47</v>
      </c>
      <c r="C853" t="s">
        <v>138</v>
      </c>
      <c r="D853" s="1">
        <v>43374</v>
      </c>
      <c r="E853">
        <v>1</v>
      </c>
      <c r="F853">
        <v>3065</v>
      </c>
      <c r="G853" t="s">
        <v>462</v>
      </c>
    </row>
    <row r="854" spans="1:7" x14ac:dyDescent="0.3">
      <c r="A854" t="s">
        <v>192</v>
      </c>
      <c r="B854" t="s">
        <v>51</v>
      </c>
      <c r="C854" t="s">
        <v>138</v>
      </c>
      <c r="D854" s="1">
        <v>43374</v>
      </c>
      <c r="E854">
        <v>1</v>
      </c>
      <c r="F854">
        <v>1356</v>
      </c>
      <c r="G854" t="s">
        <v>462</v>
      </c>
    </row>
    <row r="855" spans="1:7" x14ac:dyDescent="0.3">
      <c r="A855" t="s">
        <v>192</v>
      </c>
      <c r="B855" t="s">
        <v>51</v>
      </c>
      <c r="C855" t="s">
        <v>138</v>
      </c>
      <c r="D855" s="1">
        <v>43375</v>
      </c>
      <c r="E855">
        <v>1</v>
      </c>
      <c r="F855">
        <v>1019</v>
      </c>
      <c r="G855" t="s">
        <v>462</v>
      </c>
    </row>
    <row r="856" spans="1:7" x14ac:dyDescent="0.3">
      <c r="A856" t="s">
        <v>192</v>
      </c>
      <c r="B856" t="s">
        <v>47</v>
      </c>
      <c r="C856" t="s">
        <v>138</v>
      </c>
      <c r="D856" s="1">
        <v>43376</v>
      </c>
      <c r="E856">
        <v>1</v>
      </c>
      <c r="F856">
        <v>3065</v>
      </c>
      <c r="G856" t="s">
        <v>462</v>
      </c>
    </row>
    <row r="857" spans="1:7" x14ac:dyDescent="0.3">
      <c r="A857" t="s">
        <v>192</v>
      </c>
      <c r="B857" t="s">
        <v>24</v>
      </c>
      <c r="C857" t="s">
        <v>141</v>
      </c>
      <c r="D857" s="1">
        <v>43381</v>
      </c>
      <c r="E857">
        <v>1</v>
      </c>
      <c r="F857">
        <v>1176</v>
      </c>
      <c r="G857" t="s">
        <v>462</v>
      </c>
    </row>
    <row r="858" spans="1:7" x14ac:dyDescent="0.3">
      <c r="A858" t="s">
        <v>192</v>
      </c>
      <c r="B858" t="s">
        <v>34</v>
      </c>
      <c r="C858" t="s">
        <v>138</v>
      </c>
      <c r="D858" s="1">
        <v>43381</v>
      </c>
      <c r="E858">
        <v>1</v>
      </c>
      <c r="F858">
        <v>1398</v>
      </c>
      <c r="G858" t="s">
        <v>462</v>
      </c>
    </row>
    <row r="859" spans="1:7" x14ac:dyDescent="0.3">
      <c r="A859" t="s">
        <v>192</v>
      </c>
      <c r="B859" t="s">
        <v>47</v>
      </c>
      <c r="C859" t="s">
        <v>138</v>
      </c>
      <c r="D859" s="1">
        <v>43381</v>
      </c>
      <c r="E859">
        <v>3</v>
      </c>
      <c r="F859">
        <v>6125</v>
      </c>
      <c r="G859" t="s">
        <v>462</v>
      </c>
    </row>
    <row r="860" spans="1:7" x14ac:dyDescent="0.3">
      <c r="A860" t="s">
        <v>192</v>
      </c>
      <c r="B860" t="s">
        <v>47</v>
      </c>
      <c r="C860" t="s">
        <v>138</v>
      </c>
      <c r="D860" s="1">
        <v>43382</v>
      </c>
      <c r="E860">
        <v>4</v>
      </c>
      <c r="F860">
        <v>9190</v>
      </c>
      <c r="G860" t="s">
        <v>462</v>
      </c>
    </row>
    <row r="861" spans="1:7" x14ac:dyDescent="0.3">
      <c r="A861" t="s">
        <v>192</v>
      </c>
      <c r="B861" t="s">
        <v>47</v>
      </c>
      <c r="C861" t="s">
        <v>138</v>
      </c>
      <c r="D861" s="1">
        <v>43384</v>
      </c>
      <c r="E861">
        <v>1</v>
      </c>
      <c r="F861">
        <v>3065</v>
      </c>
      <c r="G861" t="s">
        <v>462</v>
      </c>
    </row>
    <row r="862" spans="1:7" x14ac:dyDescent="0.3">
      <c r="A862" t="s">
        <v>192</v>
      </c>
      <c r="B862" t="s">
        <v>53</v>
      </c>
      <c r="C862" t="s">
        <v>138</v>
      </c>
      <c r="D862" s="1">
        <v>43384</v>
      </c>
      <c r="E862">
        <v>8</v>
      </c>
      <c r="F862">
        <v>17495</v>
      </c>
      <c r="G862" t="s">
        <v>462</v>
      </c>
    </row>
    <row r="863" spans="1:7" x14ac:dyDescent="0.3">
      <c r="A863" t="s">
        <v>192</v>
      </c>
      <c r="B863" t="s">
        <v>49</v>
      </c>
      <c r="C863" t="s">
        <v>138</v>
      </c>
      <c r="D863" s="1">
        <v>43384</v>
      </c>
      <c r="E863">
        <v>1</v>
      </c>
      <c r="F863">
        <v>722</v>
      </c>
      <c r="G863" t="s">
        <v>462</v>
      </c>
    </row>
    <row r="864" spans="1:7" x14ac:dyDescent="0.3">
      <c r="A864" t="s">
        <v>192</v>
      </c>
      <c r="B864" t="s">
        <v>34</v>
      </c>
      <c r="C864" t="s">
        <v>138</v>
      </c>
      <c r="D864" s="1">
        <v>43385</v>
      </c>
      <c r="E864">
        <v>8</v>
      </c>
      <c r="F864">
        <v>17463</v>
      </c>
      <c r="G864" t="s">
        <v>462</v>
      </c>
    </row>
    <row r="865" spans="1:7" x14ac:dyDescent="0.3">
      <c r="A865" t="s">
        <v>192</v>
      </c>
      <c r="B865" t="s">
        <v>47</v>
      </c>
      <c r="C865" t="s">
        <v>138</v>
      </c>
      <c r="D865" s="1">
        <v>43385</v>
      </c>
      <c r="E865">
        <v>5</v>
      </c>
      <c r="F865">
        <v>12250</v>
      </c>
      <c r="G865" t="s">
        <v>462</v>
      </c>
    </row>
    <row r="866" spans="1:7" x14ac:dyDescent="0.3">
      <c r="A866" t="s">
        <v>192</v>
      </c>
      <c r="B866" t="s">
        <v>47</v>
      </c>
      <c r="C866" t="s">
        <v>138</v>
      </c>
      <c r="D866" s="1">
        <v>43385</v>
      </c>
      <c r="E866">
        <v>80</v>
      </c>
      <c r="F866">
        <v>169606</v>
      </c>
      <c r="G866" t="s">
        <v>462</v>
      </c>
    </row>
    <row r="867" spans="1:7" x14ac:dyDescent="0.3">
      <c r="A867" t="s">
        <v>192</v>
      </c>
      <c r="B867" t="s">
        <v>53</v>
      </c>
      <c r="C867" t="s">
        <v>138</v>
      </c>
      <c r="D867" s="1">
        <v>43388</v>
      </c>
      <c r="E867">
        <v>8</v>
      </c>
      <c r="F867">
        <v>17495</v>
      </c>
      <c r="G867" t="s">
        <v>462</v>
      </c>
    </row>
    <row r="868" spans="1:7" x14ac:dyDescent="0.3">
      <c r="A868" t="s">
        <v>192</v>
      </c>
      <c r="B868" t="s">
        <v>47</v>
      </c>
      <c r="C868" t="s">
        <v>138</v>
      </c>
      <c r="D868" s="1">
        <v>43390</v>
      </c>
      <c r="E868">
        <v>1</v>
      </c>
      <c r="F868">
        <v>3065</v>
      </c>
      <c r="G868" t="s">
        <v>462</v>
      </c>
    </row>
    <row r="869" spans="1:7" x14ac:dyDescent="0.3">
      <c r="A869" t="s">
        <v>192</v>
      </c>
      <c r="B869" t="s">
        <v>51</v>
      </c>
      <c r="C869" t="s">
        <v>138</v>
      </c>
      <c r="D869" s="1">
        <v>43390</v>
      </c>
      <c r="E869">
        <v>1</v>
      </c>
      <c r="F869">
        <v>338</v>
      </c>
      <c r="G869" t="s">
        <v>462</v>
      </c>
    </row>
    <row r="870" spans="1:7" x14ac:dyDescent="0.3">
      <c r="A870" t="s">
        <v>192</v>
      </c>
      <c r="B870" t="s">
        <v>47</v>
      </c>
      <c r="C870" t="s">
        <v>138</v>
      </c>
      <c r="D870" s="1">
        <v>43390</v>
      </c>
      <c r="E870">
        <v>13</v>
      </c>
      <c r="F870">
        <v>28269</v>
      </c>
      <c r="G870" t="s">
        <v>462</v>
      </c>
    </row>
    <row r="871" spans="1:7" x14ac:dyDescent="0.3">
      <c r="A871" t="s">
        <v>192</v>
      </c>
      <c r="B871" t="s">
        <v>47</v>
      </c>
      <c r="C871" t="s">
        <v>138</v>
      </c>
      <c r="D871" s="1">
        <v>43391</v>
      </c>
      <c r="E871">
        <v>1</v>
      </c>
      <c r="F871">
        <v>3065</v>
      </c>
      <c r="G871" t="s">
        <v>462</v>
      </c>
    </row>
    <row r="872" spans="1:7" x14ac:dyDescent="0.3">
      <c r="A872" t="s">
        <v>192</v>
      </c>
      <c r="B872" t="s">
        <v>53</v>
      </c>
      <c r="C872" t="s">
        <v>138</v>
      </c>
      <c r="D872" s="1">
        <v>43391</v>
      </c>
      <c r="E872">
        <v>8</v>
      </c>
      <c r="F872">
        <v>17495</v>
      </c>
      <c r="G872" t="s">
        <v>462</v>
      </c>
    </row>
    <row r="873" spans="1:7" x14ac:dyDescent="0.3">
      <c r="A873" t="s">
        <v>192</v>
      </c>
      <c r="B873" t="s">
        <v>49</v>
      </c>
      <c r="C873" t="s">
        <v>138</v>
      </c>
      <c r="D873" s="1">
        <v>43391</v>
      </c>
      <c r="E873">
        <v>1</v>
      </c>
      <c r="F873">
        <v>361</v>
      </c>
      <c r="G873" t="s">
        <v>462</v>
      </c>
    </row>
    <row r="874" spans="1:7" x14ac:dyDescent="0.3">
      <c r="A874" t="s">
        <v>192</v>
      </c>
      <c r="B874" t="s">
        <v>47</v>
      </c>
      <c r="C874" t="s">
        <v>138</v>
      </c>
      <c r="D874" s="1">
        <v>43392</v>
      </c>
      <c r="E874">
        <v>1</v>
      </c>
      <c r="F874">
        <v>3065</v>
      </c>
      <c r="G874" t="s">
        <v>462</v>
      </c>
    </row>
    <row r="875" spans="1:7" x14ac:dyDescent="0.3">
      <c r="A875" t="s">
        <v>192</v>
      </c>
      <c r="B875" t="s">
        <v>47</v>
      </c>
      <c r="C875" t="s">
        <v>138</v>
      </c>
      <c r="D875" s="1">
        <v>43392</v>
      </c>
      <c r="E875">
        <v>13</v>
      </c>
      <c r="F875">
        <v>28269</v>
      </c>
      <c r="G875" t="s">
        <v>462</v>
      </c>
    </row>
    <row r="876" spans="1:7" x14ac:dyDescent="0.3">
      <c r="A876" t="s">
        <v>192</v>
      </c>
      <c r="B876" t="s">
        <v>34</v>
      </c>
      <c r="C876" t="s">
        <v>138</v>
      </c>
      <c r="D876" s="1">
        <v>43395</v>
      </c>
      <c r="E876">
        <v>2</v>
      </c>
      <c r="F876">
        <v>3495</v>
      </c>
      <c r="G876" t="s">
        <v>462</v>
      </c>
    </row>
    <row r="877" spans="1:7" x14ac:dyDescent="0.3">
      <c r="A877" t="s">
        <v>192</v>
      </c>
      <c r="B877" t="s">
        <v>47</v>
      </c>
      <c r="C877" t="s">
        <v>138</v>
      </c>
      <c r="D877" s="1">
        <v>43395</v>
      </c>
      <c r="E877">
        <v>3</v>
      </c>
      <c r="F877">
        <v>6125</v>
      </c>
      <c r="G877" t="s">
        <v>462</v>
      </c>
    </row>
    <row r="878" spans="1:7" x14ac:dyDescent="0.3">
      <c r="A878" t="s">
        <v>192</v>
      </c>
      <c r="B878" t="s">
        <v>53</v>
      </c>
      <c r="C878" t="s">
        <v>138</v>
      </c>
      <c r="D878" s="1">
        <v>43395</v>
      </c>
      <c r="E878">
        <v>3</v>
      </c>
      <c r="F878">
        <v>6995</v>
      </c>
      <c r="G878" t="s">
        <v>462</v>
      </c>
    </row>
    <row r="879" spans="1:7" x14ac:dyDescent="0.3">
      <c r="A879" t="s">
        <v>192</v>
      </c>
      <c r="B879" t="s">
        <v>34</v>
      </c>
      <c r="C879" t="s">
        <v>138</v>
      </c>
      <c r="D879" s="1">
        <v>43396</v>
      </c>
      <c r="E879">
        <v>1</v>
      </c>
      <c r="F879">
        <v>1745</v>
      </c>
      <c r="G879" t="s">
        <v>462</v>
      </c>
    </row>
    <row r="880" spans="1:7" x14ac:dyDescent="0.3">
      <c r="A880" t="s">
        <v>192</v>
      </c>
      <c r="B880" t="s">
        <v>49</v>
      </c>
      <c r="C880" t="s">
        <v>138</v>
      </c>
      <c r="D880" s="1">
        <v>43396</v>
      </c>
      <c r="E880">
        <v>1</v>
      </c>
      <c r="F880">
        <v>722</v>
      </c>
      <c r="G880" t="s">
        <v>462</v>
      </c>
    </row>
    <row r="881" spans="1:7" x14ac:dyDescent="0.3">
      <c r="A881" t="s">
        <v>192</v>
      </c>
      <c r="B881" t="s">
        <v>34</v>
      </c>
      <c r="C881" t="s">
        <v>138</v>
      </c>
      <c r="D881" s="1">
        <v>43397</v>
      </c>
      <c r="E881">
        <v>2</v>
      </c>
      <c r="F881">
        <v>4190</v>
      </c>
      <c r="G881" t="s">
        <v>462</v>
      </c>
    </row>
    <row r="882" spans="1:7" x14ac:dyDescent="0.3">
      <c r="A882" t="s">
        <v>192</v>
      </c>
      <c r="B882" t="s">
        <v>47</v>
      </c>
      <c r="C882" t="s">
        <v>138</v>
      </c>
      <c r="D882" s="1">
        <v>43398</v>
      </c>
      <c r="E882">
        <v>1</v>
      </c>
      <c r="F882">
        <v>3065</v>
      </c>
      <c r="G882" t="s">
        <v>462</v>
      </c>
    </row>
    <row r="883" spans="1:7" x14ac:dyDescent="0.3">
      <c r="A883" t="s">
        <v>192</v>
      </c>
      <c r="B883" t="s">
        <v>53</v>
      </c>
      <c r="C883" t="s">
        <v>138</v>
      </c>
      <c r="D883" s="1">
        <v>43398</v>
      </c>
      <c r="E883">
        <v>17</v>
      </c>
      <c r="F883">
        <v>38486</v>
      </c>
      <c r="G883" t="s">
        <v>462</v>
      </c>
    </row>
    <row r="884" spans="1:7" x14ac:dyDescent="0.3">
      <c r="A884" t="s">
        <v>192</v>
      </c>
      <c r="B884" t="s">
        <v>47</v>
      </c>
      <c r="C884" t="s">
        <v>138</v>
      </c>
      <c r="D884" s="1">
        <v>43402</v>
      </c>
      <c r="E884">
        <v>1</v>
      </c>
      <c r="F884">
        <v>3065</v>
      </c>
      <c r="G884" t="s">
        <v>462</v>
      </c>
    </row>
    <row r="885" spans="1:7" x14ac:dyDescent="0.3">
      <c r="A885" t="s">
        <v>192</v>
      </c>
      <c r="B885" t="s">
        <v>53</v>
      </c>
      <c r="C885" t="s">
        <v>138</v>
      </c>
      <c r="D885" s="1">
        <v>43402</v>
      </c>
      <c r="E885">
        <v>23</v>
      </c>
      <c r="F885">
        <v>52481</v>
      </c>
      <c r="G885" t="s">
        <v>462</v>
      </c>
    </row>
    <row r="886" spans="1:7" x14ac:dyDescent="0.3">
      <c r="A886" t="s">
        <v>192</v>
      </c>
      <c r="B886" t="s">
        <v>34</v>
      </c>
      <c r="C886" t="s">
        <v>138</v>
      </c>
      <c r="D886" s="1">
        <v>43403</v>
      </c>
      <c r="E886">
        <v>17</v>
      </c>
      <c r="F886">
        <v>35963</v>
      </c>
      <c r="G886" t="s">
        <v>462</v>
      </c>
    </row>
    <row r="887" spans="1:7" x14ac:dyDescent="0.3">
      <c r="A887" t="s">
        <v>192</v>
      </c>
      <c r="B887" t="s">
        <v>47</v>
      </c>
      <c r="C887" t="s">
        <v>138</v>
      </c>
      <c r="D887" s="1">
        <v>43403</v>
      </c>
      <c r="E887">
        <v>13</v>
      </c>
      <c r="F887">
        <v>28269</v>
      </c>
      <c r="G887" t="s">
        <v>462</v>
      </c>
    </row>
    <row r="888" spans="1:7" x14ac:dyDescent="0.3">
      <c r="A888" t="s">
        <v>192</v>
      </c>
      <c r="B888" t="s">
        <v>47</v>
      </c>
      <c r="C888" t="s">
        <v>138</v>
      </c>
      <c r="D888" s="1">
        <v>43404</v>
      </c>
      <c r="E888">
        <v>1</v>
      </c>
      <c r="F888">
        <v>3065</v>
      </c>
      <c r="G888" t="s">
        <v>462</v>
      </c>
    </row>
    <row r="889" spans="1:7" x14ac:dyDescent="0.3">
      <c r="A889" t="s">
        <v>192</v>
      </c>
      <c r="B889" t="s">
        <v>47</v>
      </c>
      <c r="C889" t="s">
        <v>138</v>
      </c>
      <c r="D889" s="1">
        <v>43405</v>
      </c>
      <c r="E889">
        <v>15</v>
      </c>
      <c r="F889">
        <v>33690</v>
      </c>
      <c r="G889" t="s">
        <v>462</v>
      </c>
    </row>
    <row r="890" spans="1:7" x14ac:dyDescent="0.3">
      <c r="A890" t="s">
        <v>192</v>
      </c>
      <c r="B890" t="s">
        <v>47</v>
      </c>
      <c r="C890" t="s">
        <v>138</v>
      </c>
      <c r="D890" s="1">
        <v>43405</v>
      </c>
      <c r="E890">
        <v>13</v>
      </c>
      <c r="F890">
        <v>28269</v>
      </c>
      <c r="G890" t="s">
        <v>462</v>
      </c>
    </row>
    <row r="891" spans="1:7" x14ac:dyDescent="0.3">
      <c r="A891" t="s">
        <v>192</v>
      </c>
      <c r="B891" t="s">
        <v>47</v>
      </c>
      <c r="C891" t="s">
        <v>138</v>
      </c>
      <c r="D891" s="1">
        <v>43406</v>
      </c>
      <c r="E891">
        <v>3</v>
      </c>
      <c r="F891">
        <v>6125</v>
      </c>
      <c r="G891" t="s">
        <v>462</v>
      </c>
    </row>
    <row r="892" spans="1:7" x14ac:dyDescent="0.3">
      <c r="A892" t="s">
        <v>192</v>
      </c>
      <c r="B892" t="s">
        <v>49</v>
      </c>
      <c r="C892" t="s">
        <v>138</v>
      </c>
      <c r="D892" s="1">
        <v>43406</v>
      </c>
      <c r="E892">
        <v>1</v>
      </c>
      <c r="F892">
        <v>722</v>
      </c>
      <c r="G892" t="s">
        <v>462</v>
      </c>
    </row>
    <row r="893" spans="1:7" x14ac:dyDescent="0.3">
      <c r="A893" t="s">
        <v>192</v>
      </c>
      <c r="B893" t="s">
        <v>47</v>
      </c>
      <c r="C893" t="s">
        <v>138</v>
      </c>
      <c r="D893" s="1">
        <v>43409</v>
      </c>
      <c r="E893">
        <v>4</v>
      </c>
      <c r="F893">
        <v>9190</v>
      </c>
      <c r="G893" t="s">
        <v>462</v>
      </c>
    </row>
    <row r="894" spans="1:7" x14ac:dyDescent="0.3">
      <c r="A894" t="s">
        <v>192</v>
      </c>
      <c r="B894" t="s">
        <v>34</v>
      </c>
      <c r="C894" t="s">
        <v>138</v>
      </c>
      <c r="D894" s="1">
        <v>43410</v>
      </c>
      <c r="E894">
        <v>18</v>
      </c>
      <c r="F894">
        <v>38060</v>
      </c>
      <c r="G894" t="s">
        <v>462</v>
      </c>
    </row>
    <row r="895" spans="1:7" x14ac:dyDescent="0.3">
      <c r="A895" t="s">
        <v>192</v>
      </c>
      <c r="B895" t="s">
        <v>53</v>
      </c>
      <c r="C895" t="s">
        <v>138</v>
      </c>
      <c r="D895" s="1">
        <v>43410</v>
      </c>
      <c r="E895">
        <v>8</v>
      </c>
      <c r="F895">
        <v>17495</v>
      </c>
      <c r="G895" t="s">
        <v>462</v>
      </c>
    </row>
    <row r="896" spans="1:7" x14ac:dyDescent="0.3">
      <c r="A896" t="s">
        <v>192</v>
      </c>
      <c r="B896" t="s">
        <v>47</v>
      </c>
      <c r="C896" t="s">
        <v>138</v>
      </c>
      <c r="D896" s="1">
        <v>43410</v>
      </c>
      <c r="E896">
        <v>13</v>
      </c>
      <c r="F896">
        <v>28269</v>
      </c>
      <c r="G896" t="s">
        <v>462</v>
      </c>
    </row>
    <row r="897" spans="1:7" x14ac:dyDescent="0.3">
      <c r="A897" t="s">
        <v>192</v>
      </c>
      <c r="B897" t="s">
        <v>34</v>
      </c>
      <c r="C897" t="s">
        <v>138</v>
      </c>
      <c r="D897" s="1">
        <v>43411</v>
      </c>
      <c r="E897">
        <v>11</v>
      </c>
      <c r="F897">
        <v>23394</v>
      </c>
      <c r="G897" t="s">
        <v>462</v>
      </c>
    </row>
    <row r="898" spans="1:7" x14ac:dyDescent="0.3">
      <c r="A898" t="s">
        <v>192</v>
      </c>
      <c r="B898" t="s">
        <v>47</v>
      </c>
      <c r="C898" t="s">
        <v>138</v>
      </c>
      <c r="D898" s="1">
        <v>43412</v>
      </c>
      <c r="E898">
        <v>4</v>
      </c>
      <c r="F898">
        <v>9190</v>
      </c>
      <c r="G898" t="s">
        <v>462</v>
      </c>
    </row>
    <row r="899" spans="1:7" x14ac:dyDescent="0.3">
      <c r="A899" t="s">
        <v>192</v>
      </c>
      <c r="B899" t="s">
        <v>53</v>
      </c>
      <c r="C899" t="s">
        <v>138</v>
      </c>
      <c r="D899" s="1">
        <v>43412</v>
      </c>
      <c r="E899">
        <v>9</v>
      </c>
      <c r="F899">
        <v>20991</v>
      </c>
      <c r="G899" t="s">
        <v>462</v>
      </c>
    </row>
    <row r="900" spans="1:7" x14ac:dyDescent="0.3">
      <c r="A900" t="s">
        <v>192</v>
      </c>
      <c r="B900" t="s">
        <v>34</v>
      </c>
      <c r="C900" t="s">
        <v>138</v>
      </c>
      <c r="D900" s="1">
        <v>43413</v>
      </c>
      <c r="E900">
        <v>21</v>
      </c>
      <c r="F900">
        <v>43991</v>
      </c>
      <c r="G900" t="s">
        <v>462</v>
      </c>
    </row>
    <row r="901" spans="1:7" x14ac:dyDescent="0.3">
      <c r="A901" t="s">
        <v>192</v>
      </c>
      <c r="B901" t="s">
        <v>47</v>
      </c>
      <c r="C901" t="s">
        <v>138</v>
      </c>
      <c r="D901" s="1">
        <v>43416</v>
      </c>
      <c r="E901">
        <v>3</v>
      </c>
      <c r="F901">
        <v>6125</v>
      </c>
      <c r="G901" t="s">
        <v>462</v>
      </c>
    </row>
    <row r="902" spans="1:7" x14ac:dyDescent="0.3">
      <c r="A902" t="s">
        <v>192</v>
      </c>
      <c r="B902" t="s">
        <v>53</v>
      </c>
      <c r="C902" t="s">
        <v>138</v>
      </c>
      <c r="D902" s="1">
        <v>43416</v>
      </c>
      <c r="E902">
        <v>15</v>
      </c>
      <c r="F902">
        <v>34986</v>
      </c>
      <c r="G902" t="s">
        <v>462</v>
      </c>
    </row>
    <row r="903" spans="1:7" x14ac:dyDescent="0.3">
      <c r="A903" t="s">
        <v>192</v>
      </c>
      <c r="B903" t="s">
        <v>47</v>
      </c>
      <c r="C903" t="s">
        <v>138</v>
      </c>
      <c r="D903" s="1">
        <v>43416</v>
      </c>
      <c r="E903">
        <v>13</v>
      </c>
      <c r="F903">
        <v>28269</v>
      </c>
      <c r="G903" t="s">
        <v>462</v>
      </c>
    </row>
    <row r="904" spans="1:7" x14ac:dyDescent="0.3">
      <c r="A904" t="s">
        <v>192</v>
      </c>
      <c r="B904" t="s">
        <v>47</v>
      </c>
      <c r="C904" t="s">
        <v>138</v>
      </c>
      <c r="D904" s="1">
        <v>43417</v>
      </c>
      <c r="E904">
        <v>1</v>
      </c>
      <c r="F904">
        <v>3065</v>
      </c>
      <c r="G904" t="s">
        <v>462</v>
      </c>
    </row>
    <row r="905" spans="1:7" x14ac:dyDescent="0.3">
      <c r="A905" t="s">
        <v>192</v>
      </c>
      <c r="B905" t="s">
        <v>47</v>
      </c>
      <c r="C905" t="s">
        <v>138</v>
      </c>
      <c r="D905" s="1">
        <v>43417</v>
      </c>
      <c r="E905">
        <v>13</v>
      </c>
      <c r="F905">
        <v>28269</v>
      </c>
      <c r="G905" t="s">
        <v>462</v>
      </c>
    </row>
    <row r="906" spans="1:7" x14ac:dyDescent="0.3">
      <c r="A906" t="s">
        <v>192</v>
      </c>
      <c r="B906" t="s">
        <v>47</v>
      </c>
      <c r="C906" t="s">
        <v>138</v>
      </c>
      <c r="D906" s="1">
        <v>43418</v>
      </c>
      <c r="E906">
        <v>1</v>
      </c>
      <c r="F906">
        <v>3065</v>
      </c>
      <c r="G906" t="s">
        <v>462</v>
      </c>
    </row>
    <row r="907" spans="1:7" x14ac:dyDescent="0.3">
      <c r="A907" t="s">
        <v>192</v>
      </c>
      <c r="B907" t="s">
        <v>47</v>
      </c>
      <c r="C907" t="s">
        <v>138</v>
      </c>
      <c r="D907" s="1">
        <v>43419</v>
      </c>
      <c r="E907">
        <v>3</v>
      </c>
      <c r="F907">
        <v>6125</v>
      </c>
      <c r="G907" t="s">
        <v>462</v>
      </c>
    </row>
    <row r="908" spans="1:7" x14ac:dyDescent="0.3">
      <c r="A908" t="s">
        <v>192</v>
      </c>
      <c r="B908" t="s">
        <v>53</v>
      </c>
      <c r="C908" t="s">
        <v>138</v>
      </c>
      <c r="D908" s="1">
        <v>43419</v>
      </c>
      <c r="E908">
        <v>8</v>
      </c>
      <c r="F908">
        <v>17495</v>
      </c>
      <c r="G908" t="s">
        <v>462</v>
      </c>
    </row>
    <row r="909" spans="1:7" x14ac:dyDescent="0.3">
      <c r="A909" t="s">
        <v>192</v>
      </c>
      <c r="B909" t="s">
        <v>34</v>
      </c>
      <c r="C909" t="s">
        <v>138</v>
      </c>
      <c r="D909" s="1">
        <v>43420</v>
      </c>
      <c r="E909">
        <v>37</v>
      </c>
      <c r="F909">
        <v>77870</v>
      </c>
      <c r="G909" t="s">
        <v>462</v>
      </c>
    </row>
    <row r="910" spans="1:7" x14ac:dyDescent="0.3">
      <c r="A910" t="s">
        <v>192</v>
      </c>
      <c r="B910" t="s">
        <v>47</v>
      </c>
      <c r="C910" t="s">
        <v>138</v>
      </c>
      <c r="D910" s="1">
        <v>43420</v>
      </c>
      <c r="E910">
        <v>13</v>
      </c>
      <c r="F910">
        <v>28269</v>
      </c>
      <c r="G910" t="s">
        <v>462</v>
      </c>
    </row>
    <row r="911" spans="1:7" x14ac:dyDescent="0.3">
      <c r="A911" t="s">
        <v>192</v>
      </c>
      <c r="B911" t="s">
        <v>53</v>
      </c>
      <c r="C911" t="s">
        <v>138</v>
      </c>
      <c r="D911" s="1">
        <v>43424</v>
      </c>
      <c r="E911">
        <v>8</v>
      </c>
      <c r="F911">
        <v>17495</v>
      </c>
      <c r="G911" t="s">
        <v>462</v>
      </c>
    </row>
    <row r="912" spans="1:7" x14ac:dyDescent="0.3">
      <c r="A912" t="s">
        <v>192</v>
      </c>
      <c r="B912" t="s">
        <v>47</v>
      </c>
      <c r="C912" t="s">
        <v>138</v>
      </c>
      <c r="D912" s="1">
        <v>43424</v>
      </c>
      <c r="E912">
        <v>13</v>
      </c>
      <c r="F912">
        <v>28269</v>
      </c>
      <c r="G912" t="s">
        <v>462</v>
      </c>
    </row>
    <row r="913" spans="1:7" x14ac:dyDescent="0.3">
      <c r="A913" t="s">
        <v>192</v>
      </c>
      <c r="B913" t="s">
        <v>47</v>
      </c>
      <c r="C913" t="s">
        <v>138</v>
      </c>
      <c r="D913" s="1">
        <v>43425</v>
      </c>
      <c r="E913">
        <v>1</v>
      </c>
      <c r="F913">
        <v>3065</v>
      </c>
      <c r="G913" t="s">
        <v>462</v>
      </c>
    </row>
    <row r="914" spans="1:7" x14ac:dyDescent="0.3">
      <c r="A914" t="s">
        <v>192</v>
      </c>
      <c r="B914" t="s">
        <v>47</v>
      </c>
      <c r="C914" t="s">
        <v>138</v>
      </c>
      <c r="D914" s="1">
        <v>43426</v>
      </c>
      <c r="E914">
        <v>3</v>
      </c>
      <c r="F914">
        <v>6125</v>
      </c>
      <c r="G914" t="s">
        <v>462</v>
      </c>
    </row>
    <row r="915" spans="1:7" x14ac:dyDescent="0.3">
      <c r="A915" t="s">
        <v>192</v>
      </c>
      <c r="B915" t="s">
        <v>53</v>
      </c>
      <c r="C915" t="s">
        <v>138</v>
      </c>
      <c r="D915" s="1">
        <v>43426</v>
      </c>
      <c r="E915">
        <v>23</v>
      </c>
      <c r="F915">
        <v>52481</v>
      </c>
      <c r="G915" t="s">
        <v>462</v>
      </c>
    </row>
    <row r="916" spans="1:7" x14ac:dyDescent="0.3">
      <c r="A916" t="s">
        <v>192</v>
      </c>
      <c r="B916" t="s">
        <v>47</v>
      </c>
      <c r="C916" t="s">
        <v>138</v>
      </c>
      <c r="D916" s="1">
        <v>43426</v>
      </c>
      <c r="E916">
        <v>13</v>
      </c>
      <c r="F916">
        <v>28269</v>
      </c>
      <c r="G916" t="s">
        <v>462</v>
      </c>
    </row>
    <row r="917" spans="1:7" x14ac:dyDescent="0.3">
      <c r="A917" t="s">
        <v>192</v>
      </c>
      <c r="B917" t="s">
        <v>34</v>
      </c>
      <c r="C917" t="s">
        <v>138</v>
      </c>
      <c r="D917" s="1">
        <v>43427</v>
      </c>
      <c r="E917">
        <v>6</v>
      </c>
      <c r="F917">
        <v>13264</v>
      </c>
      <c r="G917" t="s">
        <v>462</v>
      </c>
    </row>
    <row r="918" spans="1:7" x14ac:dyDescent="0.3">
      <c r="A918" t="s">
        <v>192</v>
      </c>
      <c r="B918" t="s">
        <v>47</v>
      </c>
      <c r="C918" t="s">
        <v>138</v>
      </c>
      <c r="D918" s="1">
        <v>43427</v>
      </c>
      <c r="E918">
        <v>4</v>
      </c>
      <c r="F918">
        <v>9190</v>
      </c>
      <c r="G918" t="s">
        <v>462</v>
      </c>
    </row>
    <row r="919" spans="1:7" x14ac:dyDescent="0.3">
      <c r="A919" t="s">
        <v>192</v>
      </c>
      <c r="B919" t="s">
        <v>49</v>
      </c>
      <c r="C919" t="s">
        <v>138</v>
      </c>
      <c r="D919" s="1">
        <v>43427</v>
      </c>
      <c r="E919">
        <v>17</v>
      </c>
      <c r="F919">
        <v>36014</v>
      </c>
      <c r="G919" t="s">
        <v>462</v>
      </c>
    </row>
    <row r="920" spans="1:7" x14ac:dyDescent="0.3">
      <c r="A920" t="s">
        <v>192</v>
      </c>
      <c r="B920" t="s">
        <v>34</v>
      </c>
      <c r="C920" t="s">
        <v>138</v>
      </c>
      <c r="D920" s="1">
        <v>43430</v>
      </c>
      <c r="E920">
        <v>58</v>
      </c>
      <c r="F920">
        <v>121509</v>
      </c>
      <c r="G920" t="s">
        <v>462</v>
      </c>
    </row>
    <row r="921" spans="1:7" x14ac:dyDescent="0.3">
      <c r="A921" t="s">
        <v>192</v>
      </c>
      <c r="B921" t="s">
        <v>47</v>
      </c>
      <c r="C921" t="s">
        <v>138</v>
      </c>
      <c r="D921" s="1">
        <v>43431</v>
      </c>
      <c r="E921">
        <v>13</v>
      </c>
      <c r="F921">
        <v>28269</v>
      </c>
      <c r="G921" t="s">
        <v>462</v>
      </c>
    </row>
    <row r="922" spans="1:7" x14ac:dyDescent="0.3">
      <c r="A922" t="s">
        <v>192</v>
      </c>
      <c r="B922" t="s">
        <v>49</v>
      </c>
      <c r="C922" t="s">
        <v>138</v>
      </c>
      <c r="D922" s="1">
        <v>43431</v>
      </c>
      <c r="E922">
        <v>33</v>
      </c>
      <c r="F922">
        <v>72028</v>
      </c>
      <c r="G922" t="s">
        <v>462</v>
      </c>
    </row>
    <row r="923" spans="1:7" x14ac:dyDescent="0.3">
      <c r="A923" t="s">
        <v>192</v>
      </c>
      <c r="B923" t="s">
        <v>34</v>
      </c>
      <c r="C923" t="s">
        <v>138</v>
      </c>
      <c r="D923" s="1">
        <v>43433</v>
      </c>
      <c r="E923">
        <v>22</v>
      </c>
      <c r="F923">
        <v>46444</v>
      </c>
      <c r="G923" t="s">
        <v>462</v>
      </c>
    </row>
    <row r="924" spans="1:7" x14ac:dyDescent="0.3">
      <c r="A924" t="s">
        <v>192</v>
      </c>
      <c r="B924" t="s">
        <v>47</v>
      </c>
      <c r="C924" t="s">
        <v>138</v>
      </c>
      <c r="D924" s="1">
        <v>43433</v>
      </c>
      <c r="E924">
        <v>1</v>
      </c>
      <c r="F924">
        <v>3065</v>
      </c>
      <c r="G924" t="s">
        <v>462</v>
      </c>
    </row>
    <row r="925" spans="1:7" x14ac:dyDescent="0.3">
      <c r="A925" t="s">
        <v>192</v>
      </c>
      <c r="B925" t="s">
        <v>53</v>
      </c>
      <c r="C925" t="s">
        <v>138</v>
      </c>
      <c r="D925" s="1">
        <v>43433</v>
      </c>
      <c r="E925">
        <v>8</v>
      </c>
      <c r="F925">
        <v>17495</v>
      </c>
      <c r="G925" t="s">
        <v>462</v>
      </c>
    </row>
    <row r="926" spans="1:7" x14ac:dyDescent="0.3">
      <c r="A926" t="s">
        <v>192</v>
      </c>
      <c r="B926" t="s">
        <v>47</v>
      </c>
      <c r="C926" t="s">
        <v>138</v>
      </c>
      <c r="D926" s="1">
        <v>43433</v>
      </c>
      <c r="E926">
        <v>13</v>
      </c>
      <c r="F926">
        <v>28269</v>
      </c>
      <c r="G926" t="s">
        <v>462</v>
      </c>
    </row>
    <row r="927" spans="1:7" x14ac:dyDescent="0.3">
      <c r="A927" t="s">
        <v>192</v>
      </c>
      <c r="B927" t="s">
        <v>47</v>
      </c>
      <c r="C927" t="s">
        <v>138</v>
      </c>
      <c r="D927" s="1">
        <v>43437</v>
      </c>
      <c r="E927">
        <v>1</v>
      </c>
      <c r="F927">
        <v>3065</v>
      </c>
      <c r="G927" t="s">
        <v>462</v>
      </c>
    </row>
    <row r="928" spans="1:7" x14ac:dyDescent="0.3">
      <c r="A928" t="s">
        <v>192</v>
      </c>
      <c r="B928" t="s">
        <v>53</v>
      </c>
      <c r="C928" t="s">
        <v>138</v>
      </c>
      <c r="D928" s="1">
        <v>43437</v>
      </c>
      <c r="E928">
        <v>8</v>
      </c>
      <c r="F928">
        <v>17495</v>
      </c>
      <c r="G928" t="s">
        <v>462</v>
      </c>
    </row>
    <row r="929" spans="1:7" x14ac:dyDescent="0.3">
      <c r="A929" t="s">
        <v>192</v>
      </c>
      <c r="B929" t="s">
        <v>47</v>
      </c>
      <c r="C929" t="s">
        <v>138</v>
      </c>
      <c r="D929" s="1">
        <v>43438</v>
      </c>
      <c r="E929">
        <v>1</v>
      </c>
      <c r="F929">
        <v>3065</v>
      </c>
      <c r="G929" t="s">
        <v>462</v>
      </c>
    </row>
    <row r="930" spans="1:7" x14ac:dyDescent="0.3">
      <c r="A930" t="s">
        <v>192</v>
      </c>
      <c r="B930" t="s">
        <v>47</v>
      </c>
      <c r="C930" t="s">
        <v>138</v>
      </c>
      <c r="D930" s="1">
        <v>43438</v>
      </c>
      <c r="E930">
        <v>13</v>
      </c>
      <c r="F930">
        <v>28269</v>
      </c>
      <c r="G930" t="s">
        <v>462</v>
      </c>
    </row>
    <row r="931" spans="1:7" x14ac:dyDescent="0.3">
      <c r="A931" t="s">
        <v>192</v>
      </c>
      <c r="B931" t="s">
        <v>47</v>
      </c>
      <c r="C931" t="s">
        <v>138</v>
      </c>
      <c r="D931" s="1">
        <v>43440</v>
      </c>
      <c r="E931">
        <v>1</v>
      </c>
      <c r="F931">
        <v>3065</v>
      </c>
      <c r="G931" t="s">
        <v>462</v>
      </c>
    </row>
    <row r="932" spans="1:7" x14ac:dyDescent="0.3">
      <c r="A932" t="s">
        <v>192</v>
      </c>
      <c r="B932" t="s">
        <v>53</v>
      </c>
      <c r="C932" t="s">
        <v>138</v>
      </c>
      <c r="D932" s="1">
        <v>43440</v>
      </c>
      <c r="E932">
        <v>15</v>
      </c>
      <c r="F932">
        <v>34986</v>
      </c>
      <c r="G932" t="s">
        <v>462</v>
      </c>
    </row>
    <row r="933" spans="1:7" x14ac:dyDescent="0.3">
      <c r="A933" t="s">
        <v>192</v>
      </c>
      <c r="B933" t="s">
        <v>47</v>
      </c>
      <c r="C933" t="s">
        <v>138</v>
      </c>
      <c r="D933" s="1">
        <v>43440</v>
      </c>
      <c r="E933">
        <v>13</v>
      </c>
      <c r="F933">
        <v>28269</v>
      </c>
      <c r="G933" t="s">
        <v>462</v>
      </c>
    </row>
    <row r="934" spans="1:7" x14ac:dyDescent="0.3">
      <c r="A934" t="s">
        <v>192</v>
      </c>
      <c r="B934" t="s">
        <v>34</v>
      </c>
      <c r="C934" t="s">
        <v>138</v>
      </c>
      <c r="D934" s="1">
        <v>43441</v>
      </c>
      <c r="E934">
        <v>59</v>
      </c>
      <c r="F934">
        <v>122898</v>
      </c>
      <c r="G934" t="s">
        <v>462</v>
      </c>
    </row>
    <row r="935" spans="1:7" x14ac:dyDescent="0.3">
      <c r="A935" t="s">
        <v>192</v>
      </c>
      <c r="B935" t="s">
        <v>47</v>
      </c>
      <c r="C935" t="s">
        <v>138</v>
      </c>
      <c r="D935" s="1">
        <v>43444</v>
      </c>
      <c r="E935">
        <v>1</v>
      </c>
      <c r="F935">
        <v>3065</v>
      </c>
      <c r="G935" t="s">
        <v>462</v>
      </c>
    </row>
    <row r="936" spans="1:7" x14ac:dyDescent="0.3">
      <c r="A936" t="s">
        <v>192</v>
      </c>
      <c r="B936" t="s">
        <v>53</v>
      </c>
      <c r="C936" t="s">
        <v>138</v>
      </c>
      <c r="D936" s="1">
        <v>43444</v>
      </c>
      <c r="E936">
        <v>23</v>
      </c>
      <c r="F936">
        <v>52481</v>
      </c>
      <c r="G936" t="s">
        <v>462</v>
      </c>
    </row>
    <row r="937" spans="1:7" x14ac:dyDescent="0.3">
      <c r="A937" t="s">
        <v>192</v>
      </c>
      <c r="B937" t="s">
        <v>47</v>
      </c>
      <c r="C937" t="s">
        <v>138</v>
      </c>
      <c r="D937" s="1">
        <v>43444</v>
      </c>
      <c r="E937">
        <v>13</v>
      </c>
      <c r="F937">
        <v>28269</v>
      </c>
      <c r="G937" t="s">
        <v>462</v>
      </c>
    </row>
    <row r="938" spans="1:7" x14ac:dyDescent="0.3">
      <c r="A938" t="s">
        <v>192</v>
      </c>
      <c r="B938" t="s">
        <v>47</v>
      </c>
      <c r="C938" t="s">
        <v>138</v>
      </c>
      <c r="D938" s="1">
        <v>43446</v>
      </c>
      <c r="E938">
        <v>1</v>
      </c>
      <c r="F938">
        <v>3065</v>
      </c>
      <c r="G938" t="s">
        <v>462</v>
      </c>
    </row>
    <row r="939" spans="1:7" x14ac:dyDescent="0.3">
      <c r="A939" t="s">
        <v>192</v>
      </c>
      <c r="B939" t="s">
        <v>34</v>
      </c>
      <c r="C939" t="s">
        <v>138</v>
      </c>
      <c r="D939" s="1">
        <v>43447</v>
      </c>
      <c r="E939">
        <v>9</v>
      </c>
      <c r="F939">
        <v>19556</v>
      </c>
      <c r="G939" t="s">
        <v>462</v>
      </c>
    </row>
    <row r="940" spans="1:7" x14ac:dyDescent="0.3">
      <c r="A940" t="s">
        <v>192</v>
      </c>
      <c r="B940" t="s">
        <v>47</v>
      </c>
      <c r="C940" t="s">
        <v>138</v>
      </c>
      <c r="D940" s="1">
        <v>43447</v>
      </c>
      <c r="E940">
        <v>1</v>
      </c>
      <c r="F940">
        <v>3065</v>
      </c>
      <c r="G940" t="s">
        <v>462</v>
      </c>
    </row>
    <row r="941" spans="1:7" x14ac:dyDescent="0.3">
      <c r="A941" t="s">
        <v>192</v>
      </c>
      <c r="B941" t="s">
        <v>53</v>
      </c>
      <c r="C941" t="s">
        <v>138</v>
      </c>
      <c r="D941" s="1">
        <v>43447</v>
      </c>
      <c r="E941">
        <v>8</v>
      </c>
      <c r="F941">
        <v>17495</v>
      </c>
      <c r="G941" t="s">
        <v>462</v>
      </c>
    </row>
    <row r="942" spans="1:7" x14ac:dyDescent="0.3">
      <c r="A942" t="s">
        <v>192</v>
      </c>
      <c r="B942" t="s">
        <v>34</v>
      </c>
      <c r="C942" t="s">
        <v>138</v>
      </c>
      <c r="D942" s="1">
        <v>43448</v>
      </c>
      <c r="E942">
        <v>18</v>
      </c>
      <c r="F942">
        <v>38407</v>
      </c>
      <c r="G942" t="s">
        <v>462</v>
      </c>
    </row>
    <row r="943" spans="1:7" x14ac:dyDescent="0.3">
      <c r="A943" t="s">
        <v>192</v>
      </c>
      <c r="B943" t="s">
        <v>47</v>
      </c>
      <c r="C943" t="s">
        <v>138</v>
      </c>
      <c r="D943" s="1">
        <v>43448</v>
      </c>
      <c r="E943">
        <v>4</v>
      </c>
      <c r="F943">
        <v>9190</v>
      </c>
      <c r="G943" t="s">
        <v>462</v>
      </c>
    </row>
    <row r="944" spans="1:7" x14ac:dyDescent="0.3">
      <c r="A944" t="s">
        <v>192</v>
      </c>
      <c r="B944" t="s">
        <v>47</v>
      </c>
      <c r="C944" t="s">
        <v>138</v>
      </c>
      <c r="D944" s="1">
        <v>43451</v>
      </c>
      <c r="E944">
        <v>3</v>
      </c>
      <c r="F944">
        <v>6125</v>
      </c>
      <c r="G944" t="s">
        <v>462</v>
      </c>
    </row>
    <row r="945" spans="1:7" x14ac:dyDescent="0.3">
      <c r="A945" t="s">
        <v>192</v>
      </c>
      <c r="B945" t="s">
        <v>53</v>
      </c>
      <c r="C945" t="s">
        <v>138</v>
      </c>
      <c r="D945" s="1">
        <v>43451</v>
      </c>
      <c r="E945">
        <v>8</v>
      </c>
      <c r="F945">
        <v>17495</v>
      </c>
      <c r="G945" t="s">
        <v>462</v>
      </c>
    </row>
    <row r="946" spans="1:7" x14ac:dyDescent="0.3">
      <c r="A946" t="s">
        <v>192</v>
      </c>
      <c r="B946" t="s">
        <v>51</v>
      </c>
      <c r="C946" t="s">
        <v>138</v>
      </c>
      <c r="D946" s="1">
        <v>43451</v>
      </c>
      <c r="E946">
        <v>1</v>
      </c>
      <c r="F946">
        <v>338</v>
      </c>
      <c r="G946" t="s">
        <v>462</v>
      </c>
    </row>
    <row r="947" spans="1:7" x14ac:dyDescent="0.3">
      <c r="A947" t="s">
        <v>192</v>
      </c>
      <c r="B947" t="s">
        <v>53</v>
      </c>
      <c r="C947" t="s">
        <v>138</v>
      </c>
      <c r="D947" s="1">
        <v>43452</v>
      </c>
      <c r="E947">
        <v>11</v>
      </c>
      <c r="F947">
        <v>24491</v>
      </c>
      <c r="G947" t="s">
        <v>462</v>
      </c>
    </row>
    <row r="948" spans="1:7" x14ac:dyDescent="0.3">
      <c r="A948" t="s">
        <v>192</v>
      </c>
      <c r="B948" t="s">
        <v>47</v>
      </c>
      <c r="C948" t="s">
        <v>138</v>
      </c>
      <c r="D948" s="1">
        <v>43454</v>
      </c>
      <c r="E948">
        <v>3</v>
      </c>
      <c r="F948">
        <v>6125</v>
      </c>
      <c r="G948" t="s">
        <v>462</v>
      </c>
    </row>
    <row r="949" spans="1:7" x14ac:dyDescent="0.3">
      <c r="A949" t="s">
        <v>192</v>
      </c>
      <c r="B949" t="s">
        <v>53</v>
      </c>
      <c r="C949" t="s">
        <v>138</v>
      </c>
      <c r="D949" s="1">
        <v>43454</v>
      </c>
      <c r="E949">
        <v>72</v>
      </c>
      <c r="F949">
        <v>167935</v>
      </c>
      <c r="G949" t="s">
        <v>462</v>
      </c>
    </row>
    <row r="950" spans="1:7" x14ac:dyDescent="0.3">
      <c r="A950" t="s">
        <v>192</v>
      </c>
      <c r="B950" t="s">
        <v>34</v>
      </c>
      <c r="C950" t="s">
        <v>138</v>
      </c>
      <c r="D950" s="1">
        <v>43455</v>
      </c>
      <c r="E950">
        <v>108</v>
      </c>
      <c r="F950">
        <v>226963</v>
      </c>
      <c r="G950" t="s">
        <v>462</v>
      </c>
    </row>
    <row r="951" spans="1:7" x14ac:dyDescent="0.3">
      <c r="A951" t="s">
        <v>192</v>
      </c>
      <c r="B951" t="s">
        <v>47</v>
      </c>
      <c r="C951" t="s">
        <v>138</v>
      </c>
      <c r="D951" s="1">
        <v>43455</v>
      </c>
      <c r="E951">
        <v>4</v>
      </c>
      <c r="F951">
        <v>9190</v>
      </c>
      <c r="G951" t="s">
        <v>462</v>
      </c>
    </row>
    <row r="952" spans="1:7" x14ac:dyDescent="0.3">
      <c r="A952" t="s">
        <v>192</v>
      </c>
      <c r="B952" t="s">
        <v>47</v>
      </c>
      <c r="C952" t="s">
        <v>138</v>
      </c>
      <c r="D952" s="1">
        <v>43455</v>
      </c>
      <c r="E952">
        <v>67</v>
      </c>
      <c r="F952">
        <v>141343</v>
      </c>
      <c r="G952" t="s">
        <v>462</v>
      </c>
    </row>
    <row r="953" spans="1:7" x14ac:dyDescent="0.3">
      <c r="A953" t="s">
        <v>192</v>
      </c>
      <c r="B953" t="s">
        <v>47</v>
      </c>
      <c r="C953" t="s">
        <v>138</v>
      </c>
      <c r="D953" s="1">
        <v>43462</v>
      </c>
      <c r="E953">
        <v>5</v>
      </c>
      <c r="F953">
        <v>12250</v>
      </c>
      <c r="G953" t="s">
        <v>462</v>
      </c>
    </row>
    <row r="954" spans="1:7" x14ac:dyDescent="0.3">
      <c r="A954" t="s">
        <v>192</v>
      </c>
      <c r="B954" t="s">
        <v>53</v>
      </c>
      <c r="C954" t="s">
        <v>138</v>
      </c>
      <c r="D954" s="1">
        <v>43469</v>
      </c>
      <c r="E954">
        <v>27</v>
      </c>
      <c r="F954">
        <v>62977</v>
      </c>
      <c r="G954" t="s">
        <v>462</v>
      </c>
    </row>
    <row r="955" spans="1:7" x14ac:dyDescent="0.3">
      <c r="A955" t="s">
        <v>192</v>
      </c>
      <c r="B955" t="s">
        <v>47</v>
      </c>
      <c r="C955" t="s">
        <v>138</v>
      </c>
      <c r="D955" s="1">
        <v>43472</v>
      </c>
      <c r="E955">
        <v>1</v>
      </c>
      <c r="F955">
        <v>3065</v>
      </c>
      <c r="G955" t="s">
        <v>462</v>
      </c>
    </row>
    <row r="956" spans="1:7" x14ac:dyDescent="0.3">
      <c r="A956" t="s">
        <v>192</v>
      </c>
      <c r="B956" t="s">
        <v>51</v>
      </c>
      <c r="C956" t="s">
        <v>138</v>
      </c>
      <c r="D956" s="1">
        <v>43472</v>
      </c>
      <c r="E956">
        <v>1</v>
      </c>
      <c r="F956">
        <v>338</v>
      </c>
      <c r="G956" t="s">
        <v>462</v>
      </c>
    </row>
    <row r="957" spans="1:7" x14ac:dyDescent="0.3">
      <c r="A957" t="s">
        <v>192</v>
      </c>
      <c r="B957" t="s">
        <v>47</v>
      </c>
      <c r="C957" t="s">
        <v>138</v>
      </c>
      <c r="D957" s="1">
        <v>43472</v>
      </c>
      <c r="E957">
        <v>27</v>
      </c>
      <c r="F957">
        <v>56532</v>
      </c>
      <c r="G957" t="s">
        <v>462</v>
      </c>
    </row>
    <row r="958" spans="1:7" x14ac:dyDescent="0.3">
      <c r="A958" t="s">
        <v>192</v>
      </c>
      <c r="B958" t="s">
        <v>34</v>
      </c>
      <c r="C958" t="s">
        <v>138</v>
      </c>
      <c r="D958" s="1">
        <v>43473</v>
      </c>
      <c r="E958">
        <v>8</v>
      </c>
      <c r="F958">
        <v>17458</v>
      </c>
      <c r="G958" t="s">
        <v>462</v>
      </c>
    </row>
    <row r="959" spans="1:7" x14ac:dyDescent="0.3">
      <c r="A959" t="s">
        <v>192</v>
      </c>
      <c r="B959" t="s">
        <v>47</v>
      </c>
      <c r="C959" t="s">
        <v>138</v>
      </c>
      <c r="D959" s="1">
        <v>43473</v>
      </c>
      <c r="E959">
        <v>12</v>
      </c>
      <c r="F959">
        <v>27565</v>
      </c>
      <c r="G959" t="s">
        <v>462</v>
      </c>
    </row>
    <row r="960" spans="1:7" x14ac:dyDescent="0.3">
      <c r="A960" t="s">
        <v>192</v>
      </c>
      <c r="B960" t="s">
        <v>51</v>
      </c>
      <c r="C960" t="s">
        <v>138</v>
      </c>
      <c r="D960" s="1">
        <v>43473</v>
      </c>
      <c r="E960">
        <v>1</v>
      </c>
      <c r="F960">
        <v>338</v>
      </c>
      <c r="G960" t="s">
        <v>462</v>
      </c>
    </row>
    <row r="961" spans="1:7" x14ac:dyDescent="0.3">
      <c r="A961" t="s">
        <v>192</v>
      </c>
      <c r="B961" t="s">
        <v>47</v>
      </c>
      <c r="C961" t="s">
        <v>138</v>
      </c>
      <c r="D961" s="1">
        <v>43475</v>
      </c>
      <c r="E961">
        <v>1</v>
      </c>
      <c r="F961">
        <v>3065</v>
      </c>
      <c r="G961" t="s">
        <v>462</v>
      </c>
    </row>
    <row r="962" spans="1:7" x14ac:dyDescent="0.3">
      <c r="A962" t="s">
        <v>192</v>
      </c>
      <c r="B962" t="s">
        <v>34</v>
      </c>
      <c r="C962" t="s">
        <v>138</v>
      </c>
      <c r="D962" s="1">
        <v>43476</v>
      </c>
      <c r="E962">
        <v>18</v>
      </c>
      <c r="F962">
        <v>38065</v>
      </c>
      <c r="G962" t="s">
        <v>462</v>
      </c>
    </row>
    <row r="963" spans="1:7" x14ac:dyDescent="0.3">
      <c r="A963" t="s">
        <v>192</v>
      </c>
      <c r="B963" t="s">
        <v>49</v>
      </c>
      <c r="C963" t="s">
        <v>138</v>
      </c>
      <c r="D963" s="1">
        <v>43476</v>
      </c>
      <c r="E963">
        <v>1</v>
      </c>
      <c r="F963">
        <v>722</v>
      </c>
      <c r="G963" t="s">
        <v>462</v>
      </c>
    </row>
    <row r="964" spans="1:7" x14ac:dyDescent="0.3">
      <c r="A964" t="s">
        <v>192</v>
      </c>
      <c r="B964" t="s">
        <v>47</v>
      </c>
      <c r="C964" t="s">
        <v>138</v>
      </c>
      <c r="D964" s="1">
        <v>43479</v>
      </c>
      <c r="E964">
        <v>1</v>
      </c>
      <c r="F964">
        <v>3065</v>
      </c>
      <c r="G964" t="s">
        <v>462</v>
      </c>
    </row>
    <row r="965" spans="1:7" x14ac:dyDescent="0.3">
      <c r="A965" t="s">
        <v>192</v>
      </c>
      <c r="B965" t="s">
        <v>51</v>
      </c>
      <c r="C965" t="s">
        <v>138</v>
      </c>
      <c r="D965" s="1">
        <v>43479</v>
      </c>
      <c r="E965">
        <v>1</v>
      </c>
      <c r="F965">
        <v>338</v>
      </c>
      <c r="G965" t="s">
        <v>462</v>
      </c>
    </row>
    <row r="966" spans="1:7" x14ac:dyDescent="0.3">
      <c r="A966" t="s">
        <v>192</v>
      </c>
      <c r="B966" t="s">
        <v>47</v>
      </c>
      <c r="C966" t="s">
        <v>138</v>
      </c>
      <c r="D966" s="1">
        <v>43480</v>
      </c>
      <c r="E966">
        <v>13</v>
      </c>
      <c r="F966">
        <v>28269</v>
      </c>
      <c r="G966" t="s">
        <v>462</v>
      </c>
    </row>
    <row r="967" spans="1:7" x14ac:dyDescent="0.3">
      <c r="A967" t="s">
        <v>192</v>
      </c>
      <c r="B967" t="s">
        <v>47</v>
      </c>
      <c r="C967" t="s">
        <v>138</v>
      </c>
      <c r="D967" s="1">
        <v>43481</v>
      </c>
      <c r="E967">
        <v>12</v>
      </c>
      <c r="F967">
        <v>27565</v>
      </c>
      <c r="G967" t="s">
        <v>462</v>
      </c>
    </row>
    <row r="968" spans="1:7" x14ac:dyDescent="0.3">
      <c r="A968" t="s">
        <v>192</v>
      </c>
      <c r="B968" t="s">
        <v>47</v>
      </c>
      <c r="C968" t="s">
        <v>138</v>
      </c>
      <c r="D968" s="1">
        <v>43482</v>
      </c>
      <c r="E968">
        <v>13</v>
      </c>
      <c r="F968">
        <v>28269</v>
      </c>
      <c r="G968" t="s">
        <v>462</v>
      </c>
    </row>
    <row r="969" spans="1:7" x14ac:dyDescent="0.3">
      <c r="A969" t="s">
        <v>192</v>
      </c>
      <c r="B969" t="s">
        <v>34</v>
      </c>
      <c r="C969" t="s">
        <v>138</v>
      </c>
      <c r="D969" s="1">
        <v>43483</v>
      </c>
      <c r="E969">
        <v>20</v>
      </c>
      <c r="F969">
        <v>41898</v>
      </c>
      <c r="G969" t="s">
        <v>462</v>
      </c>
    </row>
    <row r="970" spans="1:7" x14ac:dyDescent="0.3">
      <c r="A970" t="s">
        <v>192</v>
      </c>
      <c r="B970" t="s">
        <v>47</v>
      </c>
      <c r="C970" t="s">
        <v>138</v>
      </c>
      <c r="D970" s="1">
        <v>43483</v>
      </c>
      <c r="E970">
        <v>12</v>
      </c>
      <c r="F970">
        <v>27565</v>
      </c>
      <c r="G970" t="s">
        <v>462</v>
      </c>
    </row>
    <row r="971" spans="1:7" x14ac:dyDescent="0.3">
      <c r="A971" t="s">
        <v>192</v>
      </c>
      <c r="B971" t="s">
        <v>53</v>
      </c>
      <c r="C971" t="s">
        <v>138</v>
      </c>
      <c r="D971" s="1">
        <v>43486</v>
      </c>
      <c r="E971">
        <v>45</v>
      </c>
      <c r="F971">
        <v>104958</v>
      </c>
      <c r="G971" t="s">
        <v>462</v>
      </c>
    </row>
    <row r="972" spans="1:7" x14ac:dyDescent="0.3">
      <c r="A972" t="s">
        <v>192</v>
      </c>
      <c r="B972" t="s">
        <v>49</v>
      </c>
      <c r="C972" t="s">
        <v>138</v>
      </c>
      <c r="D972" s="1">
        <v>43486</v>
      </c>
      <c r="E972">
        <v>1</v>
      </c>
      <c r="F972">
        <v>722</v>
      </c>
      <c r="G972" t="s">
        <v>462</v>
      </c>
    </row>
    <row r="973" spans="1:7" x14ac:dyDescent="0.3">
      <c r="A973" t="s">
        <v>192</v>
      </c>
      <c r="B973" t="s">
        <v>47</v>
      </c>
      <c r="C973" t="s">
        <v>138</v>
      </c>
      <c r="D973" s="1">
        <v>43489</v>
      </c>
      <c r="E973">
        <v>13</v>
      </c>
      <c r="F973">
        <v>28269</v>
      </c>
      <c r="G973" t="s">
        <v>462</v>
      </c>
    </row>
    <row r="974" spans="1:7" x14ac:dyDescent="0.3">
      <c r="A974" t="s">
        <v>192</v>
      </c>
      <c r="B974" t="s">
        <v>47</v>
      </c>
      <c r="C974" t="s">
        <v>138</v>
      </c>
      <c r="D974" s="1">
        <v>43490</v>
      </c>
      <c r="E974">
        <v>53</v>
      </c>
      <c r="F974">
        <v>113074</v>
      </c>
      <c r="G974" t="s">
        <v>462</v>
      </c>
    </row>
    <row r="975" spans="1:7" x14ac:dyDescent="0.3">
      <c r="A975" t="s">
        <v>192</v>
      </c>
      <c r="B975" t="s">
        <v>34</v>
      </c>
      <c r="C975" t="s">
        <v>138</v>
      </c>
      <c r="D975" s="1">
        <v>43493</v>
      </c>
      <c r="E975">
        <v>55</v>
      </c>
      <c r="F975">
        <v>115921</v>
      </c>
      <c r="G975" t="s">
        <v>462</v>
      </c>
    </row>
    <row r="976" spans="1:7" x14ac:dyDescent="0.3">
      <c r="A976" t="s">
        <v>192</v>
      </c>
      <c r="B976" t="s">
        <v>53</v>
      </c>
      <c r="C976" t="s">
        <v>138</v>
      </c>
      <c r="D976" s="1">
        <v>43493</v>
      </c>
      <c r="E976">
        <v>24</v>
      </c>
      <c r="F976">
        <v>55977</v>
      </c>
      <c r="G976" t="s">
        <v>462</v>
      </c>
    </row>
    <row r="977" spans="1:7" x14ac:dyDescent="0.3">
      <c r="A977" t="s">
        <v>192</v>
      </c>
      <c r="B977" t="s">
        <v>53</v>
      </c>
      <c r="C977" t="s">
        <v>138</v>
      </c>
      <c r="D977" s="1">
        <v>43495</v>
      </c>
      <c r="E977">
        <v>45</v>
      </c>
      <c r="F977">
        <v>104958</v>
      </c>
      <c r="G977" t="s">
        <v>462</v>
      </c>
    </row>
    <row r="978" spans="1:7" x14ac:dyDescent="0.3">
      <c r="A978" t="s">
        <v>192</v>
      </c>
      <c r="B978" t="s">
        <v>47</v>
      </c>
      <c r="C978" t="s">
        <v>138</v>
      </c>
      <c r="D978" s="1">
        <v>43496</v>
      </c>
      <c r="E978">
        <v>8</v>
      </c>
      <c r="F978">
        <v>18375</v>
      </c>
      <c r="G978" t="s">
        <v>462</v>
      </c>
    </row>
    <row r="979" spans="1:7" x14ac:dyDescent="0.3">
      <c r="A979" t="s">
        <v>192</v>
      </c>
      <c r="B979" t="s">
        <v>53</v>
      </c>
      <c r="C979" t="s">
        <v>138</v>
      </c>
      <c r="D979" s="1">
        <v>43496</v>
      </c>
      <c r="E979">
        <v>18</v>
      </c>
      <c r="F979">
        <v>41981</v>
      </c>
      <c r="G979" t="s">
        <v>462</v>
      </c>
    </row>
    <row r="980" spans="1:7" x14ac:dyDescent="0.3">
      <c r="A980" t="s">
        <v>192</v>
      </c>
      <c r="B980" t="s">
        <v>47</v>
      </c>
      <c r="C980" t="s">
        <v>138</v>
      </c>
      <c r="D980" s="1">
        <v>43496</v>
      </c>
      <c r="E980">
        <v>13</v>
      </c>
      <c r="F980">
        <v>28269</v>
      </c>
      <c r="G980" t="s">
        <v>462</v>
      </c>
    </row>
    <row r="981" spans="1:7" x14ac:dyDescent="0.3">
      <c r="A981" t="s">
        <v>192</v>
      </c>
      <c r="B981" t="s">
        <v>49</v>
      </c>
      <c r="C981" t="s">
        <v>138</v>
      </c>
      <c r="D981" s="1">
        <v>43496</v>
      </c>
      <c r="E981">
        <v>1</v>
      </c>
      <c r="F981">
        <v>722</v>
      </c>
      <c r="G981" t="s">
        <v>462</v>
      </c>
    </row>
    <row r="982" spans="1:7" x14ac:dyDescent="0.3">
      <c r="A982" t="s">
        <v>192</v>
      </c>
      <c r="B982" t="s">
        <v>34</v>
      </c>
      <c r="C982" t="s">
        <v>138</v>
      </c>
      <c r="D982" s="1">
        <v>43497</v>
      </c>
      <c r="E982">
        <v>15</v>
      </c>
      <c r="F982">
        <v>31421</v>
      </c>
      <c r="G982" t="s">
        <v>462</v>
      </c>
    </row>
    <row r="983" spans="1:7" x14ac:dyDescent="0.3">
      <c r="A983" t="s">
        <v>192</v>
      </c>
      <c r="B983" t="s">
        <v>34</v>
      </c>
      <c r="C983" t="s">
        <v>138</v>
      </c>
      <c r="D983" s="1">
        <v>43500</v>
      </c>
      <c r="E983">
        <v>34</v>
      </c>
      <c r="F983">
        <v>71231</v>
      </c>
      <c r="G983" t="s">
        <v>462</v>
      </c>
    </row>
    <row r="984" spans="1:7" x14ac:dyDescent="0.3">
      <c r="A984" t="s">
        <v>192</v>
      </c>
      <c r="B984" t="s">
        <v>49</v>
      </c>
      <c r="C984" t="s">
        <v>138</v>
      </c>
      <c r="D984" s="1">
        <v>43501</v>
      </c>
      <c r="E984">
        <v>1</v>
      </c>
      <c r="F984">
        <v>722</v>
      </c>
      <c r="G984" t="s">
        <v>462</v>
      </c>
    </row>
    <row r="985" spans="1:7" x14ac:dyDescent="0.3">
      <c r="A985" t="s">
        <v>192</v>
      </c>
      <c r="B985" t="s">
        <v>47</v>
      </c>
      <c r="C985" t="s">
        <v>138</v>
      </c>
      <c r="D985" s="1">
        <v>43503</v>
      </c>
      <c r="E985">
        <v>11</v>
      </c>
      <c r="F985">
        <v>24500</v>
      </c>
      <c r="G985" t="s">
        <v>462</v>
      </c>
    </row>
    <row r="986" spans="1:7" x14ac:dyDescent="0.3">
      <c r="A986" t="s">
        <v>192</v>
      </c>
      <c r="B986" t="s">
        <v>53</v>
      </c>
      <c r="C986" t="s">
        <v>138</v>
      </c>
      <c r="D986" s="1">
        <v>43503</v>
      </c>
      <c r="E986">
        <v>15</v>
      </c>
      <c r="F986">
        <v>34986</v>
      </c>
      <c r="G986" t="s">
        <v>462</v>
      </c>
    </row>
    <row r="987" spans="1:7" x14ac:dyDescent="0.3">
      <c r="A987" t="s">
        <v>192</v>
      </c>
      <c r="B987" t="s">
        <v>47</v>
      </c>
      <c r="C987" t="s">
        <v>138</v>
      </c>
      <c r="D987" s="1">
        <v>43503</v>
      </c>
      <c r="E987">
        <v>13</v>
      </c>
      <c r="F987">
        <v>28269</v>
      </c>
      <c r="G987" t="s">
        <v>462</v>
      </c>
    </row>
    <row r="988" spans="1:7" x14ac:dyDescent="0.3">
      <c r="A988" t="s">
        <v>192</v>
      </c>
      <c r="B988" t="s">
        <v>34</v>
      </c>
      <c r="C988" t="s">
        <v>138</v>
      </c>
      <c r="D988" s="1">
        <v>43504</v>
      </c>
      <c r="E988">
        <v>26</v>
      </c>
      <c r="F988">
        <v>55167</v>
      </c>
      <c r="G988" t="s">
        <v>462</v>
      </c>
    </row>
    <row r="989" spans="1:7" x14ac:dyDescent="0.3">
      <c r="A989" t="s">
        <v>192</v>
      </c>
      <c r="B989" t="s">
        <v>47</v>
      </c>
      <c r="C989" t="s">
        <v>138</v>
      </c>
      <c r="D989" s="1">
        <v>43504</v>
      </c>
      <c r="E989">
        <v>13</v>
      </c>
      <c r="F989">
        <v>28269</v>
      </c>
      <c r="G989" t="s">
        <v>462</v>
      </c>
    </row>
    <row r="990" spans="1:7" x14ac:dyDescent="0.3">
      <c r="A990" t="s">
        <v>192</v>
      </c>
      <c r="B990" t="s">
        <v>53</v>
      </c>
      <c r="C990" t="s">
        <v>138</v>
      </c>
      <c r="D990" s="1">
        <v>43507</v>
      </c>
      <c r="E990">
        <v>8</v>
      </c>
      <c r="F990">
        <v>17495</v>
      </c>
      <c r="G990" t="s">
        <v>462</v>
      </c>
    </row>
    <row r="991" spans="1:7" x14ac:dyDescent="0.3">
      <c r="A991" t="s">
        <v>192</v>
      </c>
      <c r="B991" t="s">
        <v>47</v>
      </c>
      <c r="C991" t="s">
        <v>138</v>
      </c>
      <c r="D991" s="1">
        <v>43508</v>
      </c>
      <c r="E991">
        <v>5</v>
      </c>
      <c r="F991">
        <v>12250</v>
      </c>
      <c r="G991" t="s">
        <v>462</v>
      </c>
    </row>
    <row r="992" spans="1:7" x14ac:dyDescent="0.3">
      <c r="A992" t="s">
        <v>192</v>
      </c>
      <c r="B992" t="s">
        <v>47</v>
      </c>
      <c r="C992" t="s">
        <v>138</v>
      </c>
      <c r="D992" s="1">
        <v>43508</v>
      </c>
      <c r="E992">
        <v>13</v>
      </c>
      <c r="F992">
        <v>28269</v>
      </c>
      <c r="G992" t="s">
        <v>462</v>
      </c>
    </row>
    <row r="993" spans="1:7" x14ac:dyDescent="0.3">
      <c r="A993" t="s">
        <v>192</v>
      </c>
      <c r="B993" t="s">
        <v>47</v>
      </c>
      <c r="C993" t="s">
        <v>138</v>
      </c>
      <c r="D993" s="1">
        <v>43509</v>
      </c>
      <c r="E993">
        <v>12</v>
      </c>
      <c r="F993">
        <v>27565</v>
      </c>
      <c r="G993" t="s">
        <v>462</v>
      </c>
    </row>
    <row r="994" spans="1:7" x14ac:dyDescent="0.3">
      <c r="A994" t="s">
        <v>192</v>
      </c>
      <c r="B994" t="s">
        <v>47</v>
      </c>
      <c r="C994" t="s">
        <v>138</v>
      </c>
      <c r="D994" s="1">
        <v>43510</v>
      </c>
      <c r="E994">
        <v>7</v>
      </c>
      <c r="F994">
        <v>15315</v>
      </c>
      <c r="G994" t="s">
        <v>462</v>
      </c>
    </row>
    <row r="995" spans="1:7" x14ac:dyDescent="0.3">
      <c r="A995" t="s">
        <v>192</v>
      </c>
      <c r="B995" t="s">
        <v>53</v>
      </c>
      <c r="C995" t="s">
        <v>138</v>
      </c>
      <c r="D995" s="1">
        <v>43510</v>
      </c>
      <c r="E995">
        <v>6</v>
      </c>
      <c r="F995">
        <v>13995</v>
      </c>
      <c r="G995" t="s">
        <v>462</v>
      </c>
    </row>
    <row r="996" spans="1:7" x14ac:dyDescent="0.3">
      <c r="A996" t="s">
        <v>192</v>
      </c>
      <c r="B996" t="s">
        <v>47</v>
      </c>
      <c r="C996" t="s">
        <v>138</v>
      </c>
      <c r="D996" s="1">
        <v>43510</v>
      </c>
      <c r="E996">
        <v>13</v>
      </c>
      <c r="F996">
        <v>28269</v>
      </c>
      <c r="G996" t="s">
        <v>462</v>
      </c>
    </row>
    <row r="997" spans="1:7" x14ac:dyDescent="0.3">
      <c r="A997" t="s">
        <v>192</v>
      </c>
      <c r="B997" t="s">
        <v>34</v>
      </c>
      <c r="C997" t="s">
        <v>138</v>
      </c>
      <c r="D997" s="1">
        <v>43511</v>
      </c>
      <c r="E997">
        <v>62</v>
      </c>
      <c r="F997">
        <v>129546</v>
      </c>
      <c r="G997" t="s">
        <v>462</v>
      </c>
    </row>
    <row r="998" spans="1:7" x14ac:dyDescent="0.3">
      <c r="A998" t="s">
        <v>192</v>
      </c>
      <c r="B998" t="s">
        <v>47</v>
      </c>
      <c r="C998" t="s">
        <v>138</v>
      </c>
      <c r="D998" s="1">
        <v>43511</v>
      </c>
      <c r="E998">
        <v>4</v>
      </c>
      <c r="F998">
        <v>9190</v>
      </c>
      <c r="G998" t="s">
        <v>462</v>
      </c>
    </row>
    <row r="999" spans="1:7" x14ac:dyDescent="0.3">
      <c r="A999" t="s">
        <v>192</v>
      </c>
      <c r="B999" t="s">
        <v>47</v>
      </c>
      <c r="C999" t="s">
        <v>138</v>
      </c>
      <c r="D999" s="1">
        <v>43511</v>
      </c>
      <c r="E999">
        <v>13</v>
      </c>
      <c r="F999">
        <v>28269</v>
      </c>
      <c r="G999" t="s">
        <v>462</v>
      </c>
    </row>
    <row r="1000" spans="1:7" x14ac:dyDescent="0.3">
      <c r="A1000" t="s">
        <v>192</v>
      </c>
      <c r="B1000" t="s">
        <v>47</v>
      </c>
      <c r="C1000" t="s">
        <v>138</v>
      </c>
      <c r="D1000" s="1">
        <v>43514</v>
      </c>
      <c r="E1000">
        <v>3</v>
      </c>
      <c r="F1000">
        <v>6125</v>
      </c>
      <c r="G1000" t="s">
        <v>462</v>
      </c>
    </row>
    <row r="1001" spans="1:7" x14ac:dyDescent="0.3">
      <c r="A1001" t="s">
        <v>192</v>
      </c>
      <c r="B1001" t="s">
        <v>53</v>
      </c>
      <c r="C1001" t="s">
        <v>138</v>
      </c>
      <c r="D1001" s="1">
        <v>43514</v>
      </c>
      <c r="E1001">
        <v>8</v>
      </c>
      <c r="F1001">
        <v>17495</v>
      </c>
      <c r="G1001" t="s">
        <v>462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C0EB1-174A-4D70-9DCE-1E4ECE76223A}">
  <sheetPr>
    <tabColor rgb="FFFF0000"/>
  </sheetPr>
  <dimension ref="A1:M993"/>
  <sheetViews>
    <sheetView topLeftCell="A2" workbookViewId="0">
      <selection sqref="A1:M992"/>
    </sheetView>
  </sheetViews>
  <sheetFormatPr defaultRowHeight="14.4" x14ac:dyDescent="0.3"/>
  <cols>
    <col min="1" max="1" width="14.6640625" bestFit="1" customWidth="1"/>
    <col min="2" max="2" width="16.109375" bestFit="1" customWidth="1"/>
    <col min="3" max="3" width="14.109375" bestFit="1" customWidth="1"/>
    <col min="4" max="4" width="12.21875" bestFit="1" customWidth="1"/>
    <col min="5" max="5" width="11" bestFit="1" customWidth="1"/>
    <col min="6" max="6" width="14.6640625" hidden="1" customWidth="1"/>
    <col min="7" max="7" width="10.44140625" hidden="1" customWidth="1"/>
    <col min="8" max="8" width="14.21875" bestFit="1" customWidth="1"/>
    <col min="9" max="9" width="15.6640625" bestFit="1" customWidth="1"/>
    <col min="11" max="11" width="20.5546875" bestFit="1" customWidth="1"/>
    <col min="12" max="12" width="15.6640625" bestFit="1" customWidth="1"/>
    <col min="13" max="13" width="16" bestFit="1" customWidth="1"/>
  </cols>
  <sheetData>
    <row r="1" spans="1:13" x14ac:dyDescent="0.3">
      <c r="A1" t="s">
        <v>172</v>
      </c>
      <c r="B1" t="s">
        <v>0</v>
      </c>
      <c r="C1" t="s">
        <v>455</v>
      </c>
      <c r="D1" t="s">
        <v>456</v>
      </c>
      <c r="E1" t="s">
        <v>457</v>
      </c>
      <c r="F1" t="s">
        <v>458</v>
      </c>
      <c r="G1" t="s">
        <v>459</v>
      </c>
      <c r="H1" t="s">
        <v>173</v>
      </c>
      <c r="I1" t="s">
        <v>133</v>
      </c>
      <c r="J1" t="s">
        <v>134</v>
      </c>
      <c r="K1" t="s">
        <v>1</v>
      </c>
      <c r="L1" t="s">
        <v>2</v>
      </c>
      <c r="M1" t="s">
        <v>465</v>
      </c>
    </row>
    <row r="2" spans="1:13" x14ac:dyDescent="0.3">
      <c r="A2" t="s">
        <v>174</v>
      </c>
      <c r="B2" t="s">
        <v>3</v>
      </c>
      <c r="C2" t="s">
        <v>135</v>
      </c>
      <c r="D2" s="1">
        <v>43018</v>
      </c>
      <c r="E2">
        <v>100</v>
      </c>
      <c r="F2">
        <v>41241</v>
      </c>
      <c r="G2" t="s">
        <v>460</v>
      </c>
      <c r="H2" t="str">
        <f>VLOOKUP(A2, product_table!$A:$C, 3, 0)</f>
        <v>Own Brand</v>
      </c>
      <c r="I2" t="str">
        <f>VLOOKUP(transactions_table8[[#This Row],[market_code]],markets_table!$A:$B,2,0)</f>
        <v>Chennai</v>
      </c>
      <c r="J2" t="str">
        <f>VLOOKUP(transactions_table8[[#This Row],[market_code]],markets_table!$A:$C,3,0)</f>
        <v>South</v>
      </c>
      <c r="K2" t="str">
        <f>VLOOKUP(transactions_table8[[#This Row],[customer_code]],customer_table!$A:$B,2,0)</f>
        <v>Surge Stores</v>
      </c>
      <c r="L2" t="str">
        <f>VLOOKUP(transactions_table8[[#This Row],[customer_code]],customer_table!$A:$C,3,0)</f>
        <v>Brick &amp; Mortar</v>
      </c>
      <c r="M2">
        <f>IF(TRIM(CLEAN(transactions_table8[[#This Row],[currency]]))="USD",transactions_table8[[#This Row],[sales_amount]]*83,transactions_table8[[#This Row],[sales_amount]])</f>
        <v>41241</v>
      </c>
    </row>
    <row r="3" spans="1:13" x14ac:dyDescent="0.3">
      <c r="A3" t="s">
        <v>176</v>
      </c>
      <c r="B3" t="s">
        <v>8</v>
      </c>
      <c r="C3" t="s">
        <v>141</v>
      </c>
      <c r="D3" s="1">
        <v>43196</v>
      </c>
      <c r="E3">
        <v>1</v>
      </c>
      <c r="F3">
        <v>875</v>
      </c>
      <c r="G3" t="s">
        <v>460</v>
      </c>
      <c r="H3" t="str">
        <f>VLOOKUP(A3, product_table!$A:$C, 3, 0)</f>
        <v>Own Brand</v>
      </c>
      <c r="I3" t="str">
        <f>VLOOKUP(transactions_table8[[#This Row],[market_code]],markets_table!$A:$B,2,0)</f>
        <v>Ahmedabad</v>
      </c>
      <c r="J3" t="str">
        <f>VLOOKUP(transactions_table8[[#This Row],[market_code]],markets_table!$A:$C,3,0)</f>
        <v>North</v>
      </c>
      <c r="K3" t="str">
        <f>VLOOKUP(transactions_table8[[#This Row],[customer_code]],customer_table!$A:$B,2,0)</f>
        <v>Excel Stores</v>
      </c>
      <c r="L3" t="str">
        <f>VLOOKUP(transactions_table8[[#This Row],[customer_code]],customer_table!$A:$C,3,0)</f>
        <v>Brick &amp; Mortar</v>
      </c>
      <c r="M3">
        <f>IF(TRIM(CLEAN(transactions_table8[[#This Row],[currency]]))="USD",transactions_table8[[#This Row],[sales_amount]]*83,transactions_table8[[#This Row],[sales_amount]])</f>
        <v>875</v>
      </c>
    </row>
    <row r="4" spans="1:13" x14ac:dyDescent="0.3">
      <c r="A4" t="s">
        <v>176</v>
      </c>
      <c r="B4" t="s">
        <v>8</v>
      </c>
      <c r="C4" t="s">
        <v>141</v>
      </c>
      <c r="D4" s="1">
        <v>43201</v>
      </c>
      <c r="E4">
        <v>1</v>
      </c>
      <c r="F4">
        <v>583</v>
      </c>
      <c r="G4" t="s">
        <v>460</v>
      </c>
      <c r="H4" t="str">
        <f>VLOOKUP(A4, product_table!$A:$C, 3, 0)</f>
        <v>Own Brand</v>
      </c>
      <c r="I4" t="str">
        <f>VLOOKUP(transactions_table8[[#This Row],[market_code]],markets_table!$A:$B,2,0)</f>
        <v>Ahmedabad</v>
      </c>
      <c r="J4" t="str">
        <f>VLOOKUP(transactions_table8[[#This Row],[market_code]],markets_table!$A:$C,3,0)</f>
        <v>North</v>
      </c>
      <c r="K4" t="str">
        <f>VLOOKUP(transactions_table8[[#This Row],[customer_code]],customer_table!$A:$B,2,0)</f>
        <v>Excel Stores</v>
      </c>
      <c r="L4" t="str">
        <f>VLOOKUP(transactions_table8[[#This Row],[customer_code]],customer_table!$A:$C,3,0)</f>
        <v>Brick &amp; Mortar</v>
      </c>
      <c r="M4">
        <f>IF(TRIM(CLEAN(transactions_table8[[#This Row],[currency]]))="USD",transactions_table8[[#This Row],[sales_amount]]*83,transactions_table8[[#This Row],[sales_amount]])</f>
        <v>583</v>
      </c>
    </row>
    <row r="5" spans="1:13" x14ac:dyDescent="0.3">
      <c r="A5" t="s">
        <v>176</v>
      </c>
      <c r="B5" t="s">
        <v>10</v>
      </c>
      <c r="C5" t="s">
        <v>141</v>
      </c>
      <c r="D5" s="1">
        <v>43269</v>
      </c>
      <c r="E5">
        <v>6</v>
      </c>
      <c r="F5">
        <v>7176</v>
      </c>
      <c r="G5" t="s">
        <v>460</v>
      </c>
      <c r="H5" t="str">
        <f>VLOOKUP(A5, product_table!$A:$C, 3, 0)</f>
        <v>Own Brand</v>
      </c>
      <c r="I5" t="str">
        <f>VLOOKUP(transactions_table8[[#This Row],[market_code]],markets_table!$A:$B,2,0)</f>
        <v>Ahmedabad</v>
      </c>
      <c r="J5" t="str">
        <f>VLOOKUP(transactions_table8[[#This Row],[market_code]],markets_table!$A:$C,3,0)</f>
        <v>North</v>
      </c>
      <c r="K5" t="str">
        <f>VLOOKUP(transactions_table8[[#This Row],[customer_code]],customer_table!$A:$B,2,0)</f>
        <v>Surface Stores</v>
      </c>
      <c r="L5" t="str">
        <f>VLOOKUP(transactions_table8[[#This Row],[customer_code]],customer_table!$A:$C,3,0)</f>
        <v>Brick &amp; Mortar</v>
      </c>
      <c r="M5">
        <f>IF(TRIM(CLEAN(transactions_table8[[#This Row],[currency]]))="USD",transactions_table8[[#This Row],[sales_amount]]*83,transactions_table8[[#This Row],[sales_amount]])</f>
        <v>7176</v>
      </c>
    </row>
    <row r="6" spans="1:13" x14ac:dyDescent="0.3">
      <c r="A6" t="s">
        <v>177</v>
      </c>
      <c r="B6" t="s">
        <v>12</v>
      </c>
      <c r="C6" t="s">
        <v>144</v>
      </c>
      <c r="D6" s="1">
        <v>43059</v>
      </c>
      <c r="E6">
        <v>59</v>
      </c>
      <c r="F6">
        <v>500</v>
      </c>
      <c r="G6" t="s">
        <v>461</v>
      </c>
      <c r="H6" t="str">
        <f>VLOOKUP(A6, product_table!$A:$C, 3, 0)</f>
        <v>Own Brand</v>
      </c>
      <c r="I6" t="str">
        <f>VLOOKUP(transactions_table8[[#This Row],[market_code]],markets_table!$A:$B,2,0)</f>
        <v>Delhi NCR</v>
      </c>
      <c r="J6" t="str">
        <f>VLOOKUP(transactions_table8[[#This Row],[market_code]],markets_table!$A:$C,3,0)</f>
        <v>North</v>
      </c>
      <c r="K6" t="str">
        <f>VLOOKUP(transactions_table8[[#This Row],[customer_code]],customer_table!$A:$B,2,0)</f>
        <v>Premium Stores</v>
      </c>
      <c r="L6" t="str">
        <f>VLOOKUP(transactions_table8[[#This Row],[customer_code]],customer_table!$A:$C,3,0)</f>
        <v>Brick &amp; Mortar</v>
      </c>
      <c r="M6">
        <f>IF(TRIM(CLEAN(transactions_table8[[#This Row],[currency]]))="USD",transactions_table8[[#This Row],[sales_amount]]*83,transactions_table8[[#This Row],[sales_amount]])</f>
        <v>41500</v>
      </c>
    </row>
    <row r="7" spans="1:13" x14ac:dyDescent="0.3">
      <c r="A7" t="s">
        <v>177</v>
      </c>
      <c r="B7" t="s">
        <v>12</v>
      </c>
      <c r="C7" t="s">
        <v>144</v>
      </c>
      <c r="D7" s="1">
        <v>43061</v>
      </c>
      <c r="E7">
        <v>36</v>
      </c>
      <c r="F7">
        <v>250</v>
      </c>
      <c r="G7" t="s">
        <v>461</v>
      </c>
      <c r="H7" t="str">
        <f>VLOOKUP(A7, product_table!$A:$C, 3, 0)</f>
        <v>Own Brand</v>
      </c>
      <c r="I7" t="str">
        <f>VLOOKUP(transactions_table8[[#This Row],[market_code]],markets_table!$A:$B,2,0)</f>
        <v>Delhi NCR</v>
      </c>
      <c r="J7" t="str">
        <f>VLOOKUP(transactions_table8[[#This Row],[market_code]],markets_table!$A:$C,3,0)</f>
        <v>North</v>
      </c>
      <c r="K7" t="str">
        <f>VLOOKUP(transactions_table8[[#This Row],[customer_code]],customer_table!$A:$B,2,0)</f>
        <v>Premium Stores</v>
      </c>
      <c r="L7" t="str">
        <f>VLOOKUP(transactions_table8[[#This Row],[customer_code]],customer_table!$A:$C,3,0)</f>
        <v>Brick &amp; Mortar</v>
      </c>
      <c r="M7">
        <f>IF(TRIM(CLEAN(transactions_table8[[#This Row],[currency]]))="USD",transactions_table8[[#This Row],[sales_amount]]*83,transactions_table8[[#This Row],[sales_amount]])</f>
        <v>20750</v>
      </c>
    </row>
    <row r="8" spans="1:13" x14ac:dyDescent="0.3">
      <c r="A8" t="s">
        <v>177</v>
      </c>
      <c r="B8" t="s">
        <v>12</v>
      </c>
      <c r="C8" t="s">
        <v>144</v>
      </c>
      <c r="D8" s="1">
        <v>43062</v>
      </c>
      <c r="E8">
        <v>39</v>
      </c>
      <c r="F8">
        <v>21412</v>
      </c>
      <c r="G8" t="s">
        <v>460</v>
      </c>
      <c r="H8" t="str">
        <f>VLOOKUP(A8, product_table!$A:$C, 3, 0)</f>
        <v>Own Brand</v>
      </c>
      <c r="I8" t="str">
        <f>VLOOKUP(transactions_table8[[#This Row],[market_code]],markets_table!$A:$B,2,0)</f>
        <v>Delhi NCR</v>
      </c>
      <c r="J8" t="str">
        <f>VLOOKUP(transactions_table8[[#This Row],[market_code]],markets_table!$A:$C,3,0)</f>
        <v>North</v>
      </c>
      <c r="K8" t="str">
        <f>VLOOKUP(transactions_table8[[#This Row],[customer_code]],customer_table!$A:$B,2,0)</f>
        <v>Premium Stores</v>
      </c>
      <c r="L8" t="str">
        <f>VLOOKUP(transactions_table8[[#This Row],[customer_code]],customer_table!$A:$C,3,0)</f>
        <v>Brick &amp; Mortar</v>
      </c>
      <c r="M8">
        <f>IF(TRIM(CLEAN(transactions_table8[[#This Row],[currency]]))="USD",transactions_table8[[#This Row],[sales_amount]]*83,transactions_table8[[#This Row],[sales_amount]])</f>
        <v>21412</v>
      </c>
    </row>
    <row r="9" spans="1:13" x14ac:dyDescent="0.3">
      <c r="A9" t="s">
        <v>177</v>
      </c>
      <c r="B9" t="s">
        <v>12</v>
      </c>
      <c r="C9" t="s">
        <v>144</v>
      </c>
      <c r="D9" s="1">
        <v>43066</v>
      </c>
      <c r="E9">
        <v>35</v>
      </c>
      <c r="F9">
        <v>19213</v>
      </c>
      <c r="G9" t="s">
        <v>460</v>
      </c>
      <c r="H9" t="str">
        <f>VLOOKUP(A9, product_table!$A:$C, 3, 0)</f>
        <v>Own Brand</v>
      </c>
      <c r="I9" t="str">
        <f>VLOOKUP(transactions_table8[[#This Row],[market_code]],markets_table!$A:$B,2,0)</f>
        <v>Delhi NCR</v>
      </c>
      <c r="J9" t="str">
        <f>VLOOKUP(transactions_table8[[#This Row],[market_code]],markets_table!$A:$C,3,0)</f>
        <v>North</v>
      </c>
      <c r="K9" t="str">
        <f>VLOOKUP(transactions_table8[[#This Row],[customer_code]],customer_table!$A:$B,2,0)</f>
        <v>Premium Stores</v>
      </c>
      <c r="L9" t="str">
        <f>VLOOKUP(transactions_table8[[#This Row],[customer_code]],customer_table!$A:$C,3,0)</f>
        <v>Brick &amp; Mortar</v>
      </c>
      <c r="M9">
        <f>IF(TRIM(CLEAN(transactions_table8[[#This Row],[currency]]))="USD",transactions_table8[[#This Row],[sales_amount]]*83,transactions_table8[[#This Row],[sales_amount]])</f>
        <v>19213</v>
      </c>
    </row>
    <row r="10" spans="1:13" x14ac:dyDescent="0.3">
      <c r="A10" t="s">
        <v>177</v>
      </c>
      <c r="B10" t="s">
        <v>12</v>
      </c>
      <c r="C10" t="s">
        <v>144</v>
      </c>
      <c r="D10" s="1">
        <v>43067</v>
      </c>
      <c r="E10">
        <v>310</v>
      </c>
      <c r="F10">
        <v>170185</v>
      </c>
      <c r="G10" t="s">
        <v>460</v>
      </c>
      <c r="H10" t="str">
        <f>VLOOKUP(A10, product_table!$A:$C, 3, 0)</f>
        <v>Own Brand</v>
      </c>
      <c r="I10" t="str">
        <f>VLOOKUP(transactions_table8[[#This Row],[market_code]],markets_table!$A:$B,2,0)</f>
        <v>Delhi NCR</v>
      </c>
      <c r="J10" t="str">
        <f>VLOOKUP(transactions_table8[[#This Row],[market_code]],markets_table!$A:$C,3,0)</f>
        <v>North</v>
      </c>
      <c r="K10" t="str">
        <f>VLOOKUP(transactions_table8[[#This Row],[customer_code]],customer_table!$A:$B,2,0)</f>
        <v>Premium Stores</v>
      </c>
      <c r="L10" t="str">
        <f>VLOOKUP(transactions_table8[[#This Row],[customer_code]],customer_table!$A:$C,3,0)</f>
        <v>Brick &amp; Mortar</v>
      </c>
      <c r="M10">
        <f>IF(TRIM(CLEAN(transactions_table8[[#This Row],[currency]]))="USD",transactions_table8[[#This Row],[sales_amount]]*83,transactions_table8[[#This Row],[sales_amount]])</f>
        <v>170185</v>
      </c>
    </row>
    <row r="11" spans="1:13" x14ac:dyDescent="0.3">
      <c r="A11" t="s">
        <v>177</v>
      </c>
      <c r="B11" t="s">
        <v>12</v>
      </c>
      <c r="C11" t="s">
        <v>144</v>
      </c>
      <c r="D11" s="1">
        <v>43068</v>
      </c>
      <c r="E11">
        <v>184</v>
      </c>
      <c r="F11">
        <v>101194</v>
      </c>
      <c r="G11" t="s">
        <v>460</v>
      </c>
      <c r="H11" t="str">
        <f>VLOOKUP(A11, product_table!$A:$C, 3, 0)</f>
        <v>Own Brand</v>
      </c>
      <c r="I11" t="str">
        <f>VLOOKUP(transactions_table8[[#This Row],[market_code]],markets_table!$A:$B,2,0)</f>
        <v>Delhi NCR</v>
      </c>
      <c r="J11" t="str">
        <f>VLOOKUP(transactions_table8[[#This Row],[market_code]],markets_table!$A:$C,3,0)</f>
        <v>North</v>
      </c>
      <c r="K11" t="str">
        <f>VLOOKUP(transactions_table8[[#This Row],[customer_code]],customer_table!$A:$B,2,0)</f>
        <v>Premium Stores</v>
      </c>
      <c r="L11" t="str">
        <f>VLOOKUP(transactions_table8[[#This Row],[customer_code]],customer_table!$A:$C,3,0)</f>
        <v>Brick &amp; Mortar</v>
      </c>
      <c r="M11">
        <f>IF(TRIM(CLEAN(transactions_table8[[#This Row],[currency]]))="USD",transactions_table8[[#This Row],[sales_amount]]*83,transactions_table8[[#This Row],[sales_amount]])</f>
        <v>101194</v>
      </c>
    </row>
    <row r="12" spans="1:13" x14ac:dyDescent="0.3">
      <c r="A12" t="s">
        <v>177</v>
      </c>
      <c r="B12" t="s">
        <v>12</v>
      </c>
      <c r="C12" t="s">
        <v>144</v>
      </c>
      <c r="D12" s="1">
        <v>43069</v>
      </c>
      <c r="E12">
        <v>35</v>
      </c>
      <c r="F12">
        <v>19213</v>
      </c>
      <c r="G12" t="s">
        <v>460</v>
      </c>
      <c r="H12" t="str">
        <f>VLOOKUP(A12, product_table!$A:$C, 3, 0)</f>
        <v>Own Brand</v>
      </c>
      <c r="I12" t="str">
        <f>VLOOKUP(transactions_table8[[#This Row],[market_code]],markets_table!$A:$B,2,0)</f>
        <v>Delhi NCR</v>
      </c>
      <c r="J12" t="str">
        <f>VLOOKUP(transactions_table8[[#This Row],[market_code]],markets_table!$A:$C,3,0)</f>
        <v>North</v>
      </c>
      <c r="K12" t="str">
        <f>VLOOKUP(transactions_table8[[#This Row],[customer_code]],customer_table!$A:$B,2,0)</f>
        <v>Premium Stores</v>
      </c>
      <c r="L12" t="str">
        <f>VLOOKUP(transactions_table8[[#This Row],[customer_code]],customer_table!$A:$C,3,0)</f>
        <v>Brick &amp; Mortar</v>
      </c>
      <c r="M12">
        <f>IF(TRIM(CLEAN(transactions_table8[[#This Row],[currency]]))="USD",transactions_table8[[#This Row],[sales_amount]]*83,transactions_table8[[#This Row],[sales_amount]])</f>
        <v>19213</v>
      </c>
    </row>
    <row r="13" spans="1:13" x14ac:dyDescent="0.3">
      <c r="A13" t="s">
        <v>178</v>
      </c>
      <c r="B13" t="s">
        <v>12</v>
      </c>
      <c r="C13" t="s">
        <v>144</v>
      </c>
      <c r="D13" s="1">
        <v>43068</v>
      </c>
      <c r="E13">
        <v>17</v>
      </c>
      <c r="F13">
        <v>9426</v>
      </c>
      <c r="G13" t="s">
        <v>460</v>
      </c>
      <c r="H13" t="str">
        <f>VLOOKUP(A13, product_table!$A:$C, 3, 0)</f>
        <v>Own Brand</v>
      </c>
      <c r="I13" t="str">
        <f>VLOOKUP(transactions_table8[[#This Row],[market_code]],markets_table!$A:$B,2,0)</f>
        <v>Delhi NCR</v>
      </c>
      <c r="J13" t="str">
        <f>VLOOKUP(transactions_table8[[#This Row],[market_code]],markets_table!$A:$C,3,0)</f>
        <v>North</v>
      </c>
      <c r="K13" t="str">
        <f>VLOOKUP(transactions_table8[[#This Row],[customer_code]],customer_table!$A:$B,2,0)</f>
        <v>Premium Stores</v>
      </c>
      <c r="L13" t="str">
        <f>VLOOKUP(transactions_table8[[#This Row],[customer_code]],customer_table!$A:$C,3,0)</f>
        <v>Brick &amp; Mortar</v>
      </c>
      <c r="M13">
        <f>IF(TRIM(CLEAN(transactions_table8[[#This Row],[currency]]))="USD",transactions_table8[[#This Row],[sales_amount]]*83,transactions_table8[[#This Row],[sales_amount]])</f>
        <v>9426</v>
      </c>
    </row>
    <row r="14" spans="1:13" x14ac:dyDescent="0.3">
      <c r="A14" t="s">
        <v>178</v>
      </c>
      <c r="B14" t="s">
        <v>12</v>
      </c>
      <c r="C14" t="s">
        <v>144</v>
      </c>
      <c r="D14" s="1">
        <v>43088</v>
      </c>
      <c r="E14">
        <v>1</v>
      </c>
      <c r="F14">
        <v>218</v>
      </c>
      <c r="G14" t="s">
        <v>460</v>
      </c>
      <c r="H14" t="str">
        <f>VLOOKUP(A14, product_table!$A:$C, 3, 0)</f>
        <v>Own Brand</v>
      </c>
      <c r="I14" t="str">
        <f>VLOOKUP(transactions_table8[[#This Row],[market_code]],markets_table!$A:$B,2,0)</f>
        <v>Delhi NCR</v>
      </c>
      <c r="J14" t="str">
        <f>VLOOKUP(transactions_table8[[#This Row],[market_code]],markets_table!$A:$C,3,0)</f>
        <v>North</v>
      </c>
      <c r="K14" t="str">
        <f>VLOOKUP(transactions_table8[[#This Row],[customer_code]],customer_table!$A:$B,2,0)</f>
        <v>Premium Stores</v>
      </c>
      <c r="L14" t="str">
        <f>VLOOKUP(transactions_table8[[#This Row],[customer_code]],customer_table!$A:$C,3,0)</f>
        <v>Brick &amp; Mortar</v>
      </c>
      <c r="M14">
        <f>IF(TRIM(CLEAN(transactions_table8[[#This Row],[currency]]))="USD",transactions_table8[[#This Row],[sales_amount]]*83,transactions_table8[[#This Row],[sales_amount]])</f>
        <v>218</v>
      </c>
    </row>
    <row r="15" spans="1:13" x14ac:dyDescent="0.3">
      <c r="A15" t="s">
        <v>179</v>
      </c>
      <c r="B15" t="s">
        <v>12</v>
      </c>
      <c r="C15" t="s">
        <v>144</v>
      </c>
      <c r="D15" s="1">
        <v>43319</v>
      </c>
      <c r="E15">
        <v>5</v>
      </c>
      <c r="F15">
        <v>3093</v>
      </c>
      <c r="G15" t="s">
        <v>460</v>
      </c>
      <c r="H15" t="str">
        <f>VLOOKUP(A15, product_table!$A:$C, 3, 0)</f>
        <v>Own Brand</v>
      </c>
      <c r="I15" t="str">
        <f>VLOOKUP(transactions_table8[[#This Row],[market_code]],markets_table!$A:$B,2,0)</f>
        <v>Delhi NCR</v>
      </c>
      <c r="J15" t="str">
        <f>VLOOKUP(transactions_table8[[#This Row],[market_code]],markets_table!$A:$C,3,0)</f>
        <v>North</v>
      </c>
      <c r="K15" t="str">
        <f>VLOOKUP(transactions_table8[[#This Row],[customer_code]],customer_table!$A:$B,2,0)</f>
        <v>Premium Stores</v>
      </c>
      <c r="L15" t="str">
        <f>VLOOKUP(transactions_table8[[#This Row],[customer_code]],customer_table!$A:$C,3,0)</f>
        <v>Brick &amp; Mortar</v>
      </c>
      <c r="M15">
        <f>IF(TRIM(CLEAN(transactions_table8[[#This Row],[currency]]))="USD",transactions_table8[[#This Row],[sales_amount]]*83,transactions_table8[[#This Row],[sales_amount]])</f>
        <v>3093</v>
      </c>
    </row>
    <row r="16" spans="1:13" x14ac:dyDescent="0.3">
      <c r="A16" t="s">
        <v>177</v>
      </c>
      <c r="B16" t="s">
        <v>14</v>
      </c>
      <c r="C16" t="s">
        <v>144</v>
      </c>
      <c r="D16" s="1">
        <v>43073</v>
      </c>
      <c r="E16">
        <v>58</v>
      </c>
      <c r="F16">
        <v>30306</v>
      </c>
      <c r="G16" t="s">
        <v>460</v>
      </c>
      <c r="H16" t="str">
        <f>VLOOKUP(A16, product_table!$A:$C, 3, 0)</f>
        <v>Own Brand</v>
      </c>
      <c r="I16" t="str">
        <f>VLOOKUP(transactions_table8[[#This Row],[market_code]],markets_table!$A:$B,2,0)</f>
        <v>Delhi NCR</v>
      </c>
      <c r="J16" t="str">
        <f>VLOOKUP(transactions_table8[[#This Row],[market_code]],markets_table!$A:$C,3,0)</f>
        <v>North</v>
      </c>
      <c r="K16" t="str">
        <f>VLOOKUP(transactions_table8[[#This Row],[customer_code]],customer_table!$A:$B,2,0)</f>
        <v>Electricalsara Stores</v>
      </c>
      <c r="L16" t="str">
        <f>VLOOKUP(transactions_table8[[#This Row],[customer_code]],customer_table!$A:$C,3,0)</f>
        <v>Brick &amp; Mortar</v>
      </c>
      <c r="M16">
        <f>IF(TRIM(CLEAN(transactions_table8[[#This Row],[currency]]))="USD",transactions_table8[[#This Row],[sales_amount]]*83,transactions_table8[[#This Row],[sales_amount]])</f>
        <v>30306</v>
      </c>
    </row>
    <row r="17" spans="1:13" x14ac:dyDescent="0.3">
      <c r="A17" t="s">
        <v>179</v>
      </c>
      <c r="B17" t="s">
        <v>14</v>
      </c>
      <c r="C17" t="s">
        <v>144</v>
      </c>
      <c r="D17" s="1">
        <v>43280</v>
      </c>
      <c r="E17">
        <v>38</v>
      </c>
      <c r="F17">
        <v>52319</v>
      </c>
      <c r="G17" t="s">
        <v>460</v>
      </c>
      <c r="H17" t="str">
        <f>VLOOKUP(A17, product_table!$A:$C, 3, 0)</f>
        <v>Own Brand</v>
      </c>
      <c r="I17" t="str">
        <f>VLOOKUP(transactions_table8[[#This Row],[market_code]],markets_table!$A:$B,2,0)</f>
        <v>Delhi NCR</v>
      </c>
      <c r="J17" t="str">
        <f>VLOOKUP(transactions_table8[[#This Row],[market_code]],markets_table!$A:$C,3,0)</f>
        <v>North</v>
      </c>
      <c r="K17" t="str">
        <f>VLOOKUP(transactions_table8[[#This Row],[customer_code]],customer_table!$A:$B,2,0)</f>
        <v>Electricalsara Stores</v>
      </c>
      <c r="L17" t="str">
        <f>VLOOKUP(transactions_table8[[#This Row],[customer_code]],customer_table!$A:$C,3,0)</f>
        <v>Brick &amp; Mortar</v>
      </c>
      <c r="M17">
        <f>IF(TRIM(CLEAN(transactions_table8[[#This Row],[currency]]))="USD",transactions_table8[[#This Row],[sales_amount]]*83,transactions_table8[[#This Row],[sales_amount]])</f>
        <v>52319</v>
      </c>
    </row>
    <row r="18" spans="1:13" x14ac:dyDescent="0.3">
      <c r="A18" t="s">
        <v>179</v>
      </c>
      <c r="B18" t="s">
        <v>14</v>
      </c>
      <c r="C18" t="s">
        <v>144</v>
      </c>
      <c r="D18" s="1">
        <v>43283</v>
      </c>
      <c r="E18">
        <v>93</v>
      </c>
      <c r="F18">
        <v>126296</v>
      </c>
      <c r="G18" t="s">
        <v>460</v>
      </c>
      <c r="H18" t="str">
        <f>VLOOKUP(A18, product_table!$A:$C, 3, 0)</f>
        <v>Own Brand</v>
      </c>
      <c r="I18" t="str">
        <f>VLOOKUP(transactions_table8[[#This Row],[market_code]],markets_table!$A:$B,2,0)</f>
        <v>Delhi NCR</v>
      </c>
      <c r="J18" t="str">
        <f>VLOOKUP(transactions_table8[[#This Row],[market_code]],markets_table!$A:$C,3,0)</f>
        <v>North</v>
      </c>
      <c r="K18" t="str">
        <f>VLOOKUP(transactions_table8[[#This Row],[customer_code]],customer_table!$A:$B,2,0)</f>
        <v>Electricalsara Stores</v>
      </c>
      <c r="L18" t="str">
        <f>VLOOKUP(transactions_table8[[#This Row],[customer_code]],customer_table!$A:$C,3,0)</f>
        <v>Brick &amp; Mortar</v>
      </c>
      <c r="M18">
        <f>IF(TRIM(CLEAN(transactions_table8[[#This Row],[currency]]))="USD",transactions_table8[[#This Row],[sales_amount]]*83,transactions_table8[[#This Row],[sales_amount]])</f>
        <v>126296</v>
      </c>
    </row>
    <row r="19" spans="1:13" x14ac:dyDescent="0.3">
      <c r="A19" t="s">
        <v>179</v>
      </c>
      <c r="B19" t="s">
        <v>14</v>
      </c>
      <c r="C19" t="s">
        <v>144</v>
      </c>
      <c r="D19" s="1">
        <v>43284</v>
      </c>
      <c r="E19">
        <v>79</v>
      </c>
      <c r="F19">
        <v>107500</v>
      </c>
      <c r="G19" t="s">
        <v>460</v>
      </c>
      <c r="H19" t="str">
        <f>VLOOKUP(A19, product_table!$A:$C, 3, 0)</f>
        <v>Own Brand</v>
      </c>
      <c r="I19" t="str">
        <f>VLOOKUP(transactions_table8[[#This Row],[market_code]],markets_table!$A:$B,2,0)</f>
        <v>Delhi NCR</v>
      </c>
      <c r="J19" t="str">
        <f>VLOOKUP(transactions_table8[[#This Row],[market_code]],markets_table!$A:$C,3,0)</f>
        <v>North</v>
      </c>
      <c r="K19" t="str">
        <f>VLOOKUP(transactions_table8[[#This Row],[customer_code]],customer_table!$A:$B,2,0)</f>
        <v>Electricalsara Stores</v>
      </c>
      <c r="L19" t="str">
        <f>VLOOKUP(transactions_table8[[#This Row],[customer_code]],customer_table!$A:$C,3,0)</f>
        <v>Brick &amp; Mortar</v>
      </c>
      <c r="M19">
        <f>IF(TRIM(CLEAN(transactions_table8[[#This Row],[currency]]))="USD",transactions_table8[[#This Row],[sales_amount]]*83,transactions_table8[[#This Row],[sales_amount]])</f>
        <v>107500</v>
      </c>
    </row>
    <row r="20" spans="1:13" x14ac:dyDescent="0.3">
      <c r="A20" t="s">
        <v>179</v>
      </c>
      <c r="B20" t="s">
        <v>14</v>
      </c>
      <c r="C20" t="s">
        <v>144</v>
      </c>
      <c r="D20" s="1">
        <v>43285</v>
      </c>
      <c r="E20">
        <v>1</v>
      </c>
      <c r="F20">
        <v>273</v>
      </c>
      <c r="G20" t="s">
        <v>460</v>
      </c>
      <c r="H20" t="str">
        <f>VLOOKUP(A20, product_table!$A:$C, 3, 0)</f>
        <v>Own Brand</v>
      </c>
      <c r="I20" t="str">
        <f>VLOOKUP(transactions_table8[[#This Row],[market_code]],markets_table!$A:$B,2,0)</f>
        <v>Delhi NCR</v>
      </c>
      <c r="J20" t="str">
        <f>VLOOKUP(transactions_table8[[#This Row],[market_code]],markets_table!$A:$C,3,0)</f>
        <v>North</v>
      </c>
      <c r="K20" t="str">
        <f>VLOOKUP(transactions_table8[[#This Row],[customer_code]],customer_table!$A:$B,2,0)</f>
        <v>Electricalsara Stores</v>
      </c>
      <c r="L20" t="str">
        <f>VLOOKUP(transactions_table8[[#This Row],[customer_code]],customer_table!$A:$C,3,0)</f>
        <v>Brick &amp; Mortar</v>
      </c>
      <c r="M20">
        <f>IF(TRIM(CLEAN(transactions_table8[[#This Row],[currency]]))="USD",transactions_table8[[#This Row],[sales_amount]]*83,transactions_table8[[#This Row],[sales_amount]])</f>
        <v>273</v>
      </c>
    </row>
    <row r="21" spans="1:13" x14ac:dyDescent="0.3">
      <c r="A21" t="s">
        <v>179</v>
      </c>
      <c r="B21" t="s">
        <v>14</v>
      </c>
      <c r="C21" t="s">
        <v>144</v>
      </c>
      <c r="D21" s="1">
        <v>43287</v>
      </c>
      <c r="E21">
        <v>3</v>
      </c>
      <c r="F21">
        <v>3574</v>
      </c>
      <c r="G21" t="s">
        <v>460</v>
      </c>
      <c r="H21" t="str">
        <f>VLOOKUP(A21, product_table!$A:$C, 3, 0)</f>
        <v>Own Brand</v>
      </c>
      <c r="I21" t="str">
        <f>VLOOKUP(transactions_table8[[#This Row],[market_code]],markets_table!$A:$B,2,0)</f>
        <v>Delhi NCR</v>
      </c>
      <c r="J21" t="str">
        <f>VLOOKUP(transactions_table8[[#This Row],[market_code]],markets_table!$A:$C,3,0)</f>
        <v>North</v>
      </c>
      <c r="K21" t="str">
        <f>VLOOKUP(transactions_table8[[#This Row],[customer_code]],customer_table!$A:$B,2,0)</f>
        <v>Electricalsara Stores</v>
      </c>
      <c r="L21" t="str">
        <f>VLOOKUP(transactions_table8[[#This Row],[customer_code]],customer_table!$A:$C,3,0)</f>
        <v>Brick &amp; Mortar</v>
      </c>
      <c r="M21">
        <f>IF(TRIM(CLEAN(transactions_table8[[#This Row],[currency]]))="USD",transactions_table8[[#This Row],[sales_amount]]*83,transactions_table8[[#This Row],[sales_amount]])</f>
        <v>3574</v>
      </c>
    </row>
    <row r="22" spans="1:13" x14ac:dyDescent="0.3">
      <c r="A22" t="s">
        <v>179</v>
      </c>
      <c r="B22" t="s">
        <v>14</v>
      </c>
      <c r="C22" t="s">
        <v>144</v>
      </c>
      <c r="D22" s="1">
        <v>43294</v>
      </c>
      <c r="E22">
        <v>1</v>
      </c>
      <c r="F22">
        <v>273</v>
      </c>
      <c r="G22" t="s">
        <v>460</v>
      </c>
      <c r="H22" t="str">
        <f>VLOOKUP(A22, product_table!$A:$C, 3, 0)</f>
        <v>Own Brand</v>
      </c>
      <c r="I22" t="str">
        <f>VLOOKUP(transactions_table8[[#This Row],[market_code]],markets_table!$A:$B,2,0)</f>
        <v>Delhi NCR</v>
      </c>
      <c r="J22" t="str">
        <f>VLOOKUP(transactions_table8[[#This Row],[market_code]],markets_table!$A:$C,3,0)</f>
        <v>North</v>
      </c>
      <c r="K22" t="str">
        <f>VLOOKUP(transactions_table8[[#This Row],[customer_code]],customer_table!$A:$B,2,0)</f>
        <v>Electricalsara Stores</v>
      </c>
      <c r="L22" t="str">
        <f>VLOOKUP(transactions_table8[[#This Row],[customer_code]],customer_table!$A:$C,3,0)</f>
        <v>Brick &amp; Mortar</v>
      </c>
      <c r="M22">
        <f>IF(TRIM(CLEAN(transactions_table8[[#This Row],[currency]]))="USD",transactions_table8[[#This Row],[sales_amount]]*83,transactions_table8[[#This Row],[sales_amount]])</f>
        <v>273</v>
      </c>
    </row>
    <row r="23" spans="1:13" x14ac:dyDescent="0.3">
      <c r="A23" t="s">
        <v>179</v>
      </c>
      <c r="B23" t="s">
        <v>14</v>
      </c>
      <c r="C23" t="s">
        <v>144</v>
      </c>
      <c r="D23" s="1">
        <v>43623</v>
      </c>
      <c r="E23">
        <v>20</v>
      </c>
      <c r="F23">
        <v>23403</v>
      </c>
      <c r="G23" t="s">
        <v>460</v>
      </c>
      <c r="H23" t="str">
        <f>VLOOKUP(A23, product_table!$A:$C, 3, 0)</f>
        <v>Own Brand</v>
      </c>
      <c r="I23" t="str">
        <f>VLOOKUP(transactions_table8[[#This Row],[market_code]],markets_table!$A:$B,2,0)</f>
        <v>Delhi NCR</v>
      </c>
      <c r="J23" t="str">
        <f>VLOOKUP(transactions_table8[[#This Row],[market_code]],markets_table!$A:$C,3,0)</f>
        <v>North</v>
      </c>
      <c r="K23" t="str">
        <f>VLOOKUP(transactions_table8[[#This Row],[customer_code]],customer_table!$A:$B,2,0)</f>
        <v>Electricalsara Stores</v>
      </c>
      <c r="L23" t="str">
        <f>VLOOKUP(transactions_table8[[#This Row],[customer_code]],customer_table!$A:$C,3,0)</f>
        <v>Brick &amp; Mortar</v>
      </c>
      <c r="M23">
        <f>IF(TRIM(CLEAN(transactions_table8[[#This Row],[currency]]))="USD",transactions_table8[[#This Row],[sales_amount]]*83,transactions_table8[[#This Row],[sales_amount]])</f>
        <v>23403</v>
      </c>
    </row>
    <row r="24" spans="1:13" x14ac:dyDescent="0.3">
      <c r="A24" t="s">
        <v>179</v>
      </c>
      <c r="B24" t="s">
        <v>14</v>
      </c>
      <c r="C24" t="s">
        <v>144</v>
      </c>
      <c r="D24" s="1">
        <v>43675</v>
      </c>
      <c r="E24">
        <v>81</v>
      </c>
      <c r="F24">
        <v>76329</v>
      </c>
      <c r="G24" t="s">
        <v>460</v>
      </c>
      <c r="H24" t="str">
        <f>VLOOKUP(A24, product_table!$A:$C, 3, 0)</f>
        <v>Own Brand</v>
      </c>
      <c r="I24" t="str">
        <f>VLOOKUP(transactions_table8[[#This Row],[market_code]],markets_table!$A:$B,2,0)</f>
        <v>Delhi NCR</v>
      </c>
      <c r="J24" t="str">
        <f>VLOOKUP(transactions_table8[[#This Row],[market_code]],markets_table!$A:$C,3,0)</f>
        <v>North</v>
      </c>
      <c r="K24" t="str">
        <f>VLOOKUP(transactions_table8[[#This Row],[customer_code]],customer_table!$A:$B,2,0)</f>
        <v>Electricalsara Stores</v>
      </c>
      <c r="L24" t="str">
        <f>VLOOKUP(transactions_table8[[#This Row],[customer_code]],customer_table!$A:$C,3,0)</f>
        <v>Brick &amp; Mortar</v>
      </c>
      <c r="M24">
        <f>IF(TRIM(CLEAN(transactions_table8[[#This Row],[currency]]))="USD",transactions_table8[[#This Row],[sales_amount]]*83,transactions_table8[[#This Row],[sales_amount]])</f>
        <v>76329</v>
      </c>
    </row>
    <row r="25" spans="1:13" x14ac:dyDescent="0.3">
      <c r="A25" t="s">
        <v>179</v>
      </c>
      <c r="B25" t="s">
        <v>14</v>
      </c>
      <c r="C25" t="s">
        <v>144</v>
      </c>
      <c r="D25" s="1">
        <v>43678</v>
      </c>
      <c r="E25">
        <v>5</v>
      </c>
      <c r="F25">
        <v>4542</v>
      </c>
      <c r="G25" t="s">
        <v>460</v>
      </c>
      <c r="H25" t="str">
        <f>VLOOKUP(A25, product_table!$A:$C, 3, 0)</f>
        <v>Own Brand</v>
      </c>
      <c r="I25" t="str">
        <f>VLOOKUP(transactions_table8[[#This Row],[market_code]],markets_table!$A:$B,2,0)</f>
        <v>Delhi NCR</v>
      </c>
      <c r="J25" t="str">
        <f>VLOOKUP(transactions_table8[[#This Row],[market_code]],markets_table!$A:$C,3,0)</f>
        <v>North</v>
      </c>
      <c r="K25" t="str">
        <f>VLOOKUP(transactions_table8[[#This Row],[customer_code]],customer_table!$A:$B,2,0)</f>
        <v>Electricalsara Stores</v>
      </c>
      <c r="L25" t="str">
        <f>VLOOKUP(transactions_table8[[#This Row],[customer_code]],customer_table!$A:$C,3,0)</f>
        <v>Brick &amp; Mortar</v>
      </c>
      <c r="M25">
        <f>IF(TRIM(CLEAN(transactions_table8[[#This Row],[currency]]))="USD",transactions_table8[[#This Row],[sales_amount]]*83,transactions_table8[[#This Row],[sales_amount]])</f>
        <v>4542</v>
      </c>
    </row>
    <row r="26" spans="1:13" x14ac:dyDescent="0.3">
      <c r="A26" t="s">
        <v>179</v>
      </c>
      <c r="B26" t="s">
        <v>14</v>
      </c>
      <c r="C26" t="s">
        <v>144</v>
      </c>
      <c r="D26" s="1">
        <v>43727</v>
      </c>
      <c r="E26">
        <v>18</v>
      </c>
      <c r="F26">
        <v>16579</v>
      </c>
      <c r="G26" t="s">
        <v>460</v>
      </c>
      <c r="H26" t="str">
        <f>VLOOKUP(A26, product_table!$A:$C, 3, 0)</f>
        <v>Own Brand</v>
      </c>
      <c r="I26" t="str">
        <f>VLOOKUP(transactions_table8[[#This Row],[market_code]],markets_table!$A:$B,2,0)</f>
        <v>Delhi NCR</v>
      </c>
      <c r="J26" t="str">
        <f>VLOOKUP(transactions_table8[[#This Row],[market_code]],markets_table!$A:$C,3,0)</f>
        <v>North</v>
      </c>
      <c r="K26" t="str">
        <f>VLOOKUP(transactions_table8[[#This Row],[customer_code]],customer_table!$A:$B,2,0)</f>
        <v>Electricalsara Stores</v>
      </c>
      <c r="L26" t="str">
        <f>VLOOKUP(transactions_table8[[#This Row],[customer_code]],customer_table!$A:$C,3,0)</f>
        <v>Brick &amp; Mortar</v>
      </c>
      <c r="M26">
        <f>IF(TRIM(CLEAN(transactions_table8[[#This Row],[currency]]))="USD",transactions_table8[[#This Row],[sales_amount]]*83,transactions_table8[[#This Row],[sales_amount]])</f>
        <v>16579</v>
      </c>
    </row>
    <row r="27" spans="1:13" x14ac:dyDescent="0.3">
      <c r="A27" t="s">
        <v>179</v>
      </c>
      <c r="B27" t="s">
        <v>14</v>
      </c>
      <c r="C27" t="s">
        <v>144</v>
      </c>
      <c r="D27" s="1">
        <v>43735</v>
      </c>
      <c r="E27">
        <v>90</v>
      </c>
      <c r="F27">
        <v>105301</v>
      </c>
      <c r="G27" t="s">
        <v>460</v>
      </c>
      <c r="H27" t="str">
        <f>VLOOKUP(A27, product_table!$A:$C, 3, 0)</f>
        <v>Own Brand</v>
      </c>
      <c r="I27" t="str">
        <f>VLOOKUP(transactions_table8[[#This Row],[market_code]],markets_table!$A:$B,2,0)</f>
        <v>Delhi NCR</v>
      </c>
      <c r="J27" t="str">
        <f>VLOOKUP(transactions_table8[[#This Row],[market_code]],markets_table!$A:$C,3,0)</f>
        <v>North</v>
      </c>
      <c r="K27" t="str">
        <f>VLOOKUP(transactions_table8[[#This Row],[customer_code]],customer_table!$A:$B,2,0)</f>
        <v>Electricalsara Stores</v>
      </c>
      <c r="L27" t="str">
        <f>VLOOKUP(transactions_table8[[#This Row],[customer_code]],customer_table!$A:$C,3,0)</f>
        <v>Brick &amp; Mortar</v>
      </c>
      <c r="M27">
        <f>IF(TRIM(CLEAN(transactions_table8[[#This Row],[currency]]))="USD",transactions_table8[[#This Row],[sales_amount]]*83,transactions_table8[[#This Row],[sales_amount]])</f>
        <v>105301</v>
      </c>
    </row>
    <row r="28" spans="1:13" x14ac:dyDescent="0.3">
      <c r="A28" t="s">
        <v>178</v>
      </c>
      <c r="B28" t="s">
        <v>16</v>
      </c>
      <c r="C28" t="s">
        <v>144</v>
      </c>
      <c r="D28" s="1">
        <v>43017</v>
      </c>
      <c r="E28">
        <v>1</v>
      </c>
      <c r="F28">
        <v>185</v>
      </c>
      <c r="G28" t="s">
        <v>460</v>
      </c>
      <c r="H28" t="str">
        <f>VLOOKUP(A28, product_table!$A:$C, 3, 0)</f>
        <v>Own Brand</v>
      </c>
      <c r="I28" t="str">
        <f>VLOOKUP(transactions_table8[[#This Row],[market_code]],markets_table!$A:$B,2,0)</f>
        <v>Delhi NCR</v>
      </c>
      <c r="J28" t="str">
        <f>VLOOKUP(transactions_table8[[#This Row],[market_code]],markets_table!$A:$C,3,0)</f>
        <v>North</v>
      </c>
      <c r="K28" t="str">
        <f>VLOOKUP(transactions_table8[[#This Row],[customer_code]],customer_table!$A:$B,2,0)</f>
        <v>Info Stores</v>
      </c>
      <c r="L28" t="str">
        <f>VLOOKUP(transactions_table8[[#This Row],[customer_code]],customer_table!$A:$C,3,0)</f>
        <v>Brick &amp; Mortar</v>
      </c>
      <c r="M28">
        <f>IF(TRIM(CLEAN(transactions_table8[[#This Row],[currency]]))="USD",transactions_table8[[#This Row],[sales_amount]]*83,transactions_table8[[#This Row],[sales_amount]])</f>
        <v>185</v>
      </c>
    </row>
    <row r="29" spans="1:13" x14ac:dyDescent="0.3">
      <c r="A29" t="s">
        <v>178</v>
      </c>
      <c r="B29" t="s">
        <v>16</v>
      </c>
      <c r="C29" t="s">
        <v>144</v>
      </c>
      <c r="D29" s="1">
        <v>43021</v>
      </c>
      <c r="E29">
        <v>1</v>
      </c>
      <c r="F29">
        <v>556</v>
      </c>
      <c r="G29" t="s">
        <v>460</v>
      </c>
      <c r="H29" t="str">
        <f>VLOOKUP(A29, product_table!$A:$C, 3, 0)</f>
        <v>Own Brand</v>
      </c>
      <c r="I29" t="str">
        <f>VLOOKUP(transactions_table8[[#This Row],[market_code]],markets_table!$A:$B,2,0)</f>
        <v>Delhi NCR</v>
      </c>
      <c r="J29" t="str">
        <f>VLOOKUP(transactions_table8[[#This Row],[market_code]],markets_table!$A:$C,3,0)</f>
        <v>North</v>
      </c>
      <c r="K29" t="str">
        <f>VLOOKUP(transactions_table8[[#This Row],[customer_code]],customer_table!$A:$B,2,0)</f>
        <v>Info Stores</v>
      </c>
      <c r="L29" t="str">
        <f>VLOOKUP(transactions_table8[[#This Row],[customer_code]],customer_table!$A:$C,3,0)</f>
        <v>Brick &amp; Mortar</v>
      </c>
      <c r="M29">
        <f>IF(TRIM(CLEAN(transactions_table8[[#This Row],[currency]]))="USD",transactions_table8[[#This Row],[sales_amount]]*83,transactions_table8[[#This Row],[sales_amount]])</f>
        <v>556</v>
      </c>
    </row>
    <row r="30" spans="1:13" x14ac:dyDescent="0.3">
      <c r="A30" t="s">
        <v>178</v>
      </c>
      <c r="B30" t="s">
        <v>16</v>
      </c>
      <c r="C30" t="s">
        <v>144</v>
      </c>
      <c r="D30" s="1">
        <v>43035</v>
      </c>
      <c r="E30">
        <v>1</v>
      </c>
      <c r="F30">
        <v>551</v>
      </c>
      <c r="G30" t="s">
        <v>460</v>
      </c>
      <c r="H30" t="str">
        <f>VLOOKUP(A30, product_table!$A:$C, 3, 0)</f>
        <v>Own Brand</v>
      </c>
      <c r="I30" t="str">
        <f>VLOOKUP(transactions_table8[[#This Row],[market_code]],markets_table!$A:$B,2,0)</f>
        <v>Delhi NCR</v>
      </c>
      <c r="J30" t="str">
        <f>VLOOKUP(transactions_table8[[#This Row],[market_code]],markets_table!$A:$C,3,0)</f>
        <v>North</v>
      </c>
      <c r="K30" t="str">
        <f>VLOOKUP(transactions_table8[[#This Row],[customer_code]],customer_table!$A:$B,2,0)</f>
        <v>Info Stores</v>
      </c>
      <c r="L30" t="str">
        <f>VLOOKUP(transactions_table8[[#This Row],[customer_code]],customer_table!$A:$C,3,0)</f>
        <v>Brick &amp; Mortar</v>
      </c>
      <c r="M30">
        <f>IF(TRIM(CLEAN(transactions_table8[[#This Row],[currency]]))="USD",transactions_table8[[#This Row],[sales_amount]]*83,transactions_table8[[#This Row],[sales_amount]])</f>
        <v>551</v>
      </c>
    </row>
    <row r="31" spans="1:13" x14ac:dyDescent="0.3">
      <c r="A31" t="s">
        <v>178</v>
      </c>
      <c r="B31" t="s">
        <v>16</v>
      </c>
      <c r="C31" t="s">
        <v>144</v>
      </c>
      <c r="D31" s="1">
        <v>43042</v>
      </c>
      <c r="E31">
        <v>1</v>
      </c>
      <c r="F31">
        <v>167</v>
      </c>
      <c r="G31" t="s">
        <v>460</v>
      </c>
      <c r="H31" t="str">
        <f>VLOOKUP(A31, product_table!$A:$C, 3, 0)</f>
        <v>Own Brand</v>
      </c>
      <c r="I31" t="str">
        <f>VLOOKUP(transactions_table8[[#This Row],[market_code]],markets_table!$A:$B,2,0)</f>
        <v>Delhi NCR</v>
      </c>
      <c r="J31" t="str">
        <f>VLOOKUP(transactions_table8[[#This Row],[market_code]],markets_table!$A:$C,3,0)</f>
        <v>North</v>
      </c>
      <c r="K31" t="str">
        <f>VLOOKUP(transactions_table8[[#This Row],[customer_code]],customer_table!$A:$B,2,0)</f>
        <v>Info Stores</v>
      </c>
      <c r="L31" t="str">
        <f>VLOOKUP(transactions_table8[[#This Row],[customer_code]],customer_table!$A:$C,3,0)</f>
        <v>Brick &amp; Mortar</v>
      </c>
      <c r="M31">
        <f>IF(TRIM(CLEAN(transactions_table8[[#This Row],[currency]]))="USD",transactions_table8[[#This Row],[sales_amount]]*83,transactions_table8[[#This Row],[sales_amount]])</f>
        <v>167</v>
      </c>
    </row>
    <row r="32" spans="1:13" x14ac:dyDescent="0.3">
      <c r="A32" t="s">
        <v>178</v>
      </c>
      <c r="B32" t="s">
        <v>16</v>
      </c>
      <c r="C32" t="s">
        <v>144</v>
      </c>
      <c r="D32" s="1">
        <v>43045</v>
      </c>
      <c r="E32">
        <v>1</v>
      </c>
      <c r="F32">
        <v>333</v>
      </c>
      <c r="G32" t="s">
        <v>460</v>
      </c>
      <c r="H32" t="str">
        <f>VLOOKUP(A32, product_table!$A:$C, 3, 0)</f>
        <v>Own Brand</v>
      </c>
      <c r="I32" t="str">
        <f>VLOOKUP(transactions_table8[[#This Row],[market_code]],markets_table!$A:$B,2,0)</f>
        <v>Delhi NCR</v>
      </c>
      <c r="J32" t="str">
        <f>VLOOKUP(transactions_table8[[#This Row],[market_code]],markets_table!$A:$C,3,0)</f>
        <v>North</v>
      </c>
      <c r="K32" t="str">
        <f>VLOOKUP(transactions_table8[[#This Row],[customer_code]],customer_table!$A:$B,2,0)</f>
        <v>Info Stores</v>
      </c>
      <c r="L32" t="str">
        <f>VLOOKUP(transactions_table8[[#This Row],[customer_code]],customer_table!$A:$C,3,0)</f>
        <v>Brick &amp; Mortar</v>
      </c>
      <c r="M32">
        <f>IF(TRIM(CLEAN(transactions_table8[[#This Row],[currency]]))="USD",transactions_table8[[#This Row],[sales_amount]]*83,transactions_table8[[#This Row],[sales_amount]])</f>
        <v>333</v>
      </c>
    </row>
    <row r="33" spans="1:13" x14ac:dyDescent="0.3">
      <c r="A33" t="s">
        <v>178</v>
      </c>
      <c r="B33" t="s">
        <v>16</v>
      </c>
      <c r="C33" t="s">
        <v>144</v>
      </c>
      <c r="D33" s="1">
        <v>43049</v>
      </c>
      <c r="E33">
        <v>1</v>
      </c>
      <c r="F33">
        <v>500</v>
      </c>
      <c r="G33" t="s">
        <v>460</v>
      </c>
      <c r="H33" t="str">
        <f>VLOOKUP(A33, product_table!$A:$C, 3, 0)</f>
        <v>Own Brand</v>
      </c>
      <c r="I33" t="str">
        <f>VLOOKUP(transactions_table8[[#This Row],[market_code]],markets_table!$A:$B,2,0)</f>
        <v>Delhi NCR</v>
      </c>
      <c r="J33" t="str">
        <f>VLOOKUP(transactions_table8[[#This Row],[market_code]],markets_table!$A:$C,3,0)</f>
        <v>North</v>
      </c>
      <c r="K33" t="str">
        <f>VLOOKUP(transactions_table8[[#This Row],[customer_code]],customer_table!$A:$B,2,0)</f>
        <v>Info Stores</v>
      </c>
      <c r="L33" t="str">
        <f>VLOOKUP(transactions_table8[[#This Row],[customer_code]],customer_table!$A:$C,3,0)</f>
        <v>Brick &amp; Mortar</v>
      </c>
      <c r="M33">
        <f>IF(TRIM(CLEAN(transactions_table8[[#This Row],[currency]]))="USD",transactions_table8[[#This Row],[sales_amount]]*83,transactions_table8[[#This Row],[sales_amount]])</f>
        <v>500</v>
      </c>
    </row>
    <row r="34" spans="1:13" x14ac:dyDescent="0.3">
      <c r="A34" t="s">
        <v>178</v>
      </c>
      <c r="B34" t="s">
        <v>16</v>
      </c>
      <c r="C34" t="s">
        <v>144</v>
      </c>
      <c r="D34" s="1">
        <v>43055</v>
      </c>
      <c r="E34">
        <v>1</v>
      </c>
      <c r="F34">
        <v>333</v>
      </c>
      <c r="G34" t="s">
        <v>460</v>
      </c>
      <c r="H34" t="str">
        <f>VLOOKUP(A34, product_table!$A:$C, 3, 0)</f>
        <v>Own Brand</v>
      </c>
      <c r="I34" t="str">
        <f>VLOOKUP(transactions_table8[[#This Row],[market_code]],markets_table!$A:$B,2,0)</f>
        <v>Delhi NCR</v>
      </c>
      <c r="J34" t="str">
        <f>VLOOKUP(transactions_table8[[#This Row],[market_code]],markets_table!$A:$C,3,0)</f>
        <v>North</v>
      </c>
      <c r="K34" t="str">
        <f>VLOOKUP(transactions_table8[[#This Row],[customer_code]],customer_table!$A:$B,2,0)</f>
        <v>Info Stores</v>
      </c>
      <c r="L34" t="str">
        <f>VLOOKUP(transactions_table8[[#This Row],[customer_code]],customer_table!$A:$C,3,0)</f>
        <v>Brick &amp; Mortar</v>
      </c>
      <c r="M34">
        <f>IF(TRIM(CLEAN(transactions_table8[[#This Row],[currency]]))="USD",transactions_table8[[#This Row],[sales_amount]]*83,transactions_table8[[#This Row],[sales_amount]])</f>
        <v>333</v>
      </c>
    </row>
    <row r="35" spans="1:13" x14ac:dyDescent="0.3">
      <c r="A35" t="s">
        <v>178</v>
      </c>
      <c r="B35" t="s">
        <v>16</v>
      </c>
      <c r="C35" t="s">
        <v>144</v>
      </c>
      <c r="D35" s="1">
        <v>43056</v>
      </c>
      <c r="E35">
        <v>1</v>
      </c>
      <c r="F35">
        <v>333</v>
      </c>
      <c r="G35" t="s">
        <v>460</v>
      </c>
      <c r="H35" t="str">
        <f>VLOOKUP(A35, product_table!$A:$C, 3, 0)</f>
        <v>Own Brand</v>
      </c>
      <c r="I35" t="str">
        <f>VLOOKUP(transactions_table8[[#This Row],[market_code]],markets_table!$A:$B,2,0)</f>
        <v>Delhi NCR</v>
      </c>
      <c r="J35" t="str">
        <f>VLOOKUP(transactions_table8[[#This Row],[market_code]],markets_table!$A:$C,3,0)</f>
        <v>North</v>
      </c>
      <c r="K35" t="str">
        <f>VLOOKUP(transactions_table8[[#This Row],[customer_code]],customer_table!$A:$B,2,0)</f>
        <v>Info Stores</v>
      </c>
      <c r="L35" t="str">
        <f>VLOOKUP(transactions_table8[[#This Row],[customer_code]],customer_table!$A:$C,3,0)</f>
        <v>Brick &amp; Mortar</v>
      </c>
      <c r="M35">
        <f>IF(TRIM(CLEAN(transactions_table8[[#This Row],[currency]]))="USD",transactions_table8[[#This Row],[sales_amount]]*83,transactions_table8[[#This Row],[sales_amount]])</f>
        <v>333</v>
      </c>
    </row>
    <row r="36" spans="1:13" x14ac:dyDescent="0.3">
      <c r="A36" t="s">
        <v>178</v>
      </c>
      <c r="B36" t="s">
        <v>16</v>
      </c>
      <c r="C36" t="s">
        <v>144</v>
      </c>
      <c r="D36" s="1">
        <v>43066</v>
      </c>
      <c r="E36">
        <v>1</v>
      </c>
      <c r="F36">
        <v>500</v>
      </c>
      <c r="G36" t="s">
        <v>460</v>
      </c>
      <c r="H36" t="str">
        <f>VLOOKUP(A36, product_table!$A:$C, 3, 0)</f>
        <v>Own Brand</v>
      </c>
      <c r="I36" t="str">
        <f>VLOOKUP(transactions_table8[[#This Row],[market_code]],markets_table!$A:$B,2,0)</f>
        <v>Delhi NCR</v>
      </c>
      <c r="J36" t="str">
        <f>VLOOKUP(transactions_table8[[#This Row],[market_code]],markets_table!$A:$C,3,0)</f>
        <v>North</v>
      </c>
      <c r="K36" t="str">
        <f>VLOOKUP(transactions_table8[[#This Row],[customer_code]],customer_table!$A:$B,2,0)</f>
        <v>Info Stores</v>
      </c>
      <c r="L36" t="str">
        <f>VLOOKUP(transactions_table8[[#This Row],[customer_code]],customer_table!$A:$C,3,0)</f>
        <v>Brick &amp; Mortar</v>
      </c>
      <c r="M36">
        <f>IF(TRIM(CLEAN(transactions_table8[[#This Row],[currency]]))="USD",transactions_table8[[#This Row],[sales_amount]]*83,transactions_table8[[#This Row],[sales_amount]])</f>
        <v>500</v>
      </c>
    </row>
    <row r="37" spans="1:13" x14ac:dyDescent="0.3">
      <c r="A37" t="s">
        <v>178</v>
      </c>
      <c r="B37" t="s">
        <v>16</v>
      </c>
      <c r="C37" t="s">
        <v>144</v>
      </c>
      <c r="D37" s="1">
        <v>43073</v>
      </c>
      <c r="E37">
        <v>1</v>
      </c>
      <c r="F37">
        <v>833</v>
      </c>
      <c r="G37" t="s">
        <v>460</v>
      </c>
      <c r="H37" t="str">
        <f>VLOOKUP(A37, product_table!$A:$C, 3, 0)</f>
        <v>Own Brand</v>
      </c>
      <c r="I37" t="str">
        <f>VLOOKUP(transactions_table8[[#This Row],[market_code]],markets_table!$A:$B,2,0)</f>
        <v>Delhi NCR</v>
      </c>
      <c r="J37" t="str">
        <f>VLOOKUP(transactions_table8[[#This Row],[market_code]],markets_table!$A:$C,3,0)</f>
        <v>North</v>
      </c>
      <c r="K37" t="str">
        <f>VLOOKUP(transactions_table8[[#This Row],[customer_code]],customer_table!$A:$B,2,0)</f>
        <v>Info Stores</v>
      </c>
      <c r="L37" t="str">
        <f>VLOOKUP(transactions_table8[[#This Row],[customer_code]],customer_table!$A:$C,3,0)</f>
        <v>Brick &amp; Mortar</v>
      </c>
      <c r="M37">
        <f>IF(TRIM(CLEAN(transactions_table8[[#This Row],[currency]]))="USD",transactions_table8[[#This Row],[sales_amount]]*83,transactions_table8[[#This Row],[sales_amount]])</f>
        <v>833</v>
      </c>
    </row>
    <row r="38" spans="1:13" x14ac:dyDescent="0.3">
      <c r="A38" t="s">
        <v>178</v>
      </c>
      <c r="B38" t="s">
        <v>16</v>
      </c>
      <c r="C38" t="s">
        <v>144</v>
      </c>
      <c r="D38" s="1">
        <v>43077</v>
      </c>
      <c r="E38">
        <v>1</v>
      </c>
      <c r="F38">
        <v>167</v>
      </c>
      <c r="G38" t="s">
        <v>460</v>
      </c>
      <c r="H38" t="str">
        <f>VLOOKUP(A38, product_table!$A:$C, 3, 0)</f>
        <v>Own Brand</v>
      </c>
      <c r="I38" t="str">
        <f>VLOOKUP(transactions_table8[[#This Row],[market_code]],markets_table!$A:$B,2,0)</f>
        <v>Delhi NCR</v>
      </c>
      <c r="J38" t="str">
        <f>VLOOKUP(transactions_table8[[#This Row],[market_code]],markets_table!$A:$C,3,0)</f>
        <v>North</v>
      </c>
      <c r="K38" t="str">
        <f>VLOOKUP(transactions_table8[[#This Row],[customer_code]],customer_table!$A:$B,2,0)</f>
        <v>Info Stores</v>
      </c>
      <c r="L38" t="str">
        <f>VLOOKUP(transactions_table8[[#This Row],[customer_code]],customer_table!$A:$C,3,0)</f>
        <v>Brick &amp; Mortar</v>
      </c>
      <c r="M38">
        <f>IF(TRIM(CLEAN(transactions_table8[[#This Row],[currency]]))="USD",transactions_table8[[#This Row],[sales_amount]]*83,transactions_table8[[#This Row],[sales_amount]])</f>
        <v>167</v>
      </c>
    </row>
    <row r="39" spans="1:13" x14ac:dyDescent="0.3">
      <c r="A39" t="s">
        <v>178</v>
      </c>
      <c r="B39" t="s">
        <v>16</v>
      </c>
      <c r="C39" t="s">
        <v>144</v>
      </c>
      <c r="D39" s="1">
        <v>43080</v>
      </c>
      <c r="E39">
        <v>1</v>
      </c>
      <c r="F39">
        <v>833</v>
      </c>
      <c r="G39" t="s">
        <v>460</v>
      </c>
      <c r="H39" t="str">
        <f>VLOOKUP(A39, product_table!$A:$C, 3, 0)</f>
        <v>Own Brand</v>
      </c>
      <c r="I39" t="str">
        <f>VLOOKUP(transactions_table8[[#This Row],[market_code]],markets_table!$A:$B,2,0)</f>
        <v>Delhi NCR</v>
      </c>
      <c r="J39" t="str">
        <f>VLOOKUP(transactions_table8[[#This Row],[market_code]],markets_table!$A:$C,3,0)</f>
        <v>North</v>
      </c>
      <c r="K39" t="str">
        <f>VLOOKUP(transactions_table8[[#This Row],[customer_code]],customer_table!$A:$B,2,0)</f>
        <v>Info Stores</v>
      </c>
      <c r="L39" t="str">
        <f>VLOOKUP(transactions_table8[[#This Row],[customer_code]],customer_table!$A:$C,3,0)</f>
        <v>Brick &amp; Mortar</v>
      </c>
      <c r="M39">
        <f>IF(TRIM(CLEAN(transactions_table8[[#This Row],[currency]]))="USD",transactions_table8[[#This Row],[sales_amount]]*83,transactions_table8[[#This Row],[sales_amount]])</f>
        <v>833</v>
      </c>
    </row>
    <row r="40" spans="1:13" x14ac:dyDescent="0.3">
      <c r="A40" t="s">
        <v>178</v>
      </c>
      <c r="B40" t="s">
        <v>16</v>
      </c>
      <c r="C40" t="s">
        <v>144</v>
      </c>
      <c r="D40" s="1">
        <v>43087</v>
      </c>
      <c r="E40">
        <v>1</v>
      </c>
      <c r="F40">
        <v>1000</v>
      </c>
      <c r="G40" t="s">
        <v>460</v>
      </c>
      <c r="H40" t="str">
        <f>VLOOKUP(A40, product_table!$A:$C, 3, 0)</f>
        <v>Own Brand</v>
      </c>
      <c r="I40" t="str">
        <f>VLOOKUP(transactions_table8[[#This Row],[market_code]],markets_table!$A:$B,2,0)</f>
        <v>Delhi NCR</v>
      </c>
      <c r="J40" t="str">
        <f>VLOOKUP(transactions_table8[[#This Row],[market_code]],markets_table!$A:$C,3,0)</f>
        <v>North</v>
      </c>
      <c r="K40" t="str">
        <f>VLOOKUP(transactions_table8[[#This Row],[customer_code]],customer_table!$A:$B,2,0)</f>
        <v>Info Stores</v>
      </c>
      <c r="L40" t="str">
        <f>VLOOKUP(transactions_table8[[#This Row],[customer_code]],customer_table!$A:$C,3,0)</f>
        <v>Brick &amp; Mortar</v>
      </c>
      <c r="M40">
        <f>IF(TRIM(CLEAN(transactions_table8[[#This Row],[currency]]))="USD",transactions_table8[[#This Row],[sales_amount]]*83,transactions_table8[[#This Row],[sales_amount]])</f>
        <v>1000</v>
      </c>
    </row>
    <row r="41" spans="1:13" x14ac:dyDescent="0.3">
      <c r="A41" t="s">
        <v>178</v>
      </c>
      <c r="B41" t="s">
        <v>16</v>
      </c>
      <c r="C41" t="s">
        <v>144</v>
      </c>
      <c r="D41" s="1">
        <v>43096</v>
      </c>
      <c r="E41">
        <v>2</v>
      </c>
      <c r="F41">
        <v>1833</v>
      </c>
      <c r="G41" t="s">
        <v>460</v>
      </c>
      <c r="H41" t="str">
        <f>VLOOKUP(A41, product_table!$A:$C, 3, 0)</f>
        <v>Own Brand</v>
      </c>
      <c r="I41" t="str">
        <f>VLOOKUP(transactions_table8[[#This Row],[market_code]],markets_table!$A:$B,2,0)</f>
        <v>Delhi NCR</v>
      </c>
      <c r="J41" t="str">
        <f>VLOOKUP(transactions_table8[[#This Row],[market_code]],markets_table!$A:$C,3,0)</f>
        <v>North</v>
      </c>
      <c r="K41" t="str">
        <f>VLOOKUP(transactions_table8[[#This Row],[customer_code]],customer_table!$A:$B,2,0)</f>
        <v>Info Stores</v>
      </c>
      <c r="L41" t="str">
        <f>VLOOKUP(transactions_table8[[#This Row],[customer_code]],customer_table!$A:$C,3,0)</f>
        <v>Brick &amp; Mortar</v>
      </c>
      <c r="M41">
        <f>IF(TRIM(CLEAN(transactions_table8[[#This Row],[currency]]))="USD",transactions_table8[[#This Row],[sales_amount]]*83,transactions_table8[[#This Row],[sales_amount]])</f>
        <v>1833</v>
      </c>
    </row>
    <row r="42" spans="1:13" x14ac:dyDescent="0.3">
      <c r="A42" t="s">
        <v>178</v>
      </c>
      <c r="B42" t="s">
        <v>16</v>
      </c>
      <c r="C42" t="s">
        <v>144</v>
      </c>
      <c r="D42" s="1">
        <v>43097</v>
      </c>
      <c r="E42">
        <v>1</v>
      </c>
      <c r="F42">
        <v>167</v>
      </c>
      <c r="G42" t="s">
        <v>460</v>
      </c>
      <c r="H42" t="str">
        <f>VLOOKUP(A42, product_table!$A:$C, 3, 0)</f>
        <v>Own Brand</v>
      </c>
      <c r="I42" t="str">
        <f>VLOOKUP(transactions_table8[[#This Row],[market_code]],markets_table!$A:$B,2,0)</f>
        <v>Delhi NCR</v>
      </c>
      <c r="J42" t="str">
        <f>VLOOKUP(transactions_table8[[#This Row],[market_code]],markets_table!$A:$C,3,0)</f>
        <v>North</v>
      </c>
      <c r="K42" t="str">
        <f>VLOOKUP(transactions_table8[[#This Row],[customer_code]],customer_table!$A:$B,2,0)</f>
        <v>Info Stores</v>
      </c>
      <c r="L42" t="str">
        <f>VLOOKUP(transactions_table8[[#This Row],[customer_code]],customer_table!$A:$C,3,0)</f>
        <v>Brick &amp; Mortar</v>
      </c>
      <c r="M42">
        <f>IF(TRIM(CLEAN(transactions_table8[[#This Row],[currency]]))="USD",transactions_table8[[#This Row],[sales_amount]]*83,transactions_table8[[#This Row],[sales_amount]])</f>
        <v>167</v>
      </c>
    </row>
    <row r="43" spans="1:13" x14ac:dyDescent="0.3">
      <c r="A43" t="s">
        <v>178</v>
      </c>
      <c r="B43" t="s">
        <v>16</v>
      </c>
      <c r="C43" t="s">
        <v>144</v>
      </c>
      <c r="D43" s="1">
        <v>43105</v>
      </c>
      <c r="E43">
        <v>1</v>
      </c>
      <c r="F43">
        <v>167</v>
      </c>
      <c r="G43" t="s">
        <v>460</v>
      </c>
      <c r="H43" t="str">
        <f>VLOOKUP(A43, product_table!$A:$C, 3, 0)</f>
        <v>Own Brand</v>
      </c>
      <c r="I43" t="str">
        <f>VLOOKUP(transactions_table8[[#This Row],[market_code]],markets_table!$A:$B,2,0)</f>
        <v>Delhi NCR</v>
      </c>
      <c r="J43" t="str">
        <f>VLOOKUP(transactions_table8[[#This Row],[market_code]],markets_table!$A:$C,3,0)</f>
        <v>North</v>
      </c>
      <c r="K43" t="str">
        <f>VLOOKUP(transactions_table8[[#This Row],[customer_code]],customer_table!$A:$B,2,0)</f>
        <v>Info Stores</v>
      </c>
      <c r="L43" t="str">
        <f>VLOOKUP(transactions_table8[[#This Row],[customer_code]],customer_table!$A:$C,3,0)</f>
        <v>Brick &amp; Mortar</v>
      </c>
      <c r="M43">
        <f>IF(TRIM(CLEAN(transactions_table8[[#This Row],[currency]]))="USD",transactions_table8[[#This Row],[sales_amount]]*83,transactions_table8[[#This Row],[sales_amount]])</f>
        <v>167</v>
      </c>
    </row>
    <row r="44" spans="1:13" x14ac:dyDescent="0.3">
      <c r="A44" t="s">
        <v>178</v>
      </c>
      <c r="B44" t="s">
        <v>16</v>
      </c>
      <c r="C44" t="s">
        <v>144</v>
      </c>
      <c r="D44" s="1">
        <v>43108</v>
      </c>
      <c r="E44">
        <v>1</v>
      </c>
      <c r="F44">
        <v>833</v>
      </c>
      <c r="G44" t="s">
        <v>460</v>
      </c>
      <c r="H44" t="str">
        <f>VLOOKUP(A44, product_table!$A:$C, 3, 0)</f>
        <v>Own Brand</v>
      </c>
      <c r="I44" t="str">
        <f>VLOOKUP(transactions_table8[[#This Row],[market_code]],markets_table!$A:$B,2,0)</f>
        <v>Delhi NCR</v>
      </c>
      <c r="J44" t="str">
        <f>VLOOKUP(transactions_table8[[#This Row],[market_code]],markets_table!$A:$C,3,0)</f>
        <v>North</v>
      </c>
      <c r="K44" t="str">
        <f>VLOOKUP(transactions_table8[[#This Row],[customer_code]],customer_table!$A:$B,2,0)</f>
        <v>Info Stores</v>
      </c>
      <c r="L44" t="str">
        <f>VLOOKUP(transactions_table8[[#This Row],[customer_code]],customer_table!$A:$C,3,0)</f>
        <v>Brick &amp; Mortar</v>
      </c>
      <c r="M44">
        <f>IF(TRIM(CLEAN(transactions_table8[[#This Row],[currency]]))="USD",transactions_table8[[#This Row],[sales_amount]]*83,transactions_table8[[#This Row],[sales_amount]])</f>
        <v>833</v>
      </c>
    </row>
    <row r="45" spans="1:13" x14ac:dyDescent="0.3">
      <c r="A45" t="s">
        <v>178</v>
      </c>
      <c r="B45" t="s">
        <v>16</v>
      </c>
      <c r="C45" t="s">
        <v>144</v>
      </c>
      <c r="D45" s="1">
        <v>43122</v>
      </c>
      <c r="E45">
        <v>1</v>
      </c>
      <c r="F45">
        <v>167</v>
      </c>
      <c r="G45" t="s">
        <v>460</v>
      </c>
      <c r="H45" t="str">
        <f>VLOOKUP(A45, product_table!$A:$C, 3, 0)</f>
        <v>Own Brand</v>
      </c>
      <c r="I45" t="str">
        <f>VLOOKUP(transactions_table8[[#This Row],[market_code]],markets_table!$A:$B,2,0)</f>
        <v>Delhi NCR</v>
      </c>
      <c r="J45" t="str">
        <f>VLOOKUP(transactions_table8[[#This Row],[market_code]],markets_table!$A:$C,3,0)</f>
        <v>North</v>
      </c>
      <c r="K45" t="str">
        <f>VLOOKUP(transactions_table8[[#This Row],[customer_code]],customer_table!$A:$B,2,0)</f>
        <v>Info Stores</v>
      </c>
      <c r="L45" t="str">
        <f>VLOOKUP(transactions_table8[[#This Row],[customer_code]],customer_table!$A:$C,3,0)</f>
        <v>Brick &amp; Mortar</v>
      </c>
      <c r="M45">
        <f>IF(TRIM(CLEAN(transactions_table8[[#This Row],[currency]]))="USD",transactions_table8[[#This Row],[sales_amount]]*83,transactions_table8[[#This Row],[sales_amount]])</f>
        <v>167</v>
      </c>
    </row>
    <row r="46" spans="1:13" x14ac:dyDescent="0.3">
      <c r="A46" t="s">
        <v>178</v>
      </c>
      <c r="B46" t="s">
        <v>16</v>
      </c>
      <c r="C46" t="s">
        <v>144</v>
      </c>
      <c r="D46" s="1">
        <v>43152</v>
      </c>
      <c r="E46">
        <v>26</v>
      </c>
      <c r="F46">
        <v>10657</v>
      </c>
      <c r="G46" t="s">
        <v>460</v>
      </c>
      <c r="H46" t="str">
        <f>VLOOKUP(A46, product_table!$A:$C, 3, 0)</f>
        <v>Own Brand</v>
      </c>
      <c r="I46" t="str">
        <f>VLOOKUP(transactions_table8[[#This Row],[market_code]],markets_table!$A:$B,2,0)</f>
        <v>Delhi NCR</v>
      </c>
      <c r="J46" t="str">
        <f>VLOOKUP(transactions_table8[[#This Row],[market_code]],markets_table!$A:$C,3,0)</f>
        <v>North</v>
      </c>
      <c r="K46" t="str">
        <f>VLOOKUP(transactions_table8[[#This Row],[customer_code]],customer_table!$A:$B,2,0)</f>
        <v>Info Stores</v>
      </c>
      <c r="L46" t="str">
        <f>VLOOKUP(transactions_table8[[#This Row],[customer_code]],customer_table!$A:$C,3,0)</f>
        <v>Brick &amp; Mortar</v>
      </c>
      <c r="M46">
        <f>IF(TRIM(CLEAN(transactions_table8[[#This Row],[currency]]))="USD",transactions_table8[[#This Row],[sales_amount]]*83,transactions_table8[[#This Row],[sales_amount]])</f>
        <v>10657</v>
      </c>
    </row>
    <row r="47" spans="1:13" x14ac:dyDescent="0.3">
      <c r="A47" t="s">
        <v>178</v>
      </c>
      <c r="B47" t="s">
        <v>16</v>
      </c>
      <c r="C47" t="s">
        <v>144</v>
      </c>
      <c r="D47" s="1">
        <v>43154</v>
      </c>
      <c r="E47">
        <v>1</v>
      </c>
      <c r="F47">
        <v>167</v>
      </c>
      <c r="G47" t="s">
        <v>460</v>
      </c>
      <c r="H47" t="str">
        <f>VLOOKUP(A47, product_table!$A:$C, 3, 0)</f>
        <v>Own Brand</v>
      </c>
      <c r="I47" t="str">
        <f>VLOOKUP(transactions_table8[[#This Row],[market_code]],markets_table!$A:$B,2,0)</f>
        <v>Delhi NCR</v>
      </c>
      <c r="J47" t="str">
        <f>VLOOKUP(transactions_table8[[#This Row],[market_code]],markets_table!$A:$C,3,0)</f>
        <v>North</v>
      </c>
      <c r="K47" t="str">
        <f>VLOOKUP(transactions_table8[[#This Row],[customer_code]],customer_table!$A:$B,2,0)</f>
        <v>Info Stores</v>
      </c>
      <c r="L47" t="str">
        <f>VLOOKUP(transactions_table8[[#This Row],[customer_code]],customer_table!$A:$C,3,0)</f>
        <v>Brick &amp; Mortar</v>
      </c>
      <c r="M47">
        <f>IF(TRIM(CLEAN(transactions_table8[[#This Row],[currency]]))="USD",transactions_table8[[#This Row],[sales_amount]]*83,transactions_table8[[#This Row],[sales_amount]])</f>
        <v>167</v>
      </c>
    </row>
    <row r="48" spans="1:13" x14ac:dyDescent="0.3">
      <c r="A48" t="s">
        <v>179</v>
      </c>
      <c r="B48" t="s">
        <v>16</v>
      </c>
      <c r="C48" t="s">
        <v>144</v>
      </c>
      <c r="D48" s="1">
        <v>43315</v>
      </c>
      <c r="E48">
        <v>1</v>
      </c>
      <c r="F48">
        <v>157</v>
      </c>
      <c r="G48" t="s">
        <v>460</v>
      </c>
      <c r="H48" t="str">
        <f>VLOOKUP(A48, product_table!$A:$C, 3, 0)</f>
        <v>Own Brand</v>
      </c>
      <c r="I48" t="str">
        <f>VLOOKUP(transactions_table8[[#This Row],[market_code]],markets_table!$A:$B,2,0)</f>
        <v>Delhi NCR</v>
      </c>
      <c r="J48" t="str">
        <f>VLOOKUP(transactions_table8[[#This Row],[market_code]],markets_table!$A:$C,3,0)</f>
        <v>North</v>
      </c>
      <c r="K48" t="str">
        <f>VLOOKUP(transactions_table8[[#This Row],[customer_code]],customer_table!$A:$B,2,0)</f>
        <v>Info Stores</v>
      </c>
      <c r="L48" t="str">
        <f>VLOOKUP(transactions_table8[[#This Row],[customer_code]],customer_table!$A:$C,3,0)</f>
        <v>Brick &amp; Mortar</v>
      </c>
      <c r="M48">
        <f>IF(TRIM(CLEAN(transactions_table8[[#This Row],[currency]]))="USD",transactions_table8[[#This Row],[sales_amount]]*83,transactions_table8[[#This Row],[sales_amount]])</f>
        <v>157</v>
      </c>
    </row>
    <row r="49" spans="1:13" x14ac:dyDescent="0.3">
      <c r="A49" t="s">
        <v>179</v>
      </c>
      <c r="B49" t="s">
        <v>16</v>
      </c>
      <c r="C49" t="s">
        <v>144</v>
      </c>
      <c r="D49" s="1">
        <v>43336</v>
      </c>
      <c r="E49">
        <v>1</v>
      </c>
      <c r="F49">
        <v>315</v>
      </c>
      <c r="G49" t="s">
        <v>460</v>
      </c>
      <c r="H49" t="str">
        <f>VLOOKUP(A49, product_table!$A:$C, 3, 0)</f>
        <v>Own Brand</v>
      </c>
      <c r="I49" t="str">
        <f>VLOOKUP(transactions_table8[[#This Row],[market_code]],markets_table!$A:$B,2,0)</f>
        <v>Delhi NCR</v>
      </c>
      <c r="J49" t="str">
        <f>VLOOKUP(transactions_table8[[#This Row],[market_code]],markets_table!$A:$C,3,0)</f>
        <v>North</v>
      </c>
      <c r="K49" t="str">
        <f>VLOOKUP(transactions_table8[[#This Row],[customer_code]],customer_table!$A:$B,2,0)</f>
        <v>Info Stores</v>
      </c>
      <c r="L49" t="str">
        <f>VLOOKUP(transactions_table8[[#This Row],[customer_code]],customer_table!$A:$C,3,0)</f>
        <v>Brick &amp; Mortar</v>
      </c>
      <c r="M49">
        <f>IF(TRIM(CLEAN(transactions_table8[[#This Row],[currency]]))="USD",transactions_table8[[#This Row],[sales_amount]]*83,transactions_table8[[#This Row],[sales_amount]])</f>
        <v>315</v>
      </c>
    </row>
    <row r="50" spans="1:13" x14ac:dyDescent="0.3">
      <c r="A50" t="s">
        <v>179</v>
      </c>
      <c r="B50" t="s">
        <v>16</v>
      </c>
      <c r="C50" t="s">
        <v>144</v>
      </c>
      <c r="D50" s="1">
        <v>43364</v>
      </c>
      <c r="E50">
        <v>1</v>
      </c>
      <c r="F50">
        <v>630</v>
      </c>
      <c r="G50" t="s">
        <v>460</v>
      </c>
      <c r="H50" t="str">
        <f>VLOOKUP(A50, product_table!$A:$C, 3, 0)</f>
        <v>Own Brand</v>
      </c>
      <c r="I50" t="str">
        <f>VLOOKUP(transactions_table8[[#This Row],[market_code]],markets_table!$A:$B,2,0)</f>
        <v>Delhi NCR</v>
      </c>
      <c r="J50" t="str">
        <f>VLOOKUP(transactions_table8[[#This Row],[market_code]],markets_table!$A:$C,3,0)</f>
        <v>North</v>
      </c>
      <c r="K50" t="str">
        <f>VLOOKUP(transactions_table8[[#This Row],[customer_code]],customer_table!$A:$B,2,0)</f>
        <v>Info Stores</v>
      </c>
      <c r="L50" t="str">
        <f>VLOOKUP(transactions_table8[[#This Row],[customer_code]],customer_table!$A:$C,3,0)</f>
        <v>Brick &amp; Mortar</v>
      </c>
      <c r="M50">
        <f>IF(TRIM(CLEAN(transactions_table8[[#This Row],[currency]]))="USD",transactions_table8[[#This Row],[sales_amount]]*83,transactions_table8[[#This Row],[sales_amount]])</f>
        <v>630</v>
      </c>
    </row>
    <row r="51" spans="1:13" x14ac:dyDescent="0.3">
      <c r="A51" t="s">
        <v>179</v>
      </c>
      <c r="B51" t="s">
        <v>16</v>
      </c>
      <c r="C51" t="s">
        <v>144</v>
      </c>
      <c r="D51" s="1">
        <v>43371</v>
      </c>
      <c r="E51">
        <v>1</v>
      </c>
      <c r="F51">
        <v>315</v>
      </c>
      <c r="G51" t="s">
        <v>460</v>
      </c>
      <c r="H51" t="str">
        <f>VLOOKUP(A51, product_table!$A:$C, 3, 0)</f>
        <v>Own Brand</v>
      </c>
      <c r="I51" t="str">
        <f>VLOOKUP(transactions_table8[[#This Row],[market_code]],markets_table!$A:$B,2,0)</f>
        <v>Delhi NCR</v>
      </c>
      <c r="J51" t="str">
        <f>VLOOKUP(transactions_table8[[#This Row],[market_code]],markets_table!$A:$C,3,0)</f>
        <v>North</v>
      </c>
      <c r="K51" t="str">
        <f>VLOOKUP(transactions_table8[[#This Row],[customer_code]],customer_table!$A:$B,2,0)</f>
        <v>Info Stores</v>
      </c>
      <c r="L51" t="str">
        <f>VLOOKUP(transactions_table8[[#This Row],[customer_code]],customer_table!$A:$C,3,0)</f>
        <v>Brick &amp; Mortar</v>
      </c>
      <c r="M51">
        <f>IF(TRIM(CLEAN(transactions_table8[[#This Row],[currency]]))="USD",transactions_table8[[#This Row],[sales_amount]]*83,transactions_table8[[#This Row],[sales_amount]])</f>
        <v>315</v>
      </c>
    </row>
    <row r="52" spans="1:13" x14ac:dyDescent="0.3">
      <c r="A52" t="s">
        <v>179</v>
      </c>
      <c r="B52" t="s">
        <v>16</v>
      </c>
      <c r="C52" t="s">
        <v>144</v>
      </c>
      <c r="D52" s="1">
        <v>43413</v>
      </c>
      <c r="E52">
        <v>1</v>
      </c>
      <c r="F52">
        <v>157</v>
      </c>
      <c r="G52" t="s">
        <v>460</v>
      </c>
      <c r="H52" t="str">
        <f>VLOOKUP(A52, product_table!$A:$C, 3, 0)</f>
        <v>Own Brand</v>
      </c>
      <c r="I52" t="str">
        <f>VLOOKUP(transactions_table8[[#This Row],[market_code]],markets_table!$A:$B,2,0)</f>
        <v>Delhi NCR</v>
      </c>
      <c r="J52" t="str">
        <f>VLOOKUP(transactions_table8[[#This Row],[market_code]],markets_table!$A:$C,3,0)</f>
        <v>North</v>
      </c>
      <c r="K52" t="str">
        <f>VLOOKUP(transactions_table8[[#This Row],[customer_code]],customer_table!$A:$B,2,0)</f>
        <v>Info Stores</v>
      </c>
      <c r="L52" t="str">
        <f>VLOOKUP(transactions_table8[[#This Row],[customer_code]],customer_table!$A:$C,3,0)</f>
        <v>Brick &amp; Mortar</v>
      </c>
      <c r="M52">
        <f>IF(TRIM(CLEAN(transactions_table8[[#This Row],[currency]]))="USD",transactions_table8[[#This Row],[sales_amount]]*83,transactions_table8[[#This Row],[sales_amount]])</f>
        <v>157</v>
      </c>
    </row>
    <row r="53" spans="1:13" x14ac:dyDescent="0.3">
      <c r="A53" t="s">
        <v>179</v>
      </c>
      <c r="B53" t="s">
        <v>16</v>
      </c>
      <c r="C53" t="s">
        <v>144</v>
      </c>
      <c r="D53" s="1">
        <v>43420</v>
      </c>
      <c r="E53">
        <v>1</v>
      </c>
      <c r="F53">
        <v>472</v>
      </c>
      <c r="G53" t="s">
        <v>460</v>
      </c>
      <c r="H53" t="str">
        <f>VLOOKUP(A53, product_table!$A:$C, 3, 0)</f>
        <v>Own Brand</v>
      </c>
      <c r="I53" t="str">
        <f>VLOOKUP(transactions_table8[[#This Row],[market_code]],markets_table!$A:$B,2,0)</f>
        <v>Delhi NCR</v>
      </c>
      <c r="J53" t="str">
        <f>VLOOKUP(transactions_table8[[#This Row],[market_code]],markets_table!$A:$C,3,0)</f>
        <v>North</v>
      </c>
      <c r="K53" t="str">
        <f>VLOOKUP(transactions_table8[[#This Row],[customer_code]],customer_table!$A:$B,2,0)</f>
        <v>Info Stores</v>
      </c>
      <c r="L53" t="str">
        <f>VLOOKUP(transactions_table8[[#This Row],[customer_code]],customer_table!$A:$C,3,0)</f>
        <v>Brick &amp; Mortar</v>
      </c>
      <c r="M53">
        <f>IF(TRIM(CLEAN(transactions_table8[[#This Row],[currency]]))="USD",transactions_table8[[#This Row],[sales_amount]]*83,transactions_table8[[#This Row],[sales_amount]])</f>
        <v>472</v>
      </c>
    </row>
    <row r="54" spans="1:13" x14ac:dyDescent="0.3">
      <c r="A54" t="s">
        <v>179</v>
      </c>
      <c r="B54" t="s">
        <v>16</v>
      </c>
      <c r="C54" t="s">
        <v>144</v>
      </c>
      <c r="D54" s="1">
        <v>43441</v>
      </c>
      <c r="E54">
        <v>1</v>
      </c>
      <c r="F54">
        <v>157</v>
      </c>
      <c r="G54" t="s">
        <v>460</v>
      </c>
      <c r="H54" t="str">
        <f>VLOOKUP(A54, product_table!$A:$C, 3, 0)</f>
        <v>Own Brand</v>
      </c>
      <c r="I54" t="str">
        <f>VLOOKUP(transactions_table8[[#This Row],[market_code]],markets_table!$A:$B,2,0)</f>
        <v>Delhi NCR</v>
      </c>
      <c r="J54" t="str">
        <f>VLOOKUP(transactions_table8[[#This Row],[market_code]],markets_table!$A:$C,3,0)</f>
        <v>North</v>
      </c>
      <c r="K54" t="str">
        <f>VLOOKUP(transactions_table8[[#This Row],[customer_code]],customer_table!$A:$B,2,0)</f>
        <v>Info Stores</v>
      </c>
      <c r="L54" t="str">
        <f>VLOOKUP(transactions_table8[[#This Row],[customer_code]],customer_table!$A:$C,3,0)</f>
        <v>Brick &amp; Mortar</v>
      </c>
      <c r="M54">
        <f>IF(TRIM(CLEAN(transactions_table8[[#This Row],[currency]]))="USD",transactions_table8[[#This Row],[sales_amount]]*83,transactions_table8[[#This Row],[sales_amount]])</f>
        <v>157</v>
      </c>
    </row>
    <row r="55" spans="1:13" x14ac:dyDescent="0.3">
      <c r="A55" t="s">
        <v>179</v>
      </c>
      <c r="B55" t="s">
        <v>16</v>
      </c>
      <c r="C55" t="s">
        <v>144</v>
      </c>
      <c r="D55" s="1">
        <v>43448</v>
      </c>
      <c r="E55">
        <v>1</v>
      </c>
      <c r="F55">
        <v>157</v>
      </c>
      <c r="G55" t="s">
        <v>460</v>
      </c>
      <c r="H55" t="str">
        <f>VLOOKUP(A55, product_table!$A:$C, 3, 0)</f>
        <v>Own Brand</v>
      </c>
      <c r="I55" t="str">
        <f>VLOOKUP(transactions_table8[[#This Row],[market_code]],markets_table!$A:$B,2,0)</f>
        <v>Delhi NCR</v>
      </c>
      <c r="J55" t="str">
        <f>VLOOKUP(transactions_table8[[#This Row],[market_code]],markets_table!$A:$C,3,0)</f>
        <v>North</v>
      </c>
      <c r="K55" t="str">
        <f>VLOOKUP(transactions_table8[[#This Row],[customer_code]],customer_table!$A:$B,2,0)</f>
        <v>Info Stores</v>
      </c>
      <c r="L55" t="str">
        <f>VLOOKUP(transactions_table8[[#This Row],[customer_code]],customer_table!$A:$C,3,0)</f>
        <v>Brick &amp; Mortar</v>
      </c>
      <c r="M55">
        <f>IF(TRIM(CLEAN(transactions_table8[[#This Row],[currency]]))="USD",transactions_table8[[#This Row],[sales_amount]]*83,transactions_table8[[#This Row],[sales_amount]])</f>
        <v>157</v>
      </c>
    </row>
    <row r="56" spans="1:13" x14ac:dyDescent="0.3">
      <c r="A56" t="s">
        <v>179</v>
      </c>
      <c r="B56" t="s">
        <v>16</v>
      </c>
      <c r="C56" t="s">
        <v>144</v>
      </c>
      <c r="D56" s="1">
        <v>43490</v>
      </c>
      <c r="E56">
        <v>1</v>
      </c>
      <c r="F56">
        <v>315</v>
      </c>
      <c r="G56" t="s">
        <v>460</v>
      </c>
      <c r="H56" t="str">
        <f>VLOOKUP(A56, product_table!$A:$C, 3, 0)</f>
        <v>Own Brand</v>
      </c>
      <c r="I56" t="str">
        <f>VLOOKUP(transactions_table8[[#This Row],[market_code]],markets_table!$A:$B,2,0)</f>
        <v>Delhi NCR</v>
      </c>
      <c r="J56" t="str">
        <f>VLOOKUP(transactions_table8[[#This Row],[market_code]],markets_table!$A:$C,3,0)</f>
        <v>North</v>
      </c>
      <c r="K56" t="str">
        <f>VLOOKUP(transactions_table8[[#This Row],[customer_code]],customer_table!$A:$B,2,0)</f>
        <v>Info Stores</v>
      </c>
      <c r="L56" t="str">
        <f>VLOOKUP(transactions_table8[[#This Row],[customer_code]],customer_table!$A:$C,3,0)</f>
        <v>Brick &amp; Mortar</v>
      </c>
      <c r="M56">
        <f>IF(TRIM(CLEAN(transactions_table8[[#This Row],[currency]]))="USD",transactions_table8[[#This Row],[sales_amount]]*83,transactions_table8[[#This Row],[sales_amount]])</f>
        <v>315</v>
      </c>
    </row>
    <row r="57" spans="1:13" x14ac:dyDescent="0.3">
      <c r="A57" t="s">
        <v>179</v>
      </c>
      <c r="B57" t="s">
        <v>16</v>
      </c>
      <c r="C57" t="s">
        <v>144</v>
      </c>
      <c r="D57" s="1">
        <v>43497</v>
      </c>
      <c r="E57">
        <v>1</v>
      </c>
      <c r="F57">
        <v>157</v>
      </c>
      <c r="G57" t="s">
        <v>460</v>
      </c>
      <c r="H57" t="str">
        <f>VLOOKUP(A57, product_table!$A:$C, 3, 0)</f>
        <v>Own Brand</v>
      </c>
      <c r="I57" t="str">
        <f>VLOOKUP(transactions_table8[[#This Row],[market_code]],markets_table!$A:$B,2,0)</f>
        <v>Delhi NCR</v>
      </c>
      <c r="J57" t="str">
        <f>VLOOKUP(transactions_table8[[#This Row],[market_code]],markets_table!$A:$C,3,0)</f>
        <v>North</v>
      </c>
      <c r="K57" t="str">
        <f>VLOOKUP(transactions_table8[[#This Row],[customer_code]],customer_table!$A:$B,2,0)</f>
        <v>Info Stores</v>
      </c>
      <c r="L57" t="str">
        <f>VLOOKUP(transactions_table8[[#This Row],[customer_code]],customer_table!$A:$C,3,0)</f>
        <v>Brick &amp; Mortar</v>
      </c>
      <c r="M57">
        <f>IF(TRIM(CLEAN(transactions_table8[[#This Row],[currency]]))="USD",transactions_table8[[#This Row],[sales_amount]]*83,transactions_table8[[#This Row],[sales_amount]])</f>
        <v>157</v>
      </c>
    </row>
    <row r="58" spans="1:13" x14ac:dyDescent="0.3">
      <c r="A58" t="s">
        <v>179</v>
      </c>
      <c r="B58" t="s">
        <v>16</v>
      </c>
      <c r="C58" t="s">
        <v>144</v>
      </c>
      <c r="D58" s="1">
        <v>43504</v>
      </c>
      <c r="E58">
        <v>1</v>
      </c>
      <c r="F58">
        <v>472</v>
      </c>
      <c r="G58" t="s">
        <v>460</v>
      </c>
      <c r="H58" t="str">
        <f>VLOOKUP(A58, product_table!$A:$C, 3, 0)</f>
        <v>Own Brand</v>
      </c>
      <c r="I58" t="str">
        <f>VLOOKUP(transactions_table8[[#This Row],[market_code]],markets_table!$A:$B,2,0)</f>
        <v>Delhi NCR</v>
      </c>
      <c r="J58" t="str">
        <f>VLOOKUP(transactions_table8[[#This Row],[market_code]],markets_table!$A:$C,3,0)</f>
        <v>North</v>
      </c>
      <c r="K58" t="str">
        <f>VLOOKUP(transactions_table8[[#This Row],[customer_code]],customer_table!$A:$B,2,0)</f>
        <v>Info Stores</v>
      </c>
      <c r="L58" t="str">
        <f>VLOOKUP(transactions_table8[[#This Row],[customer_code]],customer_table!$A:$C,3,0)</f>
        <v>Brick &amp; Mortar</v>
      </c>
      <c r="M58">
        <f>IF(TRIM(CLEAN(transactions_table8[[#This Row],[currency]]))="USD",transactions_table8[[#This Row],[sales_amount]]*83,transactions_table8[[#This Row],[sales_amount]])</f>
        <v>472</v>
      </c>
    </row>
    <row r="59" spans="1:13" x14ac:dyDescent="0.3">
      <c r="A59" t="s">
        <v>179</v>
      </c>
      <c r="B59" t="s">
        <v>16</v>
      </c>
      <c r="C59" t="s">
        <v>144</v>
      </c>
      <c r="D59" s="1">
        <v>43511</v>
      </c>
      <c r="E59">
        <v>1</v>
      </c>
      <c r="F59">
        <v>472</v>
      </c>
      <c r="G59" t="s">
        <v>460</v>
      </c>
      <c r="H59" t="str">
        <f>VLOOKUP(A59, product_table!$A:$C, 3, 0)</f>
        <v>Own Brand</v>
      </c>
      <c r="I59" t="str">
        <f>VLOOKUP(transactions_table8[[#This Row],[market_code]],markets_table!$A:$B,2,0)</f>
        <v>Delhi NCR</v>
      </c>
      <c r="J59" t="str">
        <f>VLOOKUP(transactions_table8[[#This Row],[market_code]],markets_table!$A:$C,3,0)</f>
        <v>North</v>
      </c>
      <c r="K59" t="str">
        <f>VLOOKUP(transactions_table8[[#This Row],[customer_code]],customer_table!$A:$B,2,0)</f>
        <v>Info Stores</v>
      </c>
      <c r="L59" t="str">
        <f>VLOOKUP(transactions_table8[[#This Row],[customer_code]],customer_table!$A:$C,3,0)</f>
        <v>Brick &amp; Mortar</v>
      </c>
      <c r="M59">
        <f>IF(TRIM(CLEAN(transactions_table8[[#This Row],[currency]]))="USD",transactions_table8[[#This Row],[sales_amount]]*83,transactions_table8[[#This Row],[sales_amount]])</f>
        <v>472</v>
      </c>
    </row>
    <row r="60" spans="1:13" x14ac:dyDescent="0.3">
      <c r="A60" t="s">
        <v>179</v>
      </c>
      <c r="B60" t="s">
        <v>16</v>
      </c>
      <c r="C60" t="s">
        <v>144</v>
      </c>
      <c r="D60" s="1">
        <v>43518</v>
      </c>
      <c r="E60">
        <v>1</v>
      </c>
      <c r="F60">
        <v>315</v>
      </c>
      <c r="G60" t="s">
        <v>460</v>
      </c>
      <c r="H60" t="str">
        <f>VLOOKUP(A60, product_table!$A:$C, 3, 0)</f>
        <v>Own Brand</v>
      </c>
      <c r="I60" t="str">
        <f>VLOOKUP(transactions_table8[[#This Row],[market_code]],markets_table!$A:$B,2,0)</f>
        <v>Delhi NCR</v>
      </c>
      <c r="J60" t="str">
        <f>VLOOKUP(transactions_table8[[#This Row],[market_code]],markets_table!$A:$C,3,0)</f>
        <v>North</v>
      </c>
      <c r="K60" t="str">
        <f>VLOOKUP(transactions_table8[[#This Row],[customer_code]],customer_table!$A:$B,2,0)</f>
        <v>Info Stores</v>
      </c>
      <c r="L60" t="str">
        <f>VLOOKUP(transactions_table8[[#This Row],[customer_code]],customer_table!$A:$C,3,0)</f>
        <v>Brick &amp; Mortar</v>
      </c>
      <c r="M60">
        <f>IF(TRIM(CLEAN(transactions_table8[[#This Row],[currency]]))="USD",transactions_table8[[#This Row],[sales_amount]]*83,transactions_table8[[#This Row],[sales_amount]])</f>
        <v>315</v>
      </c>
    </row>
    <row r="61" spans="1:13" x14ac:dyDescent="0.3">
      <c r="A61" t="s">
        <v>179</v>
      </c>
      <c r="B61" t="s">
        <v>16</v>
      </c>
      <c r="C61" t="s">
        <v>144</v>
      </c>
      <c r="D61" s="1">
        <v>43525</v>
      </c>
      <c r="E61">
        <v>1</v>
      </c>
      <c r="F61">
        <v>472</v>
      </c>
      <c r="G61" t="s">
        <v>460</v>
      </c>
      <c r="H61" t="str">
        <f>VLOOKUP(A61, product_table!$A:$C, 3, 0)</f>
        <v>Own Brand</v>
      </c>
      <c r="I61" t="str">
        <f>VLOOKUP(transactions_table8[[#This Row],[market_code]],markets_table!$A:$B,2,0)</f>
        <v>Delhi NCR</v>
      </c>
      <c r="J61" t="str">
        <f>VLOOKUP(transactions_table8[[#This Row],[market_code]],markets_table!$A:$C,3,0)</f>
        <v>North</v>
      </c>
      <c r="K61" t="str">
        <f>VLOOKUP(transactions_table8[[#This Row],[customer_code]],customer_table!$A:$B,2,0)</f>
        <v>Info Stores</v>
      </c>
      <c r="L61" t="str">
        <f>VLOOKUP(transactions_table8[[#This Row],[customer_code]],customer_table!$A:$C,3,0)</f>
        <v>Brick &amp; Mortar</v>
      </c>
      <c r="M61">
        <f>IF(TRIM(CLEAN(transactions_table8[[#This Row],[currency]]))="USD",transactions_table8[[#This Row],[sales_amount]]*83,transactions_table8[[#This Row],[sales_amount]])</f>
        <v>472</v>
      </c>
    </row>
    <row r="62" spans="1:13" x14ac:dyDescent="0.3">
      <c r="A62" t="s">
        <v>179</v>
      </c>
      <c r="B62" t="s">
        <v>16</v>
      </c>
      <c r="C62" t="s">
        <v>144</v>
      </c>
      <c r="D62" s="1">
        <v>43532</v>
      </c>
      <c r="E62">
        <v>1</v>
      </c>
      <c r="F62">
        <v>315</v>
      </c>
      <c r="G62" t="s">
        <v>460</v>
      </c>
      <c r="H62" t="str">
        <f>VLOOKUP(A62, product_table!$A:$C, 3, 0)</f>
        <v>Own Brand</v>
      </c>
      <c r="I62" t="str">
        <f>VLOOKUP(transactions_table8[[#This Row],[market_code]],markets_table!$A:$B,2,0)</f>
        <v>Delhi NCR</v>
      </c>
      <c r="J62" t="str">
        <f>VLOOKUP(transactions_table8[[#This Row],[market_code]],markets_table!$A:$C,3,0)</f>
        <v>North</v>
      </c>
      <c r="K62" t="str">
        <f>VLOOKUP(transactions_table8[[#This Row],[customer_code]],customer_table!$A:$B,2,0)</f>
        <v>Info Stores</v>
      </c>
      <c r="L62" t="str">
        <f>VLOOKUP(transactions_table8[[#This Row],[customer_code]],customer_table!$A:$C,3,0)</f>
        <v>Brick &amp; Mortar</v>
      </c>
      <c r="M62">
        <f>IF(TRIM(CLEAN(transactions_table8[[#This Row],[currency]]))="USD",transactions_table8[[#This Row],[sales_amount]]*83,transactions_table8[[#This Row],[sales_amount]])</f>
        <v>315</v>
      </c>
    </row>
    <row r="63" spans="1:13" x14ac:dyDescent="0.3">
      <c r="A63" t="s">
        <v>179</v>
      </c>
      <c r="B63" t="s">
        <v>16</v>
      </c>
      <c r="C63" t="s">
        <v>144</v>
      </c>
      <c r="D63" s="1">
        <v>43539</v>
      </c>
      <c r="E63">
        <v>1</v>
      </c>
      <c r="F63">
        <v>157</v>
      </c>
      <c r="G63" t="s">
        <v>460</v>
      </c>
      <c r="H63" t="str">
        <f>VLOOKUP(A63, product_table!$A:$C, 3, 0)</f>
        <v>Own Brand</v>
      </c>
      <c r="I63" t="str">
        <f>VLOOKUP(transactions_table8[[#This Row],[market_code]],markets_table!$A:$B,2,0)</f>
        <v>Delhi NCR</v>
      </c>
      <c r="J63" t="str">
        <f>VLOOKUP(transactions_table8[[#This Row],[market_code]],markets_table!$A:$C,3,0)</f>
        <v>North</v>
      </c>
      <c r="K63" t="str">
        <f>VLOOKUP(transactions_table8[[#This Row],[customer_code]],customer_table!$A:$B,2,0)</f>
        <v>Info Stores</v>
      </c>
      <c r="L63" t="str">
        <f>VLOOKUP(transactions_table8[[#This Row],[customer_code]],customer_table!$A:$C,3,0)</f>
        <v>Brick &amp; Mortar</v>
      </c>
      <c r="M63">
        <f>IF(TRIM(CLEAN(transactions_table8[[#This Row],[currency]]))="USD",transactions_table8[[#This Row],[sales_amount]]*83,transactions_table8[[#This Row],[sales_amount]])</f>
        <v>157</v>
      </c>
    </row>
    <row r="64" spans="1:13" x14ac:dyDescent="0.3">
      <c r="A64" t="s">
        <v>179</v>
      </c>
      <c r="B64" t="s">
        <v>16</v>
      </c>
      <c r="C64" t="s">
        <v>144</v>
      </c>
      <c r="D64" s="1">
        <v>43546</v>
      </c>
      <c r="E64">
        <v>1</v>
      </c>
      <c r="F64">
        <v>315</v>
      </c>
      <c r="G64" t="s">
        <v>460</v>
      </c>
      <c r="H64" t="str">
        <f>VLOOKUP(A64, product_table!$A:$C, 3, 0)</f>
        <v>Own Brand</v>
      </c>
      <c r="I64" t="str">
        <f>VLOOKUP(transactions_table8[[#This Row],[market_code]],markets_table!$A:$B,2,0)</f>
        <v>Delhi NCR</v>
      </c>
      <c r="J64" t="str">
        <f>VLOOKUP(transactions_table8[[#This Row],[market_code]],markets_table!$A:$C,3,0)</f>
        <v>North</v>
      </c>
      <c r="K64" t="str">
        <f>VLOOKUP(transactions_table8[[#This Row],[customer_code]],customer_table!$A:$B,2,0)</f>
        <v>Info Stores</v>
      </c>
      <c r="L64" t="str">
        <f>VLOOKUP(transactions_table8[[#This Row],[customer_code]],customer_table!$A:$C,3,0)</f>
        <v>Brick &amp; Mortar</v>
      </c>
      <c r="M64">
        <f>IF(TRIM(CLEAN(transactions_table8[[#This Row],[currency]]))="USD",transactions_table8[[#This Row],[sales_amount]]*83,transactions_table8[[#This Row],[sales_amount]])</f>
        <v>315</v>
      </c>
    </row>
    <row r="65" spans="1:13" x14ac:dyDescent="0.3">
      <c r="A65" t="s">
        <v>179</v>
      </c>
      <c r="B65" t="s">
        <v>16</v>
      </c>
      <c r="C65" t="s">
        <v>144</v>
      </c>
      <c r="D65" s="1">
        <v>43553</v>
      </c>
      <c r="E65">
        <v>1</v>
      </c>
      <c r="F65">
        <v>315</v>
      </c>
      <c r="G65" t="s">
        <v>460</v>
      </c>
      <c r="H65" t="str">
        <f>VLOOKUP(A65, product_table!$A:$C, 3, 0)</f>
        <v>Own Brand</v>
      </c>
      <c r="I65" t="str">
        <f>VLOOKUP(transactions_table8[[#This Row],[market_code]],markets_table!$A:$B,2,0)</f>
        <v>Delhi NCR</v>
      </c>
      <c r="J65" t="str">
        <f>VLOOKUP(transactions_table8[[#This Row],[market_code]],markets_table!$A:$C,3,0)</f>
        <v>North</v>
      </c>
      <c r="K65" t="str">
        <f>VLOOKUP(transactions_table8[[#This Row],[customer_code]],customer_table!$A:$B,2,0)</f>
        <v>Info Stores</v>
      </c>
      <c r="L65" t="str">
        <f>VLOOKUP(transactions_table8[[#This Row],[customer_code]],customer_table!$A:$C,3,0)</f>
        <v>Brick &amp; Mortar</v>
      </c>
      <c r="M65">
        <f>IF(TRIM(CLEAN(transactions_table8[[#This Row],[currency]]))="USD",transactions_table8[[#This Row],[sales_amount]]*83,transactions_table8[[#This Row],[sales_amount]])</f>
        <v>315</v>
      </c>
    </row>
    <row r="66" spans="1:13" x14ac:dyDescent="0.3">
      <c r="A66" t="s">
        <v>179</v>
      </c>
      <c r="B66" t="s">
        <v>16</v>
      </c>
      <c r="C66" t="s">
        <v>144</v>
      </c>
      <c r="D66" s="1">
        <v>43560</v>
      </c>
      <c r="E66">
        <v>1</v>
      </c>
      <c r="F66">
        <v>315</v>
      </c>
      <c r="G66" t="s">
        <v>460</v>
      </c>
      <c r="H66" t="str">
        <f>VLOOKUP(A66, product_table!$A:$C, 3, 0)</f>
        <v>Own Brand</v>
      </c>
      <c r="I66" t="str">
        <f>VLOOKUP(transactions_table8[[#This Row],[market_code]],markets_table!$A:$B,2,0)</f>
        <v>Delhi NCR</v>
      </c>
      <c r="J66" t="str">
        <f>VLOOKUP(transactions_table8[[#This Row],[market_code]],markets_table!$A:$C,3,0)</f>
        <v>North</v>
      </c>
      <c r="K66" t="str">
        <f>VLOOKUP(transactions_table8[[#This Row],[customer_code]],customer_table!$A:$B,2,0)</f>
        <v>Info Stores</v>
      </c>
      <c r="L66" t="str">
        <f>VLOOKUP(transactions_table8[[#This Row],[customer_code]],customer_table!$A:$C,3,0)</f>
        <v>Brick &amp; Mortar</v>
      </c>
      <c r="M66">
        <f>IF(TRIM(CLEAN(transactions_table8[[#This Row],[currency]]))="USD",transactions_table8[[#This Row],[sales_amount]]*83,transactions_table8[[#This Row],[sales_amount]])</f>
        <v>315</v>
      </c>
    </row>
    <row r="67" spans="1:13" x14ac:dyDescent="0.3">
      <c r="A67" t="s">
        <v>179</v>
      </c>
      <c r="B67" t="s">
        <v>16</v>
      </c>
      <c r="C67" t="s">
        <v>144</v>
      </c>
      <c r="D67" s="1">
        <v>43567</v>
      </c>
      <c r="E67">
        <v>1</v>
      </c>
      <c r="F67">
        <v>787</v>
      </c>
      <c r="G67" t="s">
        <v>460</v>
      </c>
      <c r="H67" t="str">
        <f>VLOOKUP(A67, product_table!$A:$C, 3, 0)</f>
        <v>Own Brand</v>
      </c>
      <c r="I67" t="str">
        <f>VLOOKUP(transactions_table8[[#This Row],[market_code]],markets_table!$A:$B,2,0)</f>
        <v>Delhi NCR</v>
      </c>
      <c r="J67" t="str">
        <f>VLOOKUP(transactions_table8[[#This Row],[market_code]],markets_table!$A:$C,3,0)</f>
        <v>North</v>
      </c>
      <c r="K67" t="str">
        <f>VLOOKUP(transactions_table8[[#This Row],[customer_code]],customer_table!$A:$B,2,0)</f>
        <v>Info Stores</v>
      </c>
      <c r="L67" t="str">
        <f>VLOOKUP(transactions_table8[[#This Row],[customer_code]],customer_table!$A:$C,3,0)</f>
        <v>Brick &amp; Mortar</v>
      </c>
      <c r="M67">
        <f>IF(TRIM(CLEAN(transactions_table8[[#This Row],[currency]]))="USD",transactions_table8[[#This Row],[sales_amount]]*83,transactions_table8[[#This Row],[sales_amount]])</f>
        <v>787</v>
      </c>
    </row>
    <row r="68" spans="1:13" x14ac:dyDescent="0.3">
      <c r="A68" t="s">
        <v>179</v>
      </c>
      <c r="B68" t="s">
        <v>16</v>
      </c>
      <c r="C68" t="s">
        <v>144</v>
      </c>
      <c r="D68" s="1">
        <v>43578</v>
      </c>
      <c r="E68">
        <v>1</v>
      </c>
      <c r="F68">
        <v>630</v>
      </c>
      <c r="G68" t="s">
        <v>460</v>
      </c>
      <c r="H68" t="str">
        <f>VLOOKUP(A68, product_table!$A:$C, 3, 0)</f>
        <v>Own Brand</v>
      </c>
      <c r="I68" t="str">
        <f>VLOOKUP(transactions_table8[[#This Row],[market_code]],markets_table!$A:$B,2,0)</f>
        <v>Delhi NCR</v>
      </c>
      <c r="J68" t="str">
        <f>VLOOKUP(transactions_table8[[#This Row],[market_code]],markets_table!$A:$C,3,0)</f>
        <v>North</v>
      </c>
      <c r="K68" t="str">
        <f>VLOOKUP(transactions_table8[[#This Row],[customer_code]],customer_table!$A:$B,2,0)</f>
        <v>Info Stores</v>
      </c>
      <c r="L68" t="str">
        <f>VLOOKUP(transactions_table8[[#This Row],[customer_code]],customer_table!$A:$C,3,0)</f>
        <v>Brick &amp; Mortar</v>
      </c>
      <c r="M68">
        <f>IF(TRIM(CLEAN(transactions_table8[[#This Row],[currency]]))="USD",transactions_table8[[#This Row],[sales_amount]]*83,transactions_table8[[#This Row],[sales_amount]])</f>
        <v>630</v>
      </c>
    </row>
    <row r="69" spans="1:13" x14ac:dyDescent="0.3">
      <c r="A69" t="s">
        <v>179</v>
      </c>
      <c r="B69" t="s">
        <v>16</v>
      </c>
      <c r="C69" t="s">
        <v>144</v>
      </c>
      <c r="D69" s="1">
        <v>43584</v>
      </c>
      <c r="E69">
        <v>1</v>
      </c>
      <c r="F69">
        <v>472</v>
      </c>
      <c r="G69" t="s">
        <v>460</v>
      </c>
      <c r="H69" t="str">
        <f>VLOOKUP(A69, product_table!$A:$C, 3, 0)</f>
        <v>Own Brand</v>
      </c>
      <c r="I69" t="str">
        <f>VLOOKUP(transactions_table8[[#This Row],[market_code]],markets_table!$A:$B,2,0)</f>
        <v>Delhi NCR</v>
      </c>
      <c r="J69" t="str">
        <f>VLOOKUP(transactions_table8[[#This Row],[market_code]],markets_table!$A:$C,3,0)</f>
        <v>North</v>
      </c>
      <c r="K69" t="str">
        <f>VLOOKUP(transactions_table8[[#This Row],[customer_code]],customer_table!$A:$B,2,0)</f>
        <v>Info Stores</v>
      </c>
      <c r="L69" t="str">
        <f>VLOOKUP(transactions_table8[[#This Row],[customer_code]],customer_table!$A:$C,3,0)</f>
        <v>Brick &amp; Mortar</v>
      </c>
      <c r="M69">
        <f>IF(TRIM(CLEAN(transactions_table8[[#This Row],[currency]]))="USD",transactions_table8[[#This Row],[sales_amount]]*83,transactions_table8[[#This Row],[sales_amount]])</f>
        <v>472</v>
      </c>
    </row>
    <row r="70" spans="1:13" x14ac:dyDescent="0.3">
      <c r="A70" t="s">
        <v>179</v>
      </c>
      <c r="B70" t="s">
        <v>16</v>
      </c>
      <c r="C70" t="s">
        <v>144</v>
      </c>
      <c r="D70" s="1">
        <v>43591</v>
      </c>
      <c r="E70">
        <v>1</v>
      </c>
      <c r="F70">
        <v>315</v>
      </c>
      <c r="G70" t="s">
        <v>460</v>
      </c>
      <c r="H70" t="str">
        <f>VLOOKUP(A70, product_table!$A:$C, 3, 0)</f>
        <v>Own Brand</v>
      </c>
      <c r="I70" t="str">
        <f>VLOOKUP(transactions_table8[[#This Row],[market_code]],markets_table!$A:$B,2,0)</f>
        <v>Delhi NCR</v>
      </c>
      <c r="J70" t="str">
        <f>VLOOKUP(transactions_table8[[#This Row],[market_code]],markets_table!$A:$C,3,0)</f>
        <v>North</v>
      </c>
      <c r="K70" t="str">
        <f>VLOOKUP(transactions_table8[[#This Row],[customer_code]],customer_table!$A:$B,2,0)</f>
        <v>Info Stores</v>
      </c>
      <c r="L70" t="str">
        <f>VLOOKUP(transactions_table8[[#This Row],[customer_code]],customer_table!$A:$C,3,0)</f>
        <v>Brick &amp; Mortar</v>
      </c>
      <c r="M70">
        <f>IF(TRIM(CLEAN(transactions_table8[[#This Row],[currency]]))="USD",transactions_table8[[#This Row],[sales_amount]]*83,transactions_table8[[#This Row],[sales_amount]])</f>
        <v>315</v>
      </c>
    </row>
    <row r="71" spans="1:13" x14ac:dyDescent="0.3">
      <c r="A71" t="s">
        <v>179</v>
      </c>
      <c r="B71" t="s">
        <v>16</v>
      </c>
      <c r="C71" t="s">
        <v>144</v>
      </c>
      <c r="D71" s="1">
        <v>43595</v>
      </c>
      <c r="E71">
        <v>1</v>
      </c>
      <c r="F71">
        <v>787</v>
      </c>
      <c r="G71" t="s">
        <v>460</v>
      </c>
      <c r="H71" t="str">
        <f>VLOOKUP(A71, product_table!$A:$C, 3, 0)</f>
        <v>Own Brand</v>
      </c>
      <c r="I71" t="str">
        <f>VLOOKUP(transactions_table8[[#This Row],[market_code]],markets_table!$A:$B,2,0)</f>
        <v>Delhi NCR</v>
      </c>
      <c r="J71" t="str">
        <f>VLOOKUP(transactions_table8[[#This Row],[market_code]],markets_table!$A:$C,3,0)</f>
        <v>North</v>
      </c>
      <c r="K71" t="str">
        <f>VLOOKUP(transactions_table8[[#This Row],[customer_code]],customer_table!$A:$B,2,0)</f>
        <v>Info Stores</v>
      </c>
      <c r="L71" t="str">
        <f>VLOOKUP(transactions_table8[[#This Row],[customer_code]],customer_table!$A:$C,3,0)</f>
        <v>Brick &amp; Mortar</v>
      </c>
      <c r="M71">
        <f>IF(TRIM(CLEAN(transactions_table8[[#This Row],[currency]]))="USD",transactions_table8[[#This Row],[sales_amount]]*83,transactions_table8[[#This Row],[sales_amount]])</f>
        <v>787</v>
      </c>
    </row>
    <row r="72" spans="1:13" x14ac:dyDescent="0.3">
      <c r="A72" t="s">
        <v>179</v>
      </c>
      <c r="B72" t="s">
        <v>16</v>
      </c>
      <c r="C72" t="s">
        <v>144</v>
      </c>
      <c r="D72" s="1">
        <v>43602</v>
      </c>
      <c r="E72">
        <v>1</v>
      </c>
      <c r="F72">
        <v>1102</v>
      </c>
      <c r="G72" t="s">
        <v>460</v>
      </c>
      <c r="H72" t="str">
        <f>VLOOKUP(A72, product_table!$A:$C, 3, 0)</f>
        <v>Own Brand</v>
      </c>
      <c r="I72" t="str">
        <f>VLOOKUP(transactions_table8[[#This Row],[market_code]],markets_table!$A:$B,2,0)</f>
        <v>Delhi NCR</v>
      </c>
      <c r="J72" t="str">
        <f>VLOOKUP(transactions_table8[[#This Row],[market_code]],markets_table!$A:$C,3,0)</f>
        <v>North</v>
      </c>
      <c r="K72" t="str">
        <f>VLOOKUP(transactions_table8[[#This Row],[customer_code]],customer_table!$A:$B,2,0)</f>
        <v>Info Stores</v>
      </c>
      <c r="L72" t="str">
        <f>VLOOKUP(transactions_table8[[#This Row],[customer_code]],customer_table!$A:$C,3,0)</f>
        <v>Brick &amp; Mortar</v>
      </c>
      <c r="M72">
        <f>IF(TRIM(CLEAN(transactions_table8[[#This Row],[currency]]))="USD",transactions_table8[[#This Row],[sales_amount]]*83,transactions_table8[[#This Row],[sales_amount]])</f>
        <v>1102</v>
      </c>
    </row>
    <row r="73" spans="1:13" x14ac:dyDescent="0.3">
      <c r="A73" t="s">
        <v>179</v>
      </c>
      <c r="B73" t="s">
        <v>16</v>
      </c>
      <c r="C73" t="s">
        <v>144</v>
      </c>
      <c r="D73" s="1">
        <v>43619</v>
      </c>
      <c r="E73">
        <v>1</v>
      </c>
      <c r="F73">
        <v>787</v>
      </c>
      <c r="G73" t="s">
        <v>460</v>
      </c>
      <c r="H73" t="str">
        <f>VLOOKUP(A73, product_table!$A:$C, 3, 0)</f>
        <v>Own Brand</v>
      </c>
      <c r="I73" t="str">
        <f>VLOOKUP(transactions_table8[[#This Row],[market_code]],markets_table!$A:$B,2,0)</f>
        <v>Delhi NCR</v>
      </c>
      <c r="J73" t="str">
        <f>VLOOKUP(transactions_table8[[#This Row],[market_code]],markets_table!$A:$C,3,0)</f>
        <v>North</v>
      </c>
      <c r="K73" t="str">
        <f>VLOOKUP(transactions_table8[[#This Row],[customer_code]],customer_table!$A:$B,2,0)</f>
        <v>Info Stores</v>
      </c>
      <c r="L73" t="str">
        <f>VLOOKUP(transactions_table8[[#This Row],[customer_code]],customer_table!$A:$C,3,0)</f>
        <v>Brick &amp; Mortar</v>
      </c>
      <c r="M73">
        <f>IF(TRIM(CLEAN(transactions_table8[[#This Row],[currency]]))="USD",transactions_table8[[#This Row],[sales_amount]]*83,transactions_table8[[#This Row],[sales_amount]])</f>
        <v>787</v>
      </c>
    </row>
    <row r="74" spans="1:13" x14ac:dyDescent="0.3">
      <c r="A74" t="s">
        <v>179</v>
      </c>
      <c r="B74" t="s">
        <v>16</v>
      </c>
      <c r="C74" t="s">
        <v>144</v>
      </c>
      <c r="D74" s="1">
        <v>43623</v>
      </c>
      <c r="E74">
        <v>1</v>
      </c>
      <c r="F74">
        <v>157</v>
      </c>
      <c r="G74" t="s">
        <v>460</v>
      </c>
      <c r="H74" t="str">
        <f>VLOOKUP(A74, product_table!$A:$C, 3, 0)</f>
        <v>Own Brand</v>
      </c>
      <c r="I74" t="str">
        <f>VLOOKUP(transactions_table8[[#This Row],[market_code]],markets_table!$A:$B,2,0)</f>
        <v>Delhi NCR</v>
      </c>
      <c r="J74" t="str">
        <f>VLOOKUP(transactions_table8[[#This Row],[market_code]],markets_table!$A:$C,3,0)</f>
        <v>North</v>
      </c>
      <c r="K74" t="str">
        <f>VLOOKUP(transactions_table8[[#This Row],[customer_code]],customer_table!$A:$B,2,0)</f>
        <v>Info Stores</v>
      </c>
      <c r="L74" t="str">
        <f>VLOOKUP(transactions_table8[[#This Row],[customer_code]],customer_table!$A:$C,3,0)</f>
        <v>Brick &amp; Mortar</v>
      </c>
      <c r="M74">
        <f>IF(TRIM(CLEAN(transactions_table8[[#This Row],[currency]]))="USD",transactions_table8[[#This Row],[sales_amount]]*83,transactions_table8[[#This Row],[sales_amount]])</f>
        <v>157</v>
      </c>
    </row>
    <row r="75" spans="1:13" x14ac:dyDescent="0.3">
      <c r="A75" t="s">
        <v>179</v>
      </c>
      <c r="B75" t="s">
        <v>16</v>
      </c>
      <c r="C75" t="s">
        <v>144</v>
      </c>
      <c r="D75" s="1">
        <v>43633</v>
      </c>
      <c r="E75">
        <v>1</v>
      </c>
      <c r="F75">
        <v>315</v>
      </c>
      <c r="G75" t="s">
        <v>460</v>
      </c>
      <c r="H75" t="str">
        <f>VLOOKUP(A75, product_table!$A:$C, 3, 0)</f>
        <v>Own Brand</v>
      </c>
      <c r="I75" t="str">
        <f>VLOOKUP(transactions_table8[[#This Row],[market_code]],markets_table!$A:$B,2,0)</f>
        <v>Delhi NCR</v>
      </c>
      <c r="J75" t="str">
        <f>VLOOKUP(transactions_table8[[#This Row],[market_code]],markets_table!$A:$C,3,0)</f>
        <v>North</v>
      </c>
      <c r="K75" t="str">
        <f>VLOOKUP(transactions_table8[[#This Row],[customer_code]],customer_table!$A:$B,2,0)</f>
        <v>Info Stores</v>
      </c>
      <c r="L75" t="str">
        <f>VLOOKUP(transactions_table8[[#This Row],[customer_code]],customer_table!$A:$C,3,0)</f>
        <v>Brick &amp; Mortar</v>
      </c>
      <c r="M75">
        <f>IF(TRIM(CLEAN(transactions_table8[[#This Row],[currency]]))="USD",transactions_table8[[#This Row],[sales_amount]]*83,transactions_table8[[#This Row],[sales_amount]])</f>
        <v>315</v>
      </c>
    </row>
    <row r="76" spans="1:13" x14ac:dyDescent="0.3">
      <c r="A76" t="s">
        <v>179</v>
      </c>
      <c r="B76" t="s">
        <v>16</v>
      </c>
      <c r="C76" t="s">
        <v>144</v>
      </c>
      <c r="D76" s="1">
        <v>43640</v>
      </c>
      <c r="E76">
        <v>1</v>
      </c>
      <c r="F76">
        <v>315</v>
      </c>
      <c r="G76" t="s">
        <v>460</v>
      </c>
      <c r="H76" t="str">
        <f>VLOOKUP(A76, product_table!$A:$C, 3, 0)</f>
        <v>Own Brand</v>
      </c>
      <c r="I76" t="str">
        <f>VLOOKUP(transactions_table8[[#This Row],[market_code]],markets_table!$A:$B,2,0)</f>
        <v>Delhi NCR</v>
      </c>
      <c r="J76" t="str">
        <f>VLOOKUP(transactions_table8[[#This Row],[market_code]],markets_table!$A:$C,3,0)</f>
        <v>North</v>
      </c>
      <c r="K76" t="str">
        <f>VLOOKUP(transactions_table8[[#This Row],[customer_code]],customer_table!$A:$B,2,0)</f>
        <v>Info Stores</v>
      </c>
      <c r="L76" t="str">
        <f>VLOOKUP(transactions_table8[[#This Row],[customer_code]],customer_table!$A:$C,3,0)</f>
        <v>Brick &amp; Mortar</v>
      </c>
      <c r="M76">
        <f>IF(TRIM(CLEAN(transactions_table8[[#This Row],[currency]]))="USD",transactions_table8[[#This Row],[sales_amount]]*83,transactions_table8[[#This Row],[sales_amount]])</f>
        <v>315</v>
      </c>
    </row>
    <row r="77" spans="1:13" x14ac:dyDescent="0.3">
      <c r="A77" t="s">
        <v>179</v>
      </c>
      <c r="B77" t="s">
        <v>16</v>
      </c>
      <c r="C77" t="s">
        <v>144</v>
      </c>
      <c r="D77" s="1">
        <v>43644</v>
      </c>
      <c r="E77">
        <v>1</v>
      </c>
      <c r="F77">
        <v>315</v>
      </c>
      <c r="G77" t="s">
        <v>460</v>
      </c>
      <c r="H77" t="str">
        <f>VLOOKUP(A77, product_table!$A:$C, 3, 0)</f>
        <v>Own Brand</v>
      </c>
      <c r="I77" t="str">
        <f>VLOOKUP(transactions_table8[[#This Row],[market_code]],markets_table!$A:$B,2,0)</f>
        <v>Delhi NCR</v>
      </c>
      <c r="J77" t="str">
        <f>VLOOKUP(transactions_table8[[#This Row],[market_code]],markets_table!$A:$C,3,0)</f>
        <v>North</v>
      </c>
      <c r="K77" t="str">
        <f>VLOOKUP(transactions_table8[[#This Row],[customer_code]],customer_table!$A:$B,2,0)</f>
        <v>Info Stores</v>
      </c>
      <c r="L77" t="str">
        <f>VLOOKUP(transactions_table8[[#This Row],[customer_code]],customer_table!$A:$C,3,0)</f>
        <v>Brick &amp; Mortar</v>
      </c>
      <c r="M77">
        <f>IF(TRIM(CLEAN(transactions_table8[[#This Row],[currency]]))="USD",transactions_table8[[#This Row],[sales_amount]]*83,transactions_table8[[#This Row],[sales_amount]])</f>
        <v>315</v>
      </c>
    </row>
    <row r="78" spans="1:13" x14ac:dyDescent="0.3">
      <c r="A78" t="s">
        <v>179</v>
      </c>
      <c r="B78" t="s">
        <v>16</v>
      </c>
      <c r="C78" t="s">
        <v>144</v>
      </c>
      <c r="D78" s="1">
        <v>43651</v>
      </c>
      <c r="E78">
        <v>1</v>
      </c>
      <c r="F78">
        <v>472</v>
      </c>
      <c r="G78" t="s">
        <v>460</v>
      </c>
      <c r="H78" t="str">
        <f>VLOOKUP(A78, product_table!$A:$C, 3, 0)</f>
        <v>Own Brand</v>
      </c>
      <c r="I78" t="str">
        <f>VLOOKUP(transactions_table8[[#This Row],[market_code]],markets_table!$A:$B,2,0)</f>
        <v>Delhi NCR</v>
      </c>
      <c r="J78" t="str">
        <f>VLOOKUP(transactions_table8[[#This Row],[market_code]],markets_table!$A:$C,3,0)</f>
        <v>North</v>
      </c>
      <c r="K78" t="str">
        <f>VLOOKUP(transactions_table8[[#This Row],[customer_code]],customer_table!$A:$B,2,0)</f>
        <v>Info Stores</v>
      </c>
      <c r="L78" t="str">
        <f>VLOOKUP(transactions_table8[[#This Row],[customer_code]],customer_table!$A:$C,3,0)</f>
        <v>Brick &amp; Mortar</v>
      </c>
      <c r="M78">
        <f>IF(TRIM(CLEAN(transactions_table8[[#This Row],[currency]]))="USD",transactions_table8[[#This Row],[sales_amount]]*83,transactions_table8[[#This Row],[sales_amount]])</f>
        <v>472</v>
      </c>
    </row>
    <row r="79" spans="1:13" x14ac:dyDescent="0.3">
      <c r="A79" t="s">
        <v>179</v>
      </c>
      <c r="B79" t="s">
        <v>16</v>
      </c>
      <c r="C79" t="s">
        <v>144</v>
      </c>
      <c r="D79" s="1">
        <v>43658</v>
      </c>
      <c r="E79">
        <v>1</v>
      </c>
      <c r="F79">
        <v>630</v>
      </c>
      <c r="G79" t="s">
        <v>460</v>
      </c>
      <c r="H79" t="str">
        <f>VLOOKUP(A79, product_table!$A:$C, 3, 0)</f>
        <v>Own Brand</v>
      </c>
      <c r="I79" t="str">
        <f>VLOOKUP(transactions_table8[[#This Row],[market_code]],markets_table!$A:$B,2,0)</f>
        <v>Delhi NCR</v>
      </c>
      <c r="J79" t="str">
        <f>VLOOKUP(transactions_table8[[#This Row],[market_code]],markets_table!$A:$C,3,0)</f>
        <v>North</v>
      </c>
      <c r="K79" t="str">
        <f>VLOOKUP(transactions_table8[[#This Row],[customer_code]],customer_table!$A:$B,2,0)</f>
        <v>Info Stores</v>
      </c>
      <c r="L79" t="str">
        <f>VLOOKUP(transactions_table8[[#This Row],[customer_code]],customer_table!$A:$C,3,0)</f>
        <v>Brick &amp; Mortar</v>
      </c>
      <c r="M79">
        <f>IF(TRIM(CLEAN(transactions_table8[[#This Row],[currency]]))="USD",transactions_table8[[#This Row],[sales_amount]]*83,transactions_table8[[#This Row],[sales_amount]])</f>
        <v>630</v>
      </c>
    </row>
    <row r="80" spans="1:13" x14ac:dyDescent="0.3">
      <c r="A80" t="s">
        <v>179</v>
      </c>
      <c r="B80" t="s">
        <v>16</v>
      </c>
      <c r="C80" t="s">
        <v>144</v>
      </c>
      <c r="D80" s="1">
        <v>43665</v>
      </c>
      <c r="E80">
        <v>1</v>
      </c>
      <c r="F80">
        <v>944</v>
      </c>
      <c r="G80" t="s">
        <v>460</v>
      </c>
      <c r="H80" t="str">
        <f>VLOOKUP(A80, product_table!$A:$C, 3, 0)</f>
        <v>Own Brand</v>
      </c>
      <c r="I80" t="str">
        <f>VLOOKUP(transactions_table8[[#This Row],[market_code]],markets_table!$A:$B,2,0)</f>
        <v>Delhi NCR</v>
      </c>
      <c r="J80" t="str">
        <f>VLOOKUP(transactions_table8[[#This Row],[market_code]],markets_table!$A:$C,3,0)</f>
        <v>North</v>
      </c>
      <c r="K80" t="str">
        <f>VLOOKUP(transactions_table8[[#This Row],[customer_code]],customer_table!$A:$B,2,0)</f>
        <v>Info Stores</v>
      </c>
      <c r="L80" t="str">
        <f>VLOOKUP(transactions_table8[[#This Row],[customer_code]],customer_table!$A:$C,3,0)</f>
        <v>Brick &amp; Mortar</v>
      </c>
      <c r="M80">
        <f>IF(TRIM(CLEAN(transactions_table8[[#This Row],[currency]]))="USD",transactions_table8[[#This Row],[sales_amount]]*83,transactions_table8[[#This Row],[sales_amount]])</f>
        <v>944</v>
      </c>
    </row>
    <row r="81" spans="1:13" x14ac:dyDescent="0.3">
      <c r="A81" t="s">
        <v>179</v>
      </c>
      <c r="B81" t="s">
        <v>16</v>
      </c>
      <c r="C81" t="s">
        <v>144</v>
      </c>
      <c r="D81" s="1">
        <v>43672</v>
      </c>
      <c r="E81">
        <v>2</v>
      </c>
      <c r="F81">
        <v>1417</v>
      </c>
      <c r="G81" t="s">
        <v>460</v>
      </c>
      <c r="H81" t="str">
        <f>VLOOKUP(A81, product_table!$A:$C, 3, 0)</f>
        <v>Own Brand</v>
      </c>
      <c r="I81" t="str">
        <f>VLOOKUP(transactions_table8[[#This Row],[market_code]],markets_table!$A:$B,2,0)</f>
        <v>Delhi NCR</v>
      </c>
      <c r="J81" t="str">
        <f>VLOOKUP(transactions_table8[[#This Row],[market_code]],markets_table!$A:$C,3,0)</f>
        <v>North</v>
      </c>
      <c r="K81" t="str">
        <f>VLOOKUP(transactions_table8[[#This Row],[customer_code]],customer_table!$A:$B,2,0)</f>
        <v>Info Stores</v>
      </c>
      <c r="L81" t="str">
        <f>VLOOKUP(transactions_table8[[#This Row],[customer_code]],customer_table!$A:$C,3,0)</f>
        <v>Brick &amp; Mortar</v>
      </c>
      <c r="M81">
        <f>IF(TRIM(CLEAN(transactions_table8[[#This Row],[currency]]))="USD",transactions_table8[[#This Row],[sales_amount]]*83,transactions_table8[[#This Row],[sales_amount]])</f>
        <v>1417</v>
      </c>
    </row>
    <row r="82" spans="1:13" x14ac:dyDescent="0.3">
      <c r="A82" t="s">
        <v>179</v>
      </c>
      <c r="B82" t="s">
        <v>16</v>
      </c>
      <c r="C82" t="s">
        <v>144</v>
      </c>
      <c r="D82" s="1">
        <v>43679</v>
      </c>
      <c r="E82">
        <v>2</v>
      </c>
      <c r="F82">
        <v>1417</v>
      </c>
      <c r="G82" t="s">
        <v>460</v>
      </c>
      <c r="H82" t="str">
        <f>VLOOKUP(A82, product_table!$A:$C, 3, 0)</f>
        <v>Own Brand</v>
      </c>
      <c r="I82" t="str">
        <f>VLOOKUP(transactions_table8[[#This Row],[market_code]],markets_table!$A:$B,2,0)</f>
        <v>Delhi NCR</v>
      </c>
      <c r="J82" t="str">
        <f>VLOOKUP(transactions_table8[[#This Row],[market_code]],markets_table!$A:$C,3,0)</f>
        <v>North</v>
      </c>
      <c r="K82" t="str">
        <f>VLOOKUP(transactions_table8[[#This Row],[customer_code]],customer_table!$A:$B,2,0)</f>
        <v>Info Stores</v>
      </c>
      <c r="L82" t="str">
        <f>VLOOKUP(transactions_table8[[#This Row],[customer_code]],customer_table!$A:$C,3,0)</f>
        <v>Brick &amp; Mortar</v>
      </c>
      <c r="M82">
        <f>IF(TRIM(CLEAN(transactions_table8[[#This Row],[currency]]))="USD",transactions_table8[[#This Row],[sales_amount]]*83,transactions_table8[[#This Row],[sales_amount]])</f>
        <v>1417</v>
      </c>
    </row>
    <row r="83" spans="1:13" x14ac:dyDescent="0.3">
      <c r="A83" t="s">
        <v>179</v>
      </c>
      <c r="B83" t="s">
        <v>16</v>
      </c>
      <c r="C83" t="s">
        <v>144</v>
      </c>
      <c r="D83" s="1">
        <v>43686</v>
      </c>
      <c r="E83">
        <v>1</v>
      </c>
      <c r="F83">
        <v>787</v>
      </c>
      <c r="G83" t="s">
        <v>460</v>
      </c>
      <c r="H83" t="str">
        <f>VLOOKUP(A83, product_table!$A:$C, 3, 0)</f>
        <v>Own Brand</v>
      </c>
      <c r="I83" t="str">
        <f>VLOOKUP(transactions_table8[[#This Row],[market_code]],markets_table!$A:$B,2,0)</f>
        <v>Delhi NCR</v>
      </c>
      <c r="J83" t="str">
        <f>VLOOKUP(transactions_table8[[#This Row],[market_code]],markets_table!$A:$C,3,0)</f>
        <v>North</v>
      </c>
      <c r="K83" t="str">
        <f>VLOOKUP(transactions_table8[[#This Row],[customer_code]],customer_table!$A:$B,2,0)</f>
        <v>Info Stores</v>
      </c>
      <c r="L83" t="str">
        <f>VLOOKUP(transactions_table8[[#This Row],[customer_code]],customer_table!$A:$C,3,0)</f>
        <v>Brick &amp; Mortar</v>
      </c>
      <c r="M83">
        <f>IF(TRIM(CLEAN(transactions_table8[[#This Row],[currency]]))="USD",transactions_table8[[#This Row],[sales_amount]]*83,transactions_table8[[#This Row],[sales_amount]])</f>
        <v>787</v>
      </c>
    </row>
    <row r="84" spans="1:13" x14ac:dyDescent="0.3">
      <c r="A84" t="s">
        <v>179</v>
      </c>
      <c r="B84" t="s">
        <v>16</v>
      </c>
      <c r="C84" t="s">
        <v>144</v>
      </c>
      <c r="D84" s="1">
        <v>43693</v>
      </c>
      <c r="E84">
        <v>1</v>
      </c>
      <c r="F84">
        <v>1259</v>
      </c>
      <c r="G84" t="s">
        <v>460</v>
      </c>
      <c r="H84" t="str">
        <f>VLOOKUP(A84, product_table!$A:$C, 3, 0)</f>
        <v>Own Brand</v>
      </c>
      <c r="I84" t="str">
        <f>VLOOKUP(transactions_table8[[#This Row],[market_code]],markets_table!$A:$B,2,0)</f>
        <v>Delhi NCR</v>
      </c>
      <c r="J84" t="str">
        <f>VLOOKUP(transactions_table8[[#This Row],[market_code]],markets_table!$A:$C,3,0)</f>
        <v>North</v>
      </c>
      <c r="K84" t="str">
        <f>VLOOKUP(transactions_table8[[#This Row],[customer_code]],customer_table!$A:$B,2,0)</f>
        <v>Info Stores</v>
      </c>
      <c r="L84" t="str">
        <f>VLOOKUP(transactions_table8[[#This Row],[customer_code]],customer_table!$A:$C,3,0)</f>
        <v>Brick &amp; Mortar</v>
      </c>
      <c r="M84">
        <f>IF(TRIM(CLEAN(transactions_table8[[#This Row],[currency]]))="USD",transactions_table8[[#This Row],[sales_amount]]*83,transactions_table8[[#This Row],[sales_amount]])</f>
        <v>1259</v>
      </c>
    </row>
    <row r="85" spans="1:13" x14ac:dyDescent="0.3">
      <c r="A85" t="s">
        <v>179</v>
      </c>
      <c r="B85" t="s">
        <v>16</v>
      </c>
      <c r="C85" t="s">
        <v>144</v>
      </c>
      <c r="D85" s="1">
        <v>43710</v>
      </c>
      <c r="E85">
        <v>2</v>
      </c>
      <c r="F85">
        <v>1574</v>
      </c>
      <c r="G85" t="s">
        <v>460</v>
      </c>
      <c r="H85" t="str">
        <f>VLOOKUP(A85, product_table!$A:$C, 3, 0)</f>
        <v>Own Brand</v>
      </c>
      <c r="I85" t="str">
        <f>VLOOKUP(transactions_table8[[#This Row],[market_code]],markets_table!$A:$B,2,0)</f>
        <v>Delhi NCR</v>
      </c>
      <c r="J85" t="str">
        <f>VLOOKUP(transactions_table8[[#This Row],[market_code]],markets_table!$A:$C,3,0)</f>
        <v>North</v>
      </c>
      <c r="K85" t="str">
        <f>VLOOKUP(transactions_table8[[#This Row],[customer_code]],customer_table!$A:$B,2,0)</f>
        <v>Info Stores</v>
      </c>
      <c r="L85" t="str">
        <f>VLOOKUP(transactions_table8[[#This Row],[customer_code]],customer_table!$A:$C,3,0)</f>
        <v>Brick &amp; Mortar</v>
      </c>
      <c r="M85">
        <f>IF(TRIM(CLEAN(transactions_table8[[#This Row],[currency]]))="USD",transactions_table8[[#This Row],[sales_amount]]*83,transactions_table8[[#This Row],[sales_amount]])</f>
        <v>1574</v>
      </c>
    </row>
    <row r="86" spans="1:13" x14ac:dyDescent="0.3">
      <c r="A86" t="s">
        <v>179</v>
      </c>
      <c r="B86" t="s">
        <v>16</v>
      </c>
      <c r="C86" t="s">
        <v>144</v>
      </c>
      <c r="D86" s="1">
        <v>43711</v>
      </c>
      <c r="E86">
        <v>1</v>
      </c>
      <c r="F86">
        <v>630</v>
      </c>
      <c r="G86" t="s">
        <v>460</v>
      </c>
      <c r="H86" t="str">
        <f>VLOOKUP(A86, product_table!$A:$C, 3, 0)</f>
        <v>Own Brand</v>
      </c>
      <c r="I86" t="str">
        <f>VLOOKUP(transactions_table8[[#This Row],[market_code]],markets_table!$A:$B,2,0)</f>
        <v>Delhi NCR</v>
      </c>
      <c r="J86" t="str">
        <f>VLOOKUP(transactions_table8[[#This Row],[market_code]],markets_table!$A:$C,3,0)</f>
        <v>North</v>
      </c>
      <c r="K86" t="str">
        <f>VLOOKUP(transactions_table8[[#This Row],[customer_code]],customer_table!$A:$B,2,0)</f>
        <v>Info Stores</v>
      </c>
      <c r="L86" t="str">
        <f>VLOOKUP(transactions_table8[[#This Row],[customer_code]],customer_table!$A:$C,3,0)</f>
        <v>Brick &amp; Mortar</v>
      </c>
      <c r="M86">
        <f>IF(TRIM(CLEAN(transactions_table8[[#This Row],[currency]]))="USD",transactions_table8[[#This Row],[sales_amount]]*83,transactions_table8[[#This Row],[sales_amount]])</f>
        <v>630</v>
      </c>
    </row>
    <row r="87" spans="1:13" x14ac:dyDescent="0.3">
      <c r="A87" t="s">
        <v>179</v>
      </c>
      <c r="B87" t="s">
        <v>16</v>
      </c>
      <c r="C87" t="s">
        <v>144</v>
      </c>
      <c r="D87" s="1">
        <v>43714</v>
      </c>
      <c r="E87">
        <v>1</v>
      </c>
      <c r="F87">
        <v>157</v>
      </c>
      <c r="G87" t="s">
        <v>460</v>
      </c>
      <c r="H87" t="str">
        <f>VLOOKUP(A87, product_table!$A:$C, 3, 0)</f>
        <v>Own Brand</v>
      </c>
      <c r="I87" t="str">
        <f>VLOOKUP(transactions_table8[[#This Row],[market_code]],markets_table!$A:$B,2,0)</f>
        <v>Delhi NCR</v>
      </c>
      <c r="J87" t="str">
        <f>VLOOKUP(transactions_table8[[#This Row],[market_code]],markets_table!$A:$C,3,0)</f>
        <v>North</v>
      </c>
      <c r="K87" t="str">
        <f>VLOOKUP(transactions_table8[[#This Row],[customer_code]],customer_table!$A:$B,2,0)</f>
        <v>Info Stores</v>
      </c>
      <c r="L87" t="str">
        <f>VLOOKUP(transactions_table8[[#This Row],[customer_code]],customer_table!$A:$C,3,0)</f>
        <v>Brick &amp; Mortar</v>
      </c>
      <c r="M87">
        <f>IF(TRIM(CLEAN(transactions_table8[[#This Row],[currency]]))="USD",transactions_table8[[#This Row],[sales_amount]]*83,transactions_table8[[#This Row],[sales_amount]])</f>
        <v>157</v>
      </c>
    </row>
    <row r="88" spans="1:13" x14ac:dyDescent="0.3">
      <c r="A88" t="s">
        <v>179</v>
      </c>
      <c r="B88" t="s">
        <v>16</v>
      </c>
      <c r="C88" t="s">
        <v>144</v>
      </c>
      <c r="D88" s="1">
        <v>43721</v>
      </c>
      <c r="E88">
        <v>2</v>
      </c>
      <c r="F88">
        <v>1417</v>
      </c>
      <c r="G88" t="s">
        <v>460</v>
      </c>
      <c r="H88" t="str">
        <f>VLOOKUP(A88, product_table!$A:$C, 3, 0)</f>
        <v>Own Brand</v>
      </c>
      <c r="I88" t="str">
        <f>VLOOKUP(transactions_table8[[#This Row],[market_code]],markets_table!$A:$B,2,0)</f>
        <v>Delhi NCR</v>
      </c>
      <c r="J88" t="str">
        <f>VLOOKUP(transactions_table8[[#This Row],[market_code]],markets_table!$A:$C,3,0)</f>
        <v>North</v>
      </c>
      <c r="K88" t="str">
        <f>VLOOKUP(transactions_table8[[#This Row],[customer_code]],customer_table!$A:$B,2,0)</f>
        <v>Info Stores</v>
      </c>
      <c r="L88" t="str">
        <f>VLOOKUP(transactions_table8[[#This Row],[customer_code]],customer_table!$A:$C,3,0)</f>
        <v>Brick &amp; Mortar</v>
      </c>
      <c r="M88">
        <f>IF(TRIM(CLEAN(transactions_table8[[#This Row],[currency]]))="USD",transactions_table8[[#This Row],[sales_amount]]*83,transactions_table8[[#This Row],[sales_amount]])</f>
        <v>1417</v>
      </c>
    </row>
    <row r="89" spans="1:13" x14ac:dyDescent="0.3">
      <c r="A89" t="s">
        <v>179</v>
      </c>
      <c r="B89" t="s">
        <v>16</v>
      </c>
      <c r="C89" t="s">
        <v>144</v>
      </c>
      <c r="D89" s="1">
        <v>43728</v>
      </c>
      <c r="E89">
        <v>1</v>
      </c>
      <c r="F89">
        <v>630</v>
      </c>
      <c r="G89" t="s">
        <v>460</v>
      </c>
      <c r="H89" t="str">
        <f>VLOOKUP(A89, product_table!$A:$C, 3, 0)</f>
        <v>Own Brand</v>
      </c>
      <c r="I89" t="str">
        <f>VLOOKUP(transactions_table8[[#This Row],[market_code]],markets_table!$A:$B,2,0)</f>
        <v>Delhi NCR</v>
      </c>
      <c r="J89" t="str">
        <f>VLOOKUP(transactions_table8[[#This Row],[market_code]],markets_table!$A:$C,3,0)</f>
        <v>North</v>
      </c>
      <c r="K89" t="str">
        <f>VLOOKUP(transactions_table8[[#This Row],[customer_code]],customer_table!$A:$B,2,0)</f>
        <v>Info Stores</v>
      </c>
      <c r="L89" t="str">
        <f>VLOOKUP(transactions_table8[[#This Row],[customer_code]],customer_table!$A:$C,3,0)</f>
        <v>Brick &amp; Mortar</v>
      </c>
      <c r="M89">
        <f>IF(TRIM(CLEAN(transactions_table8[[#This Row],[currency]]))="USD",transactions_table8[[#This Row],[sales_amount]]*83,transactions_table8[[#This Row],[sales_amount]])</f>
        <v>630</v>
      </c>
    </row>
    <row r="90" spans="1:13" x14ac:dyDescent="0.3">
      <c r="A90" t="s">
        <v>179</v>
      </c>
      <c r="B90" t="s">
        <v>16</v>
      </c>
      <c r="C90" t="s">
        <v>144</v>
      </c>
      <c r="D90" s="1">
        <v>43731</v>
      </c>
      <c r="E90">
        <v>200</v>
      </c>
      <c r="F90">
        <v>66111</v>
      </c>
      <c r="G90" t="s">
        <v>460</v>
      </c>
      <c r="H90" t="str">
        <f>VLOOKUP(A90, product_table!$A:$C, 3, 0)</f>
        <v>Own Brand</v>
      </c>
      <c r="I90" t="str">
        <f>VLOOKUP(transactions_table8[[#This Row],[market_code]],markets_table!$A:$B,2,0)</f>
        <v>Delhi NCR</v>
      </c>
      <c r="J90" t="str">
        <f>VLOOKUP(transactions_table8[[#This Row],[market_code]],markets_table!$A:$C,3,0)</f>
        <v>North</v>
      </c>
      <c r="K90" t="str">
        <f>VLOOKUP(transactions_table8[[#This Row],[customer_code]],customer_table!$A:$B,2,0)</f>
        <v>Info Stores</v>
      </c>
      <c r="L90" t="str">
        <f>VLOOKUP(transactions_table8[[#This Row],[customer_code]],customer_table!$A:$C,3,0)</f>
        <v>Brick &amp; Mortar</v>
      </c>
      <c r="M90">
        <f>IF(TRIM(CLEAN(transactions_table8[[#This Row],[currency]]))="USD",transactions_table8[[#This Row],[sales_amount]]*83,transactions_table8[[#This Row],[sales_amount]])</f>
        <v>66111</v>
      </c>
    </row>
    <row r="91" spans="1:13" x14ac:dyDescent="0.3">
      <c r="A91" t="s">
        <v>179</v>
      </c>
      <c r="B91" t="s">
        <v>16</v>
      </c>
      <c r="C91" t="s">
        <v>144</v>
      </c>
      <c r="D91" s="1">
        <v>43735</v>
      </c>
      <c r="E91">
        <v>2</v>
      </c>
      <c r="F91">
        <v>1884</v>
      </c>
      <c r="G91" t="s">
        <v>460</v>
      </c>
      <c r="H91" t="str">
        <f>VLOOKUP(A91, product_table!$A:$C, 3, 0)</f>
        <v>Own Brand</v>
      </c>
      <c r="I91" t="str">
        <f>VLOOKUP(transactions_table8[[#This Row],[market_code]],markets_table!$A:$B,2,0)</f>
        <v>Delhi NCR</v>
      </c>
      <c r="J91" t="str">
        <f>VLOOKUP(transactions_table8[[#This Row],[market_code]],markets_table!$A:$C,3,0)</f>
        <v>North</v>
      </c>
      <c r="K91" t="str">
        <f>VLOOKUP(transactions_table8[[#This Row],[customer_code]],customer_table!$A:$B,2,0)</f>
        <v>Info Stores</v>
      </c>
      <c r="L91" t="str">
        <f>VLOOKUP(transactions_table8[[#This Row],[customer_code]],customer_table!$A:$C,3,0)</f>
        <v>Brick &amp; Mortar</v>
      </c>
      <c r="M91">
        <f>IF(TRIM(CLEAN(transactions_table8[[#This Row],[currency]]))="USD",transactions_table8[[#This Row],[sales_amount]]*83,transactions_table8[[#This Row],[sales_amount]])</f>
        <v>1884</v>
      </c>
    </row>
    <row r="92" spans="1:13" x14ac:dyDescent="0.3">
      <c r="A92" t="s">
        <v>179</v>
      </c>
      <c r="B92" t="s">
        <v>16</v>
      </c>
      <c r="C92" t="s">
        <v>144</v>
      </c>
      <c r="D92" s="1">
        <v>43745</v>
      </c>
      <c r="E92">
        <v>1</v>
      </c>
      <c r="F92">
        <v>944</v>
      </c>
      <c r="G92" t="s">
        <v>460</v>
      </c>
      <c r="H92" t="str">
        <f>VLOOKUP(A92, product_table!$A:$C, 3, 0)</f>
        <v>Own Brand</v>
      </c>
      <c r="I92" t="str">
        <f>VLOOKUP(transactions_table8[[#This Row],[market_code]],markets_table!$A:$B,2,0)</f>
        <v>Delhi NCR</v>
      </c>
      <c r="J92" t="str">
        <f>VLOOKUP(transactions_table8[[#This Row],[market_code]],markets_table!$A:$C,3,0)</f>
        <v>North</v>
      </c>
      <c r="K92" t="str">
        <f>VLOOKUP(transactions_table8[[#This Row],[customer_code]],customer_table!$A:$B,2,0)</f>
        <v>Info Stores</v>
      </c>
      <c r="L92" t="str">
        <f>VLOOKUP(transactions_table8[[#This Row],[customer_code]],customer_table!$A:$C,3,0)</f>
        <v>Brick &amp; Mortar</v>
      </c>
      <c r="M92">
        <f>IF(TRIM(CLEAN(transactions_table8[[#This Row],[currency]]))="USD",transactions_table8[[#This Row],[sales_amount]]*83,transactions_table8[[#This Row],[sales_amount]])</f>
        <v>944</v>
      </c>
    </row>
    <row r="93" spans="1:13" x14ac:dyDescent="0.3">
      <c r="A93" t="s">
        <v>179</v>
      </c>
      <c r="B93" t="s">
        <v>16</v>
      </c>
      <c r="C93" t="s">
        <v>144</v>
      </c>
      <c r="D93" s="1">
        <v>43766</v>
      </c>
      <c r="E93">
        <v>7</v>
      </c>
      <c r="F93">
        <v>2574</v>
      </c>
      <c r="G93" t="s">
        <v>460</v>
      </c>
      <c r="H93" t="str">
        <f>VLOOKUP(A93, product_table!$A:$C, 3, 0)</f>
        <v>Own Brand</v>
      </c>
      <c r="I93" t="str">
        <f>VLOOKUP(transactions_table8[[#This Row],[market_code]],markets_table!$A:$B,2,0)</f>
        <v>Delhi NCR</v>
      </c>
      <c r="J93" t="str">
        <f>VLOOKUP(transactions_table8[[#This Row],[market_code]],markets_table!$A:$C,3,0)</f>
        <v>North</v>
      </c>
      <c r="K93" t="str">
        <f>VLOOKUP(transactions_table8[[#This Row],[customer_code]],customer_table!$A:$B,2,0)</f>
        <v>Info Stores</v>
      </c>
      <c r="L93" t="str">
        <f>VLOOKUP(transactions_table8[[#This Row],[customer_code]],customer_table!$A:$C,3,0)</f>
        <v>Brick &amp; Mortar</v>
      </c>
      <c r="M93">
        <f>IF(TRIM(CLEAN(transactions_table8[[#This Row],[currency]]))="USD",transactions_table8[[#This Row],[sales_amount]]*83,transactions_table8[[#This Row],[sales_amount]])</f>
        <v>2574</v>
      </c>
    </row>
    <row r="94" spans="1:13" x14ac:dyDescent="0.3">
      <c r="A94" t="s">
        <v>179</v>
      </c>
      <c r="B94" t="s">
        <v>16</v>
      </c>
      <c r="C94" t="s">
        <v>144</v>
      </c>
      <c r="D94" s="1">
        <v>43777</v>
      </c>
      <c r="E94">
        <v>1</v>
      </c>
      <c r="F94">
        <v>630</v>
      </c>
      <c r="G94" t="s">
        <v>460</v>
      </c>
      <c r="H94" t="str">
        <f>VLOOKUP(A94, product_table!$A:$C, 3, 0)</f>
        <v>Own Brand</v>
      </c>
      <c r="I94" t="str">
        <f>VLOOKUP(transactions_table8[[#This Row],[market_code]],markets_table!$A:$B,2,0)</f>
        <v>Delhi NCR</v>
      </c>
      <c r="J94" t="str">
        <f>VLOOKUP(transactions_table8[[#This Row],[market_code]],markets_table!$A:$C,3,0)</f>
        <v>North</v>
      </c>
      <c r="K94" t="str">
        <f>VLOOKUP(transactions_table8[[#This Row],[customer_code]],customer_table!$A:$B,2,0)</f>
        <v>Info Stores</v>
      </c>
      <c r="L94" t="str">
        <f>VLOOKUP(transactions_table8[[#This Row],[customer_code]],customer_table!$A:$C,3,0)</f>
        <v>Brick &amp; Mortar</v>
      </c>
      <c r="M94">
        <f>IF(TRIM(CLEAN(transactions_table8[[#This Row],[currency]]))="USD",transactions_table8[[#This Row],[sales_amount]]*83,transactions_table8[[#This Row],[sales_amount]])</f>
        <v>630</v>
      </c>
    </row>
    <row r="95" spans="1:13" x14ac:dyDescent="0.3">
      <c r="A95" t="s">
        <v>179</v>
      </c>
      <c r="B95" t="s">
        <v>16</v>
      </c>
      <c r="C95" t="s">
        <v>144</v>
      </c>
      <c r="D95" s="1">
        <v>43784</v>
      </c>
      <c r="E95">
        <v>1</v>
      </c>
      <c r="F95">
        <v>472</v>
      </c>
      <c r="G95" t="s">
        <v>460</v>
      </c>
      <c r="H95" t="str">
        <f>VLOOKUP(A95, product_table!$A:$C, 3, 0)</f>
        <v>Own Brand</v>
      </c>
      <c r="I95" t="str">
        <f>VLOOKUP(transactions_table8[[#This Row],[market_code]],markets_table!$A:$B,2,0)</f>
        <v>Delhi NCR</v>
      </c>
      <c r="J95" t="str">
        <f>VLOOKUP(transactions_table8[[#This Row],[market_code]],markets_table!$A:$C,3,0)</f>
        <v>North</v>
      </c>
      <c r="K95" t="str">
        <f>VLOOKUP(transactions_table8[[#This Row],[customer_code]],customer_table!$A:$B,2,0)</f>
        <v>Info Stores</v>
      </c>
      <c r="L95" t="str">
        <f>VLOOKUP(transactions_table8[[#This Row],[customer_code]],customer_table!$A:$C,3,0)</f>
        <v>Brick &amp; Mortar</v>
      </c>
      <c r="M95">
        <f>IF(TRIM(CLEAN(transactions_table8[[#This Row],[currency]]))="USD",transactions_table8[[#This Row],[sales_amount]]*83,transactions_table8[[#This Row],[sales_amount]])</f>
        <v>472</v>
      </c>
    </row>
    <row r="96" spans="1:13" x14ac:dyDescent="0.3">
      <c r="A96" t="s">
        <v>179</v>
      </c>
      <c r="B96" t="s">
        <v>16</v>
      </c>
      <c r="C96" t="s">
        <v>144</v>
      </c>
      <c r="D96" s="1">
        <v>43791</v>
      </c>
      <c r="E96">
        <v>1</v>
      </c>
      <c r="F96">
        <v>944</v>
      </c>
      <c r="G96" t="s">
        <v>460</v>
      </c>
      <c r="H96" t="str">
        <f>VLOOKUP(A96, product_table!$A:$C, 3, 0)</f>
        <v>Own Brand</v>
      </c>
      <c r="I96" t="str">
        <f>VLOOKUP(transactions_table8[[#This Row],[market_code]],markets_table!$A:$B,2,0)</f>
        <v>Delhi NCR</v>
      </c>
      <c r="J96" t="str">
        <f>VLOOKUP(transactions_table8[[#This Row],[market_code]],markets_table!$A:$C,3,0)</f>
        <v>North</v>
      </c>
      <c r="K96" t="str">
        <f>VLOOKUP(transactions_table8[[#This Row],[customer_code]],customer_table!$A:$B,2,0)</f>
        <v>Info Stores</v>
      </c>
      <c r="L96" t="str">
        <f>VLOOKUP(transactions_table8[[#This Row],[customer_code]],customer_table!$A:$C,3,0)</f>
        <v>Brick &amp; Mortar</v>
      </c>
      <c r="M96">
        <f>IF(TRIM(CLEAN(transactions_table8[[#This Row],[currency]]))="USD",transactions_table8[[#This Row],[sales_amount]]*83,transactions_table8[[#This Row],[sales_amount]])</f>
        <v>944</v>
      </c>
    </row>
    <row r="97" spans="1:13" x14ac:dyDescent="0.3">
      <c r="A97" t="s">
        <v>179</v>
      </c>
      <c r="B97" t="s">
        <v>16</v>
      </c>
      <c r="C97" t="s">
        <v>144</v>
      </c>
      <c r="D97" s="1">
        <v>43798</v>
      </c>
      <c r="E97">
        <v>2</v>
      </c>
      <c r="F97">
        <v>1417</v>
      </c>
      <c r="G97" t="s">
        <v>460</v>
      </c>
      <c r="H97" t="str">
        <f>VLOOKUP(A97, product_table!$A:$C, 3, 0)</f>
        <v>Own Brand</v>
      </c>
      <c r="I97" t="str">
        <f>VLOOKUP(transactions_table8[[#This Row],[market_code]],markets_table!$A:$B,2,0)</f>
        <v>Delhi NCR</v>
      </c>
      <c r="J97" t="str">
        <f>VLOOKUP(transactions_table8[[#This Row],[market_code]],markets_table!$A:$C,3,0)</f>
        <v>North</v>
      </c>
      <c r="K97" t="str">
        <f>VLOOKUP(transactions_table8[[#This Row],[customer_code]],customer_table!$A:$B,2,0)</f>
        <v>Info Stores</v>
      </c>
      <c r="L97" t="str">
        <f>VLOOKUP(transactions_table8[[#This Row],[customer_code]],customer_table!$A:$C,3,0)</f>
        <v>Brick &amp; Mortar</v>
      </c>
      <c r="M97">
        <f>IF(TRIM(CLEAN(transactions_table8[[#This Row],[currency]]))="USD",transactions_table8[[#This Row],[sales_amount]]*83,transactions_table8[[#This Row],[sales_amount]])</f>
        <v>1417</v>
      </c>
    </row>
    <row r="98" spans="1:13" x14ac:dyDescent="0.3">
      <c r="A98" t="s">
        <v>179</v>
      </c>
      <c r="B98" t="s">
        <v>16</v>
      </c>
      <c r="C98" t="s">
        <v>144</v>
      </c>
      <c r="D98" s="1">
        <v>43805</v>
      </c>
      <c r="E98">
        <v>1</v>
      </c>
      <c r="F98">
        <v>1259</v>
      </c>
      <c r="G98" t="s">
        <v>460</v>
      </c>
      <c r="H98" t="str">
        <f>VLOOKUP(A98, product_table!$A:$C, 3, 0)</f>
        <v>Own Brand</v>
      </c>
      <c r="I98" t="str">
        <f>VLOOKUP(transactions_table8[[#This Row],[market_code]],markets_table!$A:$B,2,0)</f>
        <v>Delhi NCR</v>
      </c>
      <c r="J98" t="str">
        <f>VLOOKUP(transactions_table8[[#This Row],[market_code]],markets_table!$A:$C,3,0)</f>
        <v>North</v>
      </c>
      <c r="K98" t="str">
        <f>VLOOKUP(transactions_table8[[#This Row],[customer_code]],customer_table!$A:$B,2,0)</f>
        <v>Info Stores</v>
      </c>
      <c r="L98" t="str">
        <f>VLOOKUP(transactions_table8[[#This Row],[customer_code]],customer_table!$A:$C,3,0)</f>
        <v>Brick &amp; Mortar</v>
      </c>
      <c r="M98">
        <f>IF(TRIM(CLEAN(transactions_table8[[#This Row],[currency]]))="USD",transactions_table8[[#This Row],[sales_amount]]*83,transactions_table8[[#This Row],[sales_amount]])</f>
        <v>1259</v>
      </c>
    </row>
    <row r="99" spans="1:13" x14ac:dyDescent="0.3">
      <c r="A99" t="s">
        <v>179</v>
      </c>
      <c r="B99" t="s">
        <v>16</v>
      </c>
      <c r="C99" t="s">
        <v>144</v>
      </c>
      <c r="D99" s="1">
        <v>43812</v>
      </c>
      <c r="E99">
        <v>4</v>
      </c>
      <c r="F99">
        <v>3773</v>
      </c>
      <c r="G99" t="s">
        <v>460</v>
      </c>
      <c r="H99" t="str">
        <f>VLOOKUP(A99, product_table!$A:$C, 3, 0)</f>
        <v>Own Brand</v>
      </c>
      <c r="I99" t="str">
        <f>VLOOKUP(transactions_table8[[#This Row],[market_code]],markets_table!$A:$B,2,0)</f>
        <v>Delhi NCR</v>
      </c>
      <c r="J99" t="str">
        <f>VLOOKUP(transactions_table8[[#This Row],[market_code]],markets_table!$A:$C,3,0)</f>
        <v>North</v>
      </c>
      <c r="K99" t="str">
        <f>VLOOKUP(transactions_table8[[#This Row],[customer_code]],customer_table!$A:$B,2,0)</f>
        <v>Info Stores</v>
      </c>
      <c r="L99" t="str">
        <f>VLOOKUP(transactions_table8[[#This Row],[customer_code]],customer_table!$A:$C,3,0)</f>
        <v>Brick &amp; Mortar</v>
      </c>
      <c r="M99">
        <f>IF(TRIM(CLEAN(transactions_table8[[#This Row],[currency]]))="USD",transactions_table8[[#This Row],[sales_amount]]*83,transactions_table8[[#This Row],[sales_amount]])</f>
        <v>3773</v>
      </c>
    </row>
    <row r="100" spans="1:13" x14ac:dyDescent="0.3">
      <c r="A100" t="s">
        <v>179</v>
      </c>
      <c r="B100" t="s">
        <v>16</v>
      </c>
      <c r="C100" t="s">
        <v>144</v>
      </c>
      <c r="D100" s="1">
        <v>43819</v>
      </c>
      <c r="E100">
        <v>1</v>
      </c>
      <c r="F100">
        <v>315</v>
      </c>
      <c r="G100" t="s">
        <v>460</v>
      </c>
      <c r="H100" t="str">
        <f>VLOOKUP(A100, product_table!$A:$C, 3, 0)</f>
        <v>Own Brand</v>
      </c>
      <c r="I100" t="str">
        <f>VLOOKUP(transactions_table8[[#This Row],[market_code]],markets_table!$A:$B,2,0)</f>
        <v>Delhi NCR</v>
      </c>
      <c r="J100" t="str">
        <f>VLOOKUP(transactions_table8[[#This Row],[market_code]],markets_table!$A:$C,3,0)</f>
        <v>North</v>
      </c>
      <c r="K100" t="str">
        <f>VLOOKUP(transactions_table8[[#This Row],[customer_code]],customer_table!$A:$B,2,0)</f>
        <v>Info Stores</v>
      </c>
      <c r="L100" t="str">
        <f>VLOOKUP(transactions_table8[[#This Row],[customer_code]],customer_table!$A:$C,3,0)</f>
        <v>Brick &amp; Mortar</v>
      </c>
      <c r="M100">
        <f>IF(TRIM(CLEAN(transactions_table8[[#This Row],[currency]]))="USD",transactions_table8[[#This Row],[sales_amount]]*83,transactions_table8[[#This Row],[sales_amount]])</f>
        <v>315</v>
      </c>
    </row>
    <row r="101" spans="1:13" x14ac:dyDescent="0.3">
      <c r="A101" t="s">
        <v>179</v>
      </c>
      <c r="B101" t="s">
        <v>16</v>
      </c>
      <c r="C101" t="s">
        <v>144</v>
      </c>
      <c r="D101" s="1">
        <v>43839</v>
      </c>
      <c r="E101">
        <v>1</v>
      </c>
      <c r="F101">
        <v>630</v>
      </c>
      <c r="G101" t="s">
        <v>460</v>
      </c>
      <c r="H101" t="str">
        <f>VLOOKUP(A101, product_table!$A:$C, 3, 0)</f>
        <v>Own Brand</v>
      </c>
      <c r="I101" t="str">
        <f>VLOOKUP(transactions_table8[[#This Row],[market_code]],markets_table!$A:$B,2,0)</f>
        <v>Delhi NCR</v>
      </c>
      <c r="J101" t="str">
        <f>VLOOKUP(transactions_table8[[#This Row],[market_code]],markets_table!$A:$C,3,0)</f>
        <v>North</v>
      </c>
      <c r="K101" t="str">
        <f>VLOOKUP(transactions_table8[[#This Row],[customer_code]],customer_table!$A:$B,2,0)</f>
        <v>Info Stores</v>
      </c>
      <c r="L101" t="str">
        <f>VLOOKUP(transactions_table8[[#This Row],[customer_code]],customer_table!$A:$C,3,0)</f>
        <v>Brick &amp; Mortar</v>
      </c>
      <c r="M101">
        <f>IF(TRIM(CLEAN(transactions_table8[[#This Row],[currency]]))="USD",transactions_table8[[#This Row],[sales_amount]]*83,transactions_table8[[#This Row],[sales_amount]])</f>
        <v>630</v>
      </c>
    </row>
    <row r="102" spans="1:13" x14ac:dyDescent="0.3">
      <c r="A102" t="s">
        <v>179</v>
      </c>
      <c r="B102" t="s">
        <v>16</v>
      </c>
      <c r="C102" t="s">
        <v>144</v>
      </c>
      <c r="D102" s="1">
        <v>43840</v>
      </c>
      <c r="E102">
        <v>1</v>
      </c>
      <c r="F102">
        <v>472</v>
      </c>
      <c r="G102" t="s">
        <v>460</v>
      </c>
      <c r="H102" t="str">
        <f>VLOOKUP(A102, product_table!$A:$C, 3, 0)</f>
        <v>Own Brand</v>
      </c>
      <c r="I102" t="str">
        <f>VLOOKUP(transactions_table8[[#This Row],[market_code]],markets_table!$A:$B,2,0)</f>
        <v>Delhi NCR</v>
      </c>
      <c r="J102" t="str">
        <f>VLOOKUP(transactions_table8[[#This Row],[market_code]],markets_table!$A:$C,3,0)</f>
        <v>North</v>
      </c>
      <c r="K102" t="str">
        <f>VLOOKUP(transactions_table8[[#This Row],[customer_code]],customer_table!$A:$B,2,0)</f>
        <v>Info Stores</v>
      </c>
      <c r="L102" t="str">
        <f>VLOOKUP(transactions_table8[[#This Row],[customer_code]],customer_table!$A:$C,3,0)</f>
        <v>Brick &amp; Mortar</v>
      </c>
      <c r="M102">
        <f>IF(TRIM(CLEAN(transactions_table8[[#This Row],[currency]]))="USD",transactions_table8[[#This Row],[sales_amount]]*83,transactions_table8[[#This Row],[sales_amount]])</f>
        <v>472</v>
      </c>
    </row>
    <row r="103" spans="1:13" x14ac:dyDescent="0.3">
      <c r="A103" t="s">
        <v>179</v>
      </c>
      <c r="B103" t="s">
        <v>16</v>
      </c>
      <c r="C103" t="s">
        <v>144</v>
      </c>
      <c r="D103" s="1">
        <v>43847</v>
      </c>
      <c r="E103">
        <v>2</v>
      </c>
      <c r="F103">
        <v>2042</v>
      </c>
      <c r="G103" t="s">
        <v>460</v>
      </c>
      <c r="H103" t="str">
        <f>VLOOKUP(A103, product_table!$A:$C, 3, 0)</f>
        <v>Own Brand</v>
      </c>
      <c r="I103" t="str">
        <f>VLOOKUP(transactions_table8[[#This Row],[market_code]],markets_table!$A:$B,2,0)</f>
        <v>Delhi NCR</v>
      </c>
      <c r="J103" t="str">
        <f>VLOOKUP(transactions_table8[[#This Row],[market_code]],markets_table!$A:$C,3,0)</f>
        <v>North</v>
      </c>
      <c r="K103" t="str">
        <f>VLOOKUP(transactions_table8[[#This Row],[customer_code]],customer_table!$A:$B,2,0)</f>
        <v>Info Stores</v>
      </c>
      <c r="L103" t="str">
        <f>VLOOKUP(transactions_table8[[#This Row],[customer_code]],customer_table!$A:$C,3,0)</f>
        <v>Brick &amp; Mortar</v>
      </c>
      <c r="M103">
        <f>IF(TRIM(CLEAN(transactions_table8[[#This Row],[currency]]))="USD",transactions_table8[[#This Row],[sales_amount]]*83,transactions_table8[[#This Row],[sales_amount]])</f>
        <v>2042</v>
      </c>
    </row>
    <row r="104" spans="1:13" x14ac:dyDescent="0.3">
      <c r="A104" t="s">
        <v>179</v>
      </c>
      <c r="B104" t="s">
        <v>16</v>
      </c>
      <c r="C104" t="s">
        <v>144</v>
      </c>
      <c r="D104" s="1">
        <v>43868</v>
      </c>
      <c r="E104">
        <v>1</v>
      </c>
      <c r="F104">
        <v>417</v>
      </c>
      <c r="G104" t="s">
        <v>460</v>
      </c>
      <c r="H104" t="str">
        <f>VLOOKUP(A104, product_table!$A:$C, 3, 0)</f>
        <v>Own Brand</v>
      </c>
      <c r="I104" t="str">
        <f>VLOOKUP(transactions_table8[[#This Row],[market_code]],markets_table!$A:$B,2,0)</f>
        <v>Delhi NCR</v>
      </c>
      <c r="J104" t="str">
        <f>VLOOKUP(transactions_table8[[#This Row],[market_code]],markets_table!$A:$C,3,0)</f>
        <v>North</v>
      </c>
      <c r="K104" t="str">
        <f>VLOOKUP(transactions_table8[[#This Row],[customer_code]],customer_table!$A:$B,2,0)</f>
        <v>Info Stores</v>
      </c>
      <c r="L104" t="str">
        <f>VLOOKUP(transactions_table8[[#This Row],[customer_code]],customer_table!$A:$C,3,0)</f>
        <v>Brick &amp; Mortar</v>
      </c>
      <c r="M104">
        <f>IF(TRIM(CLEAN(transactions_table8[[#This Row],[currency]]))="USD",transactions_table8[[#This Row],[sales_amount]]*83,transactions_table8[[#This Row],[sales_amount]])</f>
        <v>417</v>
      </c>
    </row>
    <row r="105" spans="1:13" x14ac:dyDescent="0.3">
      <c r="A105" t="s">
        <v>179</v>
      </c>
      <c r="B105" t="s">
        <v>16</v>
      </c>
      <c r="C105" t="s">
        <v>144</v>
      </c>
      <c r="D105" s="1">
        <v>43875</v>
      </c>
      <c r="E105">
        <v>1</v>
      </c>
      <c r="F105">
        <v>310</v>
      </c>
      <c r="G105" t="s">
        <v>460</v>
      </c>
      <c r="H105" t="str">
        <f>VLOOKUP(A105, product_table!$A:$C, 3, 0)</f>
        <v>Own Brand</v>
      </c>
      <c r="I105" t="str">
        <f>VLOOKUP(transactions_table8[[#This Row],[market_code]],markets_table!$A:$B,2,0)</f>
        <v>Delhi NCR</v>
      </c>
      <c r="J105" t="str">
        <f>VLOOKUP(transactions_table8[[#This Row],[market_code]],markets_table!$A:$C,3,0)</f>
        <v>North</v>
      </c>
      <c r="K105" t="str">
        <f>VLOOKUP(transactions_table8[[#This Row],[customer_code]],customer_table!$A:$B,2,0)</f>
        <v>Info Stores</v>
      </c>
      <c r="L105" t="str">
        <f>VLOOKUP(transactions_table8[[#This Row],[customer_code]],customer_table!$A:$C,3,0)</f>
        <v>Brick &amp; Mortar</v>
      </c>
      <c r="M105">
        <f>IF(TRIM(CLEAN(transactions_table8[[#This Row],[currency]]))="USD",transactions_table8[[#This Row],[sales_amount]]*83,transactions_table8[[#This Row],[sales_amount]])</f>
        <v>310</v>
      </c>
    </row>
    <row r="106" spans="1:13" x14ac:dyDescent="0.3">
      <c r="A106" t="s">
        <v>179</v>
      </c>
      <c r="B106" t="s">
        <v>16</v>
      </c>
      <c r="C106" t="s">
        <v>144</v>
      </c>
      <c r="D106" s="1">
        <v>43889</v>
      </c>
      <c r="E106">
        <v>1</v>
      </c>
      <c r="F106">
        <v>208</v>
      </c>
      <c r="G106" t="s">
        <v>460</v>
      </c>
      <c r="H106" t="str">
        <f>VLOOKUP(A106, product_table!$A:$C, 3, 0)</f>
        <v>Own Brand</v>
      </c>
      <c r="I106" t="str">
        <f>VLOOKUP(transactions_table8[[#This Row],[market_code]],markets_table!$A:$B,2,0)</f>
        <v>Delhi NCR</v>
      </c>
      <c r="J106" t="str">
        <f>VLOOKUP(transactions_table8[[#This Row],[market_code]],markets_table!$A:$C,3,0)</f>
        <v>North</v>
      </c>
      <c r="K106" t="str">
        <f>VLOOKUP(transactions_table8[[#This Row],[customer_code]],customer_table!$A:$B,2,0)</f>
        <v>Info Stores</v>
      </c>
      <c r="L106" t="str">
        <f>VLOOKUP(transactions_table8[[#This Row],[customer_code]],customer_table!$A:$C,3,0)</f>
        <v>Brick &amp; Mortar</v>
      </c>
      <c r="M106">
        <f>IF(TRIM(CLEAN(transactions_table8[[#This Row],[currency]]))="USD",transactions_table8[[#This Row],[sales_amount]]*83,transactions_table8[[#This Row],[sales_amount]])</f>
        <v>208</v>
      </c>
    </row>
    <row r="107" spans="1:13" x14ac:dyDescent="0.3">
      <c r="A107" t="s">
        <v>179</v>
      </c>
      <c r="B107" t="s">
        <v>16</v>
      </c>
      <c r="C107" t="s">
        <v>144</v>
      </c>
      <c r="D107" s="1">
        <v>43896</v>
      </c>
      <c r="E107">
        <v>1</v>
      </c>
      <c r="F107">
        <v>620</v>
      </c>
      <c r="G107" t="s">
        <v>460</v>
      </c>
      <c r="H107" t="str">
        <f>VLOOKUP(A107, product_table!$A:$C, 3, 0)</f>
        <v>Own Brand</v>
      </c>
      <c r="I107" t="str">
        <f>VLOOKUP(transactions_table8[[#This Row],[market_code]],markets_table!$A:$B,2,0)</f>
        <v>Delhi NCR</v>
      </c>
      <c r="J107" t="str">
        <f>VLOOKUP(transactions_table8[[#This Row],[market_code]],markets_table!$A:$C,3,0)</f>
        <v>North</v>
      </c>
      <c r="K107" t="str">
        <f>VLOOKUP(transactions_table8[[#This Row],[customer_code]],customer_table!$A:$B,2,0)</f>
        <v>Info Stores</v>
      </c>
      <c r="L107" t="str">
        <f>VLOOKUP(transactions_table8[[#This Row],[customer_code]],customer_table!$A:$C,3,0)</f>
        <v>Brick &amp; Mortar</v>
      </c>
      <c r="M107">
        <f>IF(TRIM(CLEAN(transactions_table8[[#This Row],[currency]]))="USD",transactions_table8[[#This Row],[sales_amount]]*83,transactions_table8[[#This Row],[sales_amount]])</f>
        <v>620</v>
      </c>
    </row>
    <row r="108" spans="1:13" x14ac:dyDescent="0.3">
      <c r="A108" t="s">
        <v>179</v>
      </c>
      <c r="B108" t="s">
        <v>16</v>
      </c>
      <c r="C108" t="s">
        <v>144</v>
      </c>
      <c r="D108" s="1">
        <v>43903</v>
      </c>
      <c r="E108">
        <v>1</v>
      </c>
      <c r="F108">
        <v>620</v>
      </c>
      <c r="G108" t="s">
        <v>460</v>
      </c>
      <c r="H108" t="str">
        <f>VLOOKUP(A108, product_table!$A:$C, 3, 0)</f>
        <v>Own Brand</v>
      </c>
      <c r="I108" t="str">
        <f>VLOOKUP(transactions_table8[[#This Row],[market_code]],markets_table!$A:$B,2,0)</f>
        <v>Delhi NCR</v>
      </c>
      <c r="J108" t="str">
        <f>VLOOKUP(transactions_table8[[#This Row],[market_code]],markets_table!$A:$C,3,0)</f>
        <v>North</v>
      </c>
      <c r="K108" t="str">
        <f>VLOOKUP(transactions_table8[[#This Row],[customer_code]],customer_table!$A:$B,2,0)</f>
        <v>Info Stores</v>
      </c>
      <c r="L108" t="str">
        <f>VLOOKUP(transactions_table8[[#This Row],[customer_code]],customer_table!$A:$C,3,0)</f>
        <v>Brick &amp; Mortar</v>
      </c>
      <c r="M108">
        <f>IF(TRIM(CLEAN(transactions_table8[[#This Row],[currency]]))="USD",transactions_table8[[#This Row],[sales_amount]]*83,transactions_table8[[#This Row],[sales_amount]])</f>
        <v>620</v>
      </c>
    </row>
    <row r="109" spans="1:13" x14ac:dyDescent="0.3">
      <c r="A109" t="s">
        <v>179</v>
      </c>
      <c r="B109" t="s">
        <v>16</v>
      </c>
      <c r="C109" t="s">
        <v>144</v>
      </c>
      <c r="D109" s="1">
        <v>43924</v>
      </c>
      <c r="E109">
        <v>1</v>
      </c>
      <c r="F109">
        <v>829</v>
      </c>
      <c r="G109" t="s">
        <v>460</v>
      </c>
      <c r="H109" t="str">
        <f>VLOOKUP(A109, product_table!$A:$C, 3, 0)</f>
        <v>Own Brand</v>
      </c>
      <c r="I109" t="str">
        <f>VLOOKUP(transactions_table8[[#This Row],[market_code]],markets_table!$A:$B,2,0)</f>
        <v>Delhi NCR</v>
      </c>
      <c r="J109" t="str">
        <f>VLOOKUP(transactions_table8[[#This Row],[market_code]],markets_table!$A:$C,3,0)</f>
        <v>North</v>
      </c>
      <c r="K109" t="str">
        <f>VLOOKUP(transactions_table8[[#This Row],[customer_code]],customer_table!$A:$B,2,0)</f>
        <v>Info Stores</v>
      </c>
      <c r="L109" t="str">
        <f>VLOOKUP(transactions_table8[[#This Row],[customer_code]],customer_table!$A:$C,3,0)</f>
        <v>Brick &amp; Mortar</v>
      </c>
      <c r="M109">
        <f>IF(TRIM(CLEAN(transactions_table8[[#This Row],[currency]]))="USD",transactions_table8[[#This Row],[sales_amount]]*83,transactions_table8[[#This Row],[sales_amount]])</f>
        <v>829</v>
      </c>
    </row>
    <row r="110" spans="1:13" x14ac:dyDescent="0.3">
      <c r="A110" t="s">
        <v>179</v>
      </c>
      <c r="B110" t="s">
        <v>16</v>
      </c>
      <c r="C110" t="s">
        <v>144</v>
      </c>
      <c r="D110" s="1">
        <v>43935</v>
      </c>
      <c r="E110">
        <v>4</v>
      </c>
      <c r="F110">
        <v>2694</v>
      </c>
      <c r="G110" t="s">
        <v>460</v>
      </c>
      <c r="H110" t="str">
        <f>VLOOKUP(A110, product_table!$A:$C, 3, 0)</f>
        <v>Own Brand</v>
      </c>
      <c r="I110" t="str">
        <f>VLOOKUP(transactions_table8[[#This Row],[market_code]],markets_table!$A:$B,2,0)</f>
        <v>Delhi NCR</v>
      </c>
      <c r="J110" t="str">
        <f>VLOOKUP(transactions_table8[[#This Row],[market_code]],markets_table!$A:$C,3,0)</f>
        <v>North</v>
      </c>
      <c r="K110" t="str">
        <f>VLOOKUP(transactions_table8[[#This Row],[customer_code]],customer_table!$A:$B,2,0)</f>
        <v>Info Stores</v>
      </c>
      <c r="L110" t="str">
        <f>VLOOKUP(transactions_table8[[#This Row],[customer_code]],customer_table!$A:$C,3,0)</f>
        <v>Brick &amp; Mortar</v>
      </c>
      <c r="M110">
        <f>IF(TRIM(CLEAN(transactions_table8[[#This Row],[currency]]))="USD",transactions_table8[[#This Row],[sales_amount]]*83,transactions_table8[[#This Row],[sales_amount]])</f>
        <v>2694</v>
      </c>
    </row>
    <row r="111" spans="1:13" x14ac:dyDescent="0.3">
      <c r="A111" t="s">
        <v>179</v>
      </c>
      <c r="B111" t="s">
        <v>16</v>
      </c>
      <c r="C111" t="s">
        <v>144</v>
      </c>
      <c r="D111" s="1">
        <v>43941</v>
      </c>
      <c r="E111">
        <v>1</v>
      </c>
      <c r="F111">
        <v>102</v>
      </c>
      <c r="G111" t="s">
        <v>460</v>
      </c>
      <c r="H111" t="str">
        <f>VLOOKUP(A111, product_table!$A:$C, 3, 0)</f>
        <v>Own Brand</v>
      </c>
      <c r="I111" t="str">
        <f>VLOOKUP(transactions_table8[[#This Row],[market_code]],markets_table!$A:$B,2,0)</f>
        <v>Delhi NCR</v>
      </c>
      <c r="J111" t="str">
        <f>VLOOKUP(transactions_table8[[#This Row],[market_code]],markets_table!$A:$C,3,0)</f>
        <v>North</v>
      </c>
      <c r="K111" t="str">
        <f>VLOOKUP(transactions_table8[[#This Row],[customer_code]],customer_table!$A:$B,2,0)</f>
        <v>Info Stores</v>
      </c>
      <c r="L111" t="str">
        <f>VLOOKUP(transactions_table8[[#This Row],[customer_code]],customer_table!$A:$C,3,0)</f>
        <v>Brick &amp; Mortar</v>
      </c>
      <c r="M111">
        <f>IF(TRIM(CLEAN(transactions_table8[[#This Row],[currency]]))="USD",transactions_table8[[#This Row],[sales_amount]]*83,transactions_table8[[#This Row],[sales_amount]])</f>
        <v>102</v>
      </c>
    </row>
    <row r="112" spans="1:13" x14ac:dyDescent="0.3">
      <c r="A112" t="s">
        <v>179</v>
      </c>
      <c r="B112" t="s">
        <v>16</v>
      </c>
      <c r="C112" t="s">
        <v>144</v>
      </c>
      <c r="D112" s="1">
        <v>43966</v>
      </c>
      <c r="E112">
        <v>2</v>
      </c>
      <c r="F112">
        <v>528</v>
      </c>
      <c r="G112" t="s">
        <v>460</v>
      </c>
      <c r="H112" t="str">
        <f>VLOOKUP(A112, product_table!$A:$C, 3, 0)</f>
        <v>Own Brand</v>
      </c>
      <c r="I112" t="str">
        <f>VLOOKUP(transactions_table8[[#This Row],[market_code]],markets_table!$A:$B,2,0)</f>
        <v>Delhi NCR</v>
      </c>
      <c r="J112" t="str">
        <f>VLOOKUP(transactions_table8[[#This Row],[market_code]],markets_table!$A:$C,3,0)</f>
        <v>North</v>
      </c>
      <c r="K112" t="str">
        <f>VLOOKUP(transactions_table8[[#This Row],[customer_code]],customer_table!$A:$B,2,0)</f>
        <v>Info Stores</v>
      </c>
      <c r="L112" t="str">
        <f>VLOOKUP(transactions_table8[[#This Row],[customer_code]],customer_table!$A:$C,3,0)</f>
        <v>Brick &amp; Mortar</v>
      </c>
      <c r="M112">
        <f>IF(TRIM(CLEAN(transactions_table8[[#This Row],[currency]]))="USD",transactions_table8[[#This Row],[sales_amount]]*83,transactions_table8[[#This Row],[sales_amount]])</f>
        <v>528</v>
      </c>
    </row>
    <row r="113" spans="1:13" x14ac:dyDescent="0.3">
      <c r="A113" t="s">
        <v>180</v>
      </c>
      <c r="B113" t="s">
        <v>12</v>
      </c>
      <c r="C113" t="s">
        <v>144</v>
      </c>
      <c r="D113" s="1">
        <v>43032</v>
      </c>
      <c r="E113">
        <v>1</v>
      </c>
      <c r="F113">
        <v>380</v>
      </c>
      <c r="G113" t="s">
        <v>460</v>
      </c>
      <c r="H113" t="str">
        <f>VLOOKUP(A113, product_table!$A:$C, 3, 0)</f>
        <v>Own Brand</v>
      </c>
      <c r="I113" t="str">
        <f>VLOOKUP(transactions_table8[[#This Row],[market_code]],markets_table!$A:$B,2,0)</f>
        <v>Delhi NCR</v>
      </c>
      <c r="J113" t="str">
        <f>VLOOKUP(transactions_table8[[#This Row],[market_code]],markets_table!$A:$C,3,0)</f>
        <v>North</v>
      </c>
      <c r="K113" t="str">
        <f>VLOOKUP(transactions_table8[[#This Row],[customer_code]],customer_table!$A:$B,2,0)</f>
        <v>Premium Stores</v>
      </c>
      <c r="L113" t="str">
        <f>VLOOKUP(transactions_table8[[#This Row],[customer_code]],customer_table!$A:$C,3,0)</f>
        <v>Brick &amp; Mortar</v>
      </c>
      <c r="M113">
        <f>IF(TRIM(CLEAN(transactions_table8[[#This Row],[currency]]))="USD",transactions_table8[[#This Row],[sales_amount]]*83,transactions_table8[[#This Row],[sales_amount]])</f>
        <v>380</v>
      </c>
    </row>
    <row r="114" spans="1:13" x14ac:dyDescent="0.3">
      <c r="A114" t="s">
        <v>180</v>
      </c>
      <c r="B114" t="s">
        <v>16</v>
      </c>
      <c r="C114" t="s">
        <v>144</v>
      </c>
      <c r="D114" s="1">
        <v>43033</v>
      </c>
      <c r="E114">
        <v>1</v>
      </c>
      <c r="F114">
        <v>560</v>
      </c>
      <c r="G114" t="s">
        <v>460</v>
      </c>
      <c r="H114" t="str">
        <f>VLOOKUP(A114, product_table!$A:$C, 3, 0)</f>
        <v>Own Brand</v>
      </c>
      <c r="I114" t="str">
        <f>VLOOKUP(transactions_table8[[#This Row],[market_code]],markets_table!$A:$B,2,0)</f>
        <v>Delhi NCR</v>
      </c>
      <c r="J114" t="str">
        <f>VLOOKUP(transactions_table8[[#This Row],[market_code]],markets_table!$A:$C,3,0)</f>
        <v>North</v>
      </c>
      <c r="K114" t="str">
        <f>VLOOKUP(transactions_table8[[#This Row],[customer_code]],customer_table!$A:$B,2,0)</f>
        <v>Info Stores</v>
      </c>
      <c r="L114" t="str">
        <f>VLOOKUP(transactions_table8[[#This Row],[customer_code]],customer_table!$A:$C,3,0)</f>
        <v>Brick &amp; Mortar</v>
      </c>
      <c r="M114">
        <f>IF(TRIM(CLEAN(transactions_table8[[#This Row],[currency]]))="USD",transactions_table8[[#This Row],[sales_amount]]*83,transactions_table8[[#This Row],[sales_amount]])</f>
        <v>560</v>
      </c>
    </row>
    <row r="115" spans="1:13" x14ac:dyDescent="0.3">
      <c r="A115" t="s">
        <v>180</v>
      </c>
      <c r="B115" t="s">
        <v>16</v>
      </c>
      <c r="C115" t="s">
        <v>144</v>
      </c>
      <c r="D115" s="1">
        <v>43038</v>
      </c>
      <c r="E115">
        <v>1</v>
      </c>
      <c r="F115">
        <v>560</v>
      </c>
      <c r="G115" t="s">
        <v>460</v>
      </c>
      <c r="H115" t="str">
        <f>VLOOKUP(A115, product_table!$A:$C, 3, 0)</f>
        <v>Own Brand</v>
      </c>
      <c r="I115" t="str">
        <f>VLOOKUP(transactions_table8[[#This Row],[market_code]],markets_table!$A:$B,2,0)</f>
        <v>Delhi NCR</v>
      </c>
      <c r="J115" t="str">
        <f>VLOOKUP(transactions_table8[[#This Row],[market_code]],markets_table!$A:$C,3,0)</f>
        <v>North</v>
      </c>
      <c r="K115" t="str">
        <f>VLOOKUP(transactions_table8[[#This Row],[customer_code]],customer_table!$A:$B,2,0)</f>
        <v>Info Stores</v>
      </c>
      <c r="L115" t="str">
        <f>VLOOKUP(transactions_table8[[#This Row],[customer_code]],customer_table!$A:$C,3,0)</f>
        <v>Brick &amp; Mortar</v>
      </c>
      <c r="M115">
        <f>IF(TRIM(CLEAN(transactions_table8[[#This Row],[currency]]))="USD",transactions_table8[[#This Row],[sales_amount]]*83,transactions_table8[[#This Row],[sales_amount]])</f>
        <v>560</v>
      </c>
    </row>
    <row r="116" spans="1:13" x14ac:dyDescent="0.3">
      <c r="A116" t="s">
        <v>180</v>
      </c>
      <c r="B116" t="s">
        <v>16</v>
      </c>
      <c r="C116" t="s">
        <v>144</v>
      </c>
      <c r="D116" s="1">
        <v>43066</v>
      </c>
      <c r="E116">
        <v>1</v>
      </c>
      <c r="F116">
        <v>1116</v>
      </c>
      <c r="G116" t="s">
        <v>460</v>
      </c>
      <c r="H116" t="str">
        <f>VLOOKUP(A116, product_table!$A:$C, 3, 0)</f>
        <v>Own Brand</v>
      </c>
      <c r="I116" t="str">
        <f>VLOOKUP(transactions_table8[[#This Row],[market_code]],markets_table!$A:$B,2,0)</f>
        <v>Delhi NCR</v>
      </c>
      <c r="J116" t="str">
        <f>VLOOKUP(transactions_table8[[#This Row],[market_code]],markets_table!$A:$C,3,0)</f>
        <v>North</v>
      </c>
      <c r="K116" t="str">
        <f>VLOOKUP(transactions_table8[[#This Row],[customer_code]],customer_table!$A:$B,2,0)</f>
        <v>Info Stores</v>
      </c>
      <c r="L116" t="str">
        <f>VLOOKUP(transactions_table8[[#This Row],[customer_code]],customer_table!$A:$C,3,0)</f>
        <v>Brick &amp; Mortar</v>
      </c>
      <c r="M116">
        <f>IF(TRIM(CLEAN(transactions_table8[[#This Row],[currency]]))="USD",transactions_table8[[#This Row],[sales_amount]]*83,transactions_table8[[#This Row],[sales_amount]])</f>
        <v>1116</v>
      </c>
    </row>
    <row r="117" spans="1:13" x14ac:dyDescent="0.3">
      <c r="A117" t="s">
        <v>180</v>
      </c>
      <c r="B117" t="s">
        <v>18</v>
      </c>
      <c r="C117" t="s">
        <v>146</v>
      </c>
      <c r="D117" s="1">
        <v>43080</v>
      </c>
      <c r="E117">
        <v>1</v>
      </c>
      <c r="F117">
        <v>657</v>
      </c>
      <c r="G117" t="s">
        <v>460</v>
      </c>
      <c r="H117" t="str">
        <f>VLOOKUP(A117, product_table!$A:$C, 3, 0)</f>
        <v>Own Brand</v>
      </c>
      <c r="I117" t="str">
        <f>VLOOKUP(transactions_table8[[#This Row],[market_code]],markets_table!$A:$B,2,0)</f>
        <v>Kanpur</v>
      </c>
      <c r="J117" t="str">
        <f>VLOOKUP(transactions_table8[[#This Row],[market_code]],markets_table!$A:$C,3,0)</f>
        <v>North</v>
      </c>
      <c r="K117" t="str">
        <f>VLOOKUP(transactions_table8[[#This Row],[customer_code]],customer_table!$A:$B,2,0)</f>
        <v>Acclaimed Stores</v>
      </c>
      <c r="L117" t="str">
        <f>VLOOKUP(transactions_table8[[#This Row],[customer_code]],customer_table!$A:$C,3,0)</f>
        <v>Brick &amp; Mortar</v>
      </c>
      <c r="M117">
        <f>IF(TRIM(CLEAN(transactions_table8[[#This Row],[currency]]))="USD",transactions_table8[[#This Row],[sales_amount]]*83,transactions_table8[[#This Row],[sales_amount]])</f>
        <v>657</v>
      </c>
    </row>
    <row r="118" spans="1:13" x14ac:dyDescent="0.3">
      <c r="A118" t="s">
        <v>180</v>
      </c>
      <c r="B118" t="s">
        <v>16</v>
      </c>
      <c r="C118" t="s">
        <v>144</v>
      </c>
      <c r="D118" s="1">
        <v>43081</v>
      </c>
      <c r="E118">
        <v>1</v>
      </c>
      <c r="F118">
        <v>560</v>
      </c>
      <c r="G118" t="s">
        <v>460</v>
      </c>
      <c r="H118" t="str">
        <f>VLOOKUP(A118, product_table!$A:$C, 3, 0)</f>
        <v>Own Brand</v>
      </c>
      <c r="I118" t="str">
        <f>VLOOKUP(transactions_table8[[#This Row],[market_code]],markets_table!$A:$B,2,0)</f>
        <v>Delhi NCR</v>
      </c>
      <c r="J118" t="str">
        <f>VLOOKUP(transactions_table8[[#This Row],[market_code]],markets_table!$A:$C,3,0)</f>
        <v>North</v>
      </c>
      <c r="K118" t="str">
        <f>VLOOKUP(transactions_table8[[#This Row],[customer_code]],customer_table!$A:$B,2,0)</f>
        <v>Info Stores</v>
      </c>
      <c r="L118" t="str">
        <f>VLOOKUP(transactions_table8[[#This Row],[customer_code]],customer_table!$A:$C,3,0)</f>
        <v>Brick &amp; Mortar</v>
      </c>
      <c r="M118">
        <f>IF(TRIM(CLEAN(transactions_table8[[#This Row],[currency]]))="USD",transactions_table8[[#This Row],[sales_amount]]*83,transactions_table8[[#This Row],[sales_amount]])</f>
        <v>560</v>
      </c>
    </row>
    <row r="119" spans="1:13" x14ac:dyDescent="0.3">
      <c r="A119" t="s">
        <v>180</v>
      </c>
      <c r="B119" t="s">
        <v>18</v>
      </c>
      <c r="C119" t="s">
        <v>146</v>
      </c>
      <c r="D119" s="1">
        <v>43088</v>
      </c>
      <c r="E119">
        <v>1</v>
      </c>
      <c r="F119">
        <v>657</v>
      </c>
      <c r="G119" t="s">
        <v>460</v>
      </c>
      <c r="H119" t="str">
        <f>VLOOKUP(A119, product_table!$A:$C, 3, 0)</f>
        <v>Own Brand</v>
      </c>
      <c r="I119" t="str">
        <f>VLOOKUP(transactions_table8[[#This Row],[market_code]],markets_table!$A:$B,2,0)</f>
        <v>Kanpur</v>
      </c>
      <c r="J119" t="str">
        <f>VLOOKUP(transactions_table8[[#This Row],[market_code]],markets_table!$A:$C,3,0)</f>
        <v>North</v>
      </c>
      <c r="K119" t="str">
        <f>VLOOKUP(transactions_table8[[#This Row],[customer_code]],customer_table!$A:$B,2,0)</f>
        <v>Acclaimed Stores</v>
      </c>
      <c r="L119" t="str">
        <f>VLOOKUP(transactions_table8[[#This Row],[customer_code]],customer_table!$A:$C,3,0)</f>
        <v>Brick &amp; Mortar</v>
      </c>
      <c r="M119">
        <f>IF(TRIM(CLEAN(transactions_table8[[#This Row],[currency]]))="USD",transactions_table8[[#This Row],[sales_amount]]*83,transactions_table8[[#This Row],[sales_amount]])</f>
        <v>657</v>
      </c>
    </row>
    <row r="120" spans="1:13" x14ac:dyDescent="0.3">
      <c r="A120" t="s">
        <v>180</v>
      </c>
      <c r="B120" t="s">
        <v>16</v>
      </c>
      <c r="C120" t="s">
        <v>144</v>
      </c>
      <c r="D120" s="1">
        <v>43143</v>
      </c>
      <c r="E120">
        <v>1</v>
      </c>
      <c r="F120">
        <v>560</v>
      </c>
      <c r="G120" t="s">
        <v>460</v>
      </c>
      <c r="H120" t="str">
        <f>VLOOKUP(A120, product_table!$A:$C, 3, 0)</f>
        <v>Own Brand</v>
      </c>
      <c r="I120" t="str">
        <f>VLOOKUP(transactions_table8[[#This Row],[market_code]],markets_table!$A:$B,2,0)</f>
        <v>Delhi NCR</v>
      </c>
      <c r="J120" t="str">
        <f>VLOOKUP(transactions_table8[[#This Row],[market_code]],markets_table!$A:$C,3,0)</f>
        <v>North</v>
      </c>
      <c r="K120" t="str">
        <f>VLOOKUP(transactions_table8[[#This Row],[customer_code]],customer_table!$A:$B,2,0)</f>
        <v>Info Stores</v>
      </c>
      <c r="L120" t="str">
        <f>VLOOKUP(transactions_table8[[#This Row],[customer_code]],customer_table!$A:$C,3,0)</f>
        <v>Brick &amp; Mortar</v>
      </c>
      <c r="M120">
        <f>IF(TRIM(CLEAN(transactions_table8[[#This Row],[currency]]))="USD",transactions_table8[[#This Row],[sales_amount]]*83,transactions_table8[[#This Row],[sales_amount]])</f>
        <v>560</v>
      </c>
    </row>
    <row r="121" spans="1:13" x14ac:dyDescent="0.3">
      <c r="A121" t="s">
        <v>181</v>
      </c>
      <c r="B121" t="s">
        <v>16</v>
      </c>
      <c r="C121" t="s">
        <v>144</v>
      </c>
      <c r="D121" s="1">
        <v>43392</v>
      </c>
      <c r="E121">
        <v>11</v>
      </c>
      <c r="F121">
        <v>6218</v>
      </c>
      <c r="G121" t="s">
        <v>460</v>
      </c>
      <c r="H121" t="str">
        <f>VLOOKUP(A121, product_table!$A:$C, 3, 0)</f>
        <v>Own Brand</v>
      </c>
      <c r="I121" t="str">
        <f>VLOOKUP(transactions_table8[[#This Row],[market_code]],markets_table!$A:$B,2,0)</f>
        <v>Delhi NCR</v>
      </c>
      <c r="J121" t="str">
        <f>VLOOKUP(transactions_table8[[#This Row],[market_code]],markets_table!$A:$C,3,0)</f>
        <v>North</v>
      </c>
      <c r="K121" t="str">
        <f>VLOOKUP(transactions_table8[[#This Row],[customer_code]],customer_table!$A:$B,2,0)</f>
        <v>Info Stores</v>
      </c>
      <c r="L121" t="str">
        <f>VLOOKUP(transactions_table8[[#This Row],[customer_code]],customer_table!$A:$C,3,0)</f>
        <v>Brick &amp; Mortar</v>
      </c>
      <c r="M121">
        <f>IF(TRIM(CLEAN(transactions_table8[[#This Row],[currency]]))="USD",transactions_table8[[#This Row],[sales_amount]]*83,transactions_table8[[#This Row],[sales_amount]])</f>
        <v>6218</v>
      </c>
    </row>
    <row r="122" spans="1:13" x14ac:dyDescent="0.3">
      <c r="A122" t="s">
        <v>182</v>
      </c>
      <c r="B122" t="s">
        <v>16</v>
      </c>
      <c r="C122" t="s">
        <v>144</v>
      </c>
      <c r="D122" s="1">
        <v>43059</v>
      </c>
      <c r="E122">
        <v>7</v>
      </c>
      <c r="F122">
        <v>2426</v>
      </c>
      <c r="G122" t="s">
        <v>460</v>
      </c>
      <c r="H122" t="str">
        <f>VLOOKUP(A122, product_table!$A:$C, 3, 0)</f>
        <v>Own Brand</v>
      </c>
      <c r="I122" t="str">
        <f>VLOOKUP(transactions_table8[[#This Row],[market_code]],markets_table!$A:$B,2,0)</f>
        <v>Delhi NCR</v>
      </c>
      <c r="J122" t="str">
        <f>VLOOKUP(transactions_table8[[#This Row],[market_code]],markets_table!$A:$C,3,0)</f>
        <v>North</v>
      </c>
      <c r="K122" t="str">
        <f>VLOOKUP(transactions_table8[[#This Row],[customer_code]],customer_table!$A:$B,2,0)</f>
        <v>Info Stores</v>
      </c>
      <c r="L122" t="str">
        <f>VLOOKUP(transactions_table8[[#This Row],[customer_code]],customer_table!$A:$C,3,0)</f>
        <v>Brick &amp; Mortar</v>
      </c>
      <c r="M122">
        <f>IF(TRIM(CLEAN(transactions_table8[[#This Row],[currency]]))="USD",transactions_table8[[#This Row],[sales_amount]]*83,transactions_table8[[#This Row],[sales_amount]])</f>
        <v>2426</v>
      </c>
    </row>
    <row r="123" spans="1:13" x14ac:dyDescent="0.3">
      <c r="A123" t="s">
        <v>182</v>
      </c>
      <c r="B123" t="s">
        <v>16</v>
      </c>
      <c r="C123" t="s">
        <v>144</v>
      </c>
      <c r="D123" s="1">
        <v>43063</v>
      </c>
      <c r="E123">
        <v>33</v>
      </c>
      <c r="F123">
        <v>15278</v>
      </c>
      <c r="G123" t="s">
        <v>460</v>
      </c>
      <c r="H123" t="str">
        <f>VLOOKUP(A123, product_table!$A:$C, 3, 0)</f>
        <v>Own Brand</v>
      </c>
      <c r="I123" t="str">
        <f>VLOOKUP(transactions_table8[[#This Row],[market_code]],markets_table!$A:$B,2,0)</f>
        <v>Delhi NCR</v>
      </c>
      <c r="J123" t="str">
        <f>VLOOKUP(transactions_table8[[#This Row],[market_code]],markets_table!$A:$C,3,0)</f>
        <v>North</v>
      </c>
      <c r="K123" t="str">
        <f>VLOOKUP(transactions_table8[[#This Row],[customer_code]],customer_table!$A:$B,2,0)</f>
        <v>Info Stores</v>
      </c>
      <c r="L123" t="str">
        <f>VLOOKUP(transactions_table8[[#This Row],[customer_code]],customer_table!$A:$C,3,0)</f>
        <v>Brick &amp; Mortar</v>
      </c>
      <c r="M123">
        <f>IF(TRIM(CLEAN(transactions_table8[[#This Row],[currency]]))="USD",transactions_table8[[#This Row],[sales_amount]]*83,transactions_table8[[#This Row],[sales_amount]])</f>
        <v>15278</v>
      </c>
    </row>
    <row r="124" spans="1:13" x14ac:dyDescent="0.3">
      <c r="A124" t="s">
        <v>183</v>
      </c>
      <c r="B124" t="s">
        <v>20</v>
      </c>
      <c r="C124" t="s">
        <v>138</v>
      </c>
      <c r="D124" s="1">
        <v>43418</v>
      </c>
      <c r="E124">
        <v>3</v>
      </c>
      <c r="F124">
        <v>3032</v>
      </c>
      <c r="G124" t="s">
        <v>460</v>
      </c>
      <c r="H124" t="str">
        <f>VLOOKUP(A124, product_table!$A:$C, 3, 0)</f>
        <v>Own Brand</v>
      </c>
      <c r="I124" t="str">
        <f>VLOOKUP(transactions_table8[[#This Row],[market_code]],markets_table!$A:$B,2,0)</f>
        <v>Mumbai</v>
      </c>
      <c r="J124" t="str">
        <f>VLOOKUP(transactions_table8[[#This Row],[market_code]],markets_table!$A:$C,3,0)</f>
        <v>Central</v>
      </c>
      <c r="K124" t="str">
        <f>VLOOKUP(transactions_table8[[#This Row],[customer_code]],customer_table!$A:$B,2,0)</f>
        <v>Electricalsquipo Stores</v>
      </c>
      <c r="L124" t="str">
        <f>VLOOKUP(transactions_table8[[#This Row],[customer_code]],customer_table!$A:$C,3,0)</f>
        <v>Brick &amp; Mortar</v>
      </c>
      <c r="M124">
        <f>IF(TRIM(CLEAN(transactions_table8[[#This Row],[currency]]))="USD",transactions_table8[[#This Row],[sales_amount]]*83,transactions_table8[[#This Row],[sales_amount]])</f>
        <v>3032</v>
      </c>
    </row>
    <row r="125" spans="1:13" x14ac:dyDescent="0.3">
      <c r="A125" t="s">
        <v>183</v>
      </c>
      <c r="B125" t="s">
        <v>22</v>
      </c>
      <c r="C125" t="s">
        <v>141</v>
      </c>
      <c r="D125" s="1">
        <v>43607</v>
      </c>
      <c r="E125">
        <v>2</v>
      </c>
      <c r="F125">
        <v>3194</v>
      </c>
      <c r="G125" t="s">
        <v>460</v>
      </c>
      <c r="H125" t="str">
        <f>VLOOKUP(A125, product_table!$A:$C, 3, 0)</f>
        <v>Own Brand</v>
      </c>
      <c r="I125" t="str">
        <f>VLOOKUP(transactions_table8[[#This Row],[market_code]],markets_table!$A:$B,2,0)</f>
        <v>Ahmedabad</v>
      </c>
      <c r="J125" t="str">
        <f>VLOOKUP(transactions_table8[[#This Row],[market_code]],markets_table!$A:$C,3,0)</f>
        <v>North</v>
      </c>
      <c r="K125" t="str">
        <f>VLOOKUP(transactions_table8[[#This Row],[customer_code]],customer_table!$A:$B,2,0)</f>
        <v>Atlas Stores</v>
      </c>
      <c r="L125" t="str">
        <f>VLOOKUP(transactions_table8[[#This Row],[customer_code]],customer_table!$A:$C,3,0)</f>
        <v>Brick &amp; Mortar</v>
      </c>
      <c r="M125">
        <f>IF(TRIM(CLEAN(transactions_table8[[#This Row],[currency]]))="USD",transactions_table8[[#This Row],[sales_amount]]*83,transactions_table8[[#This Row],[sales_amount]])</f>
        <v>3194</v>
      </c>
    </row>
    <row r="126" spans="1:13" x14ac:dyDescent="0.3">
      <c r="A126" t="s">
        <v>183</v>
      </c>
      <c r="B126" t="s">
        <v>22</v>
      </c>
      <c r="C126" t="s">
        <v>141</v>
      </c>
      <c r="D126" s="1">
        <v>43608</v>
      </c>
      <c r="E126">
        <v>1</v>
      </c>
      <c r="F126">
        <v>912</v>
      </c>
      <c r="G126" t="s">
        <v>460</v>
      </c>
      <c r="H126" t="str">
        <f>VLOOKUP(A126, product_table!$A:$C, 3, 0)</f>
        <v>Own Brand</v>
      </c>
      <c r="I126" t="str">
        <f>VLOOKUP(transactions_table8[[#This Row],[market_code]],markets_table!$A:$B,2,0)</f>
        <v>Ahmedabad</v>
      </c>
      <c r="J126" t="str">
        <f>VLOOKUP(transactions_table8[[#This Row],[market_code]],markets_table!$A:$C,3,0)</f>
        <v>North</v>
      </c>
      <c r="K126" t="str">
        <f>VLOOKUP(transactions_table8[[#This Row],[customer_code]],customer_table!$A:$B,2,0)</f>
        <v>Atlas Stores</v>
      </c>
      <c r="L126" t="str">
        <f>VLOOKUP(transactions_table8[[#This Row],[customer_code]],customer_table!$A:$C,3,0)</f>
        <v>Brick &amp; Mortar</v>
      </c>
      <c r="M126">
        <f>IF(TRIM(CLEAN(transactions_table8[[#This Row],[currency]]))="USD",transactions_table8[[#This Row],[sales_amount]]*83,transactions_table8[[#This Row],[sales_amount]])</f>
        <v>912</v>
      </c>
    </row>
    <row r="127" spans="1:13" x14ac:dyDescent="0.3">
      <c r="A127" t="s">
        <v>183</v>
      </c>
      <c r="B127" t="s">
        <v>22</v>
      </c>
      <c r="C127" t="s">
        <v>141</v>
      </c>
      <c r="D127" s="1">
        <v>43613</v>
      </c>
      <c r="E127">
        <v>1</v>
      </c>
      <c r="F127">
        <v>1824</v>
      </c>
      <c r="G127" t="s">
        <v>460</v>
      </c>
      <c r="H127" t="str">
        <f>VLOOKUP(A127, product_table!$A:$C, 3, 0)</f>
        <v>Own Brand</v>
      </c>
      <c r="I127" t="str">
        <f>VLOOKUP(transactions_table8[[#This Row],[market_code]],markets_table!$A:$B,2,0)</f>
        <v>Ahmedabad</v>
      </c>
      <c r="J127" t="str">
        <f>VLOOKUP(transactions_table8[[#This Row],[market_code]],markets_table!$A:$C,3,0)</f>
        <v>North</v>
      </c>
      <c r="K127" t="str">
        <f>VLOOKUP(transactions_table8[[#This Row],[customer_code]],customer_table!$A:$B,2,0)</f>
        <v>Atlas Stores</v>
      </c>
      <c r="L127" t="str">
        <f>VLOOKUP(transactions_table8[[#This Row],[customer_code]],customer_table!$A:$C,3,0)</f>
        <v>Brick &amp; Mortar</v>
      </c>
      <c r="M127">
        <f>IF(TRIM(CLEAN(transactions_table8[[#This Row],[currency]]))="USD",transactions_table8[[#This Row],[sales_amount]]*83,transactions_table8[[#This Row],[sales_amount]])</f>
        <v>1824</v>
      </c>
    </row>
    <row r="128" spans="1:13" x14ac:dyDescent="0.3">
      <c r="A128" t="s">
        <v>183</v>
      </c>
      <c r="B128" t="s">
        <v>22</v>
      </c>
      <c r="C128" t="s">
        <v>141</v>
      </c>
      <c r="D128" s="1">
        <v>43614</v>
      </c>
      <c r="E128">
        <v>1</v>
      </c>
      <c r="F128">
        <v>458</v>
      </c>
      <c r="G128" t="s">
        <v>460</v>
      </c>
      <c r="H128" t="str">
        <f>VLOOKUP(A128, product_table!$A:$C, 3, 0)</f>
        <v>Own Brand</v>
      </c>
      <c r="I128" t="str">
        <f>VLOOKUP(transactions_table8[[#This Row],[market_code]],markets_table!$A:$B,2,0)</f>
        <v>Ahmedabad</v>
      </c>
      <c r="J128" t="str">
        <f>VLOOKUP(transactions_table8[[#This Row],[market_code]],markets_table!$A:$C,3,0)</f>
        <v>North</v>
      </c>
      <c r="K128" t="str">
        <f>VLOOKUP(transactions_table8[[#This Row],[customer_code]],customer_table!$A:$B,2,0)</f>
        <v>Atlas Stores</v>
      </c>
      <c r="L128" t="str">
        <f>VLOOKUP(transactions_table8[[#This Row],[customer_code]],customer_table!$A:$C,3,0)</f>
        <v>Brick &amp; Mortar</v>
      </c>
      <c r="M128">
        <f>IF(TRIM(CLEAN(transactions_table8[[#This Row],[currency]]))="USD",transactions_table8[[#This Row],[sales_amount]]*83,transactions_table8[[#This Row],[sales_amount]])</f>
        <v>458</v>
      </c>
    </row>
    <row r="129" spans="1:13" x14ac:dyDescent="0.3">
      <c r="A129" t="s">
        <v>183</v>
      </c>
      <c r="B129" t="s">
        <v>8</v>
      </c>
      <c r="C129" t="s">
        <v>141</v>
      </c>
      <c r="D129" s="1">
        <v>43616</v>
      </c>
      <c r="E129">
        <v>3</v>
      </c>
      <c r="F129">
        <v>4444</v>
      </c>
      <c r="G129" t="s">
        <v>460</v>
      </c>
      <c r="H129" t="str">
        <f>VLOOKUP(A129, product_table!$A:$C, 3, 0)</f>
        <v>Own Brand</v>
      </c>
      <c r="I129" t="str">
        <f>VLOOKUP(transactions_table8[[#This Row],[market_code]],markets_table!$A:$B,2,0)</f>
        <v>Ahmedabad</v>
      </c>
      <c r="J129" t="str">
        <f>VLOOKUP(transactions_table8[[#This Row],[market_code]],markets_table!$A:$C,3,0)</f>
        <v>North</v>
      </c>
      <c r="K129" t="str">
        <f>VLOOKUP(transactions_table8[[#This Row],[customer_code]],customer_table!$A:$B,2,0)</f>
        <v>Excel Stores</v>
      </c>
      <c r="L129" t="str">
        <f>VLOOKUP(transactions_table8[[#This Row],[customer_code]],customer_table!$A:$C,3,0)</f>
        <v>Brick &amp; Mortar</v>
      </c>
      <c r="M129">
        <f>IF(TRIM(CLEAN(transactions_table8[[#This Row],[currency]]))="USD",transactions_table8[[#This Row],[sales_amount]]*83,transactions_table8[[#This Row],[sales_amount]])</f>
        <v>4444</v>
      </c>
    </row>
    <row r="130" spans="1:13" x14ac:dyDescent="0.3">
      <c r="A130" t="s">
        <v>183</v>
      </c>
      <c r="B130" t="s">
        <v>22</v>
      </c>
      <c r="C130" t="s">
        <v>141</v>
      </c>
      <c r="D130" s="1">
        <v>43619</v>
      </c>
      <c r="E130">
        <v>1</v>
      </c>
      <c r="F130">
        <v>458</v>
      </c>
      <c r="G130" t="s">
        <v>460</v>
      </c>
      <c r="H130" t="str">
        <f>VLOOKUP(A130, product_table!$A:$C, 3, 0)</f>
        <v>Own Brand</v>
      </c>
      <c r="I130" t="str">
        <f>VLOOKUP(transactions_table8[[#This Row],[market_code]],markets_table!$A:$B,2,0)</f>
        <v>Ahmedabad</v>
      </c>
      <c r="J130" t="str">
        <f>VLOOKUP(transactions_table8[[#This Row],[market_code]],markets_table!$A:$C,3,0)</f>
        <v>North</v>
      </c>
      <c r="K130" t="str">
        <f>VLOOKUP(transactions_table8[[#This Row],[customer_code]],customer_table!$A:$B,2,0)</f>
        <v>Atlas Stores</v>
      </c>
      <c r="L130" t="str">
        <f>VLOOKUP(transactions_table8[[#This Row],[customer_code]],customer_table!$A:$C,3,0)</f>
        <v>Brick &amp; Mortar</v>
      </c>
      <c r="M130">
        <f>IF(TRIM(CLEAN(transactions_table8[[#This Row],[currency]]))="USD",transactions_table8[[#This Row],[sales_amount]]*83,transactions_table8[[#This Row],[sales_amount]])</f>
        <v>458</v>
      </c>
    </row>
    <row r="131" spans="1:13" x14ac:dyDescent="0.3">
      <c r="A131" t="s">
        <v>183</v>
      </c>
      <c r="B131" t="s">
        <v>22</v>
      </c>
      <c r="C131" t="s">
        <v>141</v>
      </c>
      <c r="D131" s="1">
        <v>43620</v>
      </c>
      <c r="E131">
        <v>1</v>
      </c>
      <c r="F131">
        <v>458</v>
      </c>
      <c r="G131" t="s">
        <v>460</v>
      </c>
      <c r="H131" t="str">
        <f>VLOOKUP(A131, product_table!$A:$C, 3, 0)</f>
        <v>Own Brand</v>
      </c>
      <c r="I131" t="str">
        <f>VLOOKUP(transactions_table8[[#This Row],[market_code]],markets_table!$A:$B,2,0)</f>
        <v>Ahmedabad</v>
      </c>
      <c r="J131" t="str">
        <f>VLOOKUP(transactions_table8[[#This Row],[market_code]],markets_table!$A:$C,3,0)</f>
        <v>North</v>
      </c>
      <c r="K131" t="str">
        <f>VLOOKUP(transactions_table8[[#This Row],[customer_code]],customer_table!$A:$B,2,0)</f>
        <v>Atlas Stores</v>
      </c>
      <c r="L131" t="str">
        <f>VLOOKUP(transactions_table8[[#This Row],[customer_code]],customer_table!$A:$C,3,0)</f>
        <v>Brick &amp; Mortar</v>
      </c>
      <c r="M131">
        <f>IF(TRIM(CLEAN(transactions_table8[[#This Row],[currency]]))="USD",transactions_table8[[#This Row],[sales_amount]]*83,transactions_table8[[#This Row],[sales_amount]])</f>
        <v>458</v>
      </c>
    </row>
    <row r="132" spans="1:13" x14ac:dyDescent="0.3">
      <c r="A132" t="s">
        <v>183</v>
      </c>
      <c r="B132" t="s">
        <v>22</v>
      </c>
      <c r="C132" t="s">
        <v>141</v>
      </c>
      <c r="D132" s="1">
        <v>43621</v>
      </c>
      <c r="E132">
        <v>1</v>
      </c>
      <c r="F132">
        <v>1824</v>
      </c>
      <c r="G132" t="s">
        <v>460</v>
      </c>
      <c r="H132" t="str">
        <f>VLOOKUP(A132, product_table!$A:$C, 3, 0)</f>
        <v>Own Brand</v>
      </c>
      <c r="I132" t="str">
        <f>VLOOKUP(transactions_table8[[#This Row],[market_code]],markets_table!$A:$B,2,0)</f>
        <v>Ahmedabad</v>
      </c>
      <c r="J132" t="str">
        <f>VLOOKUP(transactions_table8[[#This Row],[market_code]],markets_table!$A:$C,3,0)</f>
        <v>North</v>
      </c>
      <c r="K132" t="str">
        <f>VLOOKUP(transactions_table8[[#This Row],[customer_code]],customer_table!$A:$B,2,0)</f>
        <v>Atlas Stores</v>
      </c>
      <c r="L132" t="str">
        <f>VLOOKUP(transactions_table8[[#This Row],[customer_code]],customer_table!$A:$C,3,0)</f>
        <v>Brick &amp; Mortar</v>
      </c>
      <c r="M132">
        <f>IF(TRIM(CLEAN(transactions_table8[[#This Row],[currency]]))="USD",transactions_table8[[#This Row],[sales_amount]]*83,transactions_table8[[#This Row],[sales_amount]])</f>
        <v>1824</v>
      </c>
    </row>
    <row r="133" spans="1:13" x14ac:dyDescent="0.3">
      <c r="A133" t="s">
        <v>183</v>
      </c>
      <c r="B133" t="s">
        <v>8</v>
      </c>
      <c r="C133" t="s">
        <v>141</v>
      </c>
      <c r="D133" s="1">
        <v>43621</v>
      </c>
      <c r="E133">
        <v>2</v>
      </c>
      <c r="F133">
        <v>2667</v>
      </c>
      <c r="G133" t="s">
        <v>460</v>
      </c>
      <c r="H133" t="str">
        <f>VLOOKUP(A133, product_table!$A:$C, 3, 0)</f>
        <v>Own Brand</v>
      </c>
      <c r="I133" t="str">
        <f>VLOOKUP(transactions_table8[[#This Row],[market_code]],markets_table!$A:$B,2,0)</f>
        <v>Ahmedabad</v>
      </c>
      <c r="J133" t="str">
        <f>VLOOKUP(transactions_table8[[#This Row],[market_code]],markets_table!$A:$C,3,0)</f>
        <v>North</v>
      </c>
      <c r="K133" t="str">
        <f>VLOOKUP(transactions_table8[[#This Row],[customer_code]],customer_table!$A:$B,2,0)</f>
        <v>Excel Stores</v>
      </c>
      <c r="L133" t="str">
        <f>VLOOKUP(transactions_table8[[#This Row],[customer_code]],customer_table!$A:$C,3,0)</f>
        <v>Brick &amp; Mortar</v>
      </c>
      <c r="M133">
        <f>IF(TRIM(CLEAN(transactions_table8[[#This Row],[currency]]))="USD",transactions_table8[[#This Row],[sales_amount]]*83,transactions_table8[[#This Row],[sales_amount]])</f>
        <v>2667</v>
      </c>
    </row>
    <row r="134" spans="1:13" x14ac:dyDescent="0.3">
      <c r="A134" t="s">
        <v>183</v>
      </c>
      <c r="B134" t="s">
        <v>22</v>
      </c>
      <c r="C134" t="s">
        <v>141</v>
      </c>
      <c r="D134" s="1">
        <v>43622</v>
      </c>
      <c r="E134">
        <v>14</v>
      </c>
      <c r="F134">
        <v>19171</v>
      </c>
      <c r="G134" t="s">
        <v>460</v>
      </c>
      <c r="H134" t="str">
        <f>VLOOKUP(A134, product_table!$A:$C, 3, 0)</f>
        <v>Own Brand</v>
      </c>
      <c r="I134" t="str">
        <f>VLOOKUP(transactions_table8[[#This Row],[market_code]],markets_table!$A:$B,2,0)</f>
        <v>Ahmedabad</v>
      </c>
      <c r="J134" t="str">
        <f>VLOOKUP(transactions_table8[[#This Row],[market_code]],markets_table!$A:$C,3,0)</f>
        <v>North</v>
      </c>
      <c r="K134" t="str">
        <f>VLOOKUP(transactions_table8[[#This Row],[customer_code]],customer_table!$A:$B,2,0)</f>
        <v>Atlas Stores</v>
      </c>
      <c r="L134" t="str">
        <f>VLOOKUP(transactions_table8[[#This Row],[customer_code]],customer_table!$A:$C,3,0)</f>
        <v>Brick &amp; Mortar</v>
      </c>
      <c r="M134">
        <f>IF(TRIM(CLEAN(transactions_table8[[#This Row],[currency]]))="USD",transactions_table8[[#This Row],[sales_amount]]*83,transactions_table8[[#This Row],[sales_amount]])</f>
        <v>19171</v>
      </c>
    </row>
    <row r="135" spans="1:13" x14ac:dyDescent="0.3">
      <c r="A135" t="s">
        <v>183</v>
      </c>
      <c r="B135" t="s">
        <v>22</v>
      </c>
      <c r="C135" t="s">
        <v>141</v>
      </c>
      <c r="D135" s="1">
        <v>43623</v>
      </c>
      <c r="E135">
        <v>1</v>
      </c>
      <c r="F135">
        <v>458</v>
      </c>
      <c r="G135" t="s">
        <v>460</v>
      </c>
      <c r="H135" t="str">
        <f>VLOOKUP(A135, product_table!$A:$C, 3, 0)</f>
        <v>Own Brand</v>
      </c>
      <c r="I135" t="str">
        <f>VLOOKUP(transactions_table8[[#This Row],[market_code]],markets_table!$A:$B,2,0)</f>
        <v>Ahmedabad</v>
      </c>
      <c r="J135" t="str">
        <f>VLOOKUP(transactions_table8[[#This Row],[market_code]],markets_table!$A:$C,3,0)</f>
        <v>North</v>
      </c>
      <c r="K135" t="str">
        <f>VLOOKUP(transactions_table8[[#This Row],[customer_code]],customer_table!$A:$B,2,0)</f>
        <v>Atlas Stores</v>
      </c>
      <c r="L135" t="str">
        <f>VLOOKUP(transactions_table8[[#This Row],[customer_code]],customer_table!$A:$C,3,0)</f>
        <v>Brick &amp; Mortar</v>
      </c>
      <c r="M135">
        <f>IF(TRIM(CLEAN(transactions_table8[[#This Row],[currency]]))="USD",transactions_table8[[#This Row],[sales_amount]]*83,transactions_table8[[#This Row],[sales_amount]])</f>
        <v>458</v>
      </c>
    </row>
    <row r="136" spans="1:13" x14ac:dyDescent="0.3">
      <c r="A136" t="s">
        <v>183</v>
      </c>
      <c r="B136" t="s">
        <v>22</v>
      </c>
      <c r="C136" t="s">
        <v>141</v>
      </c>
      <c r="D136" s="1">
        <v>43627</v>
      </c>
      <c r="E136">
        <v>1</v>
      </c>
      <c r="F136">
        <v>458</v>
      </c>
      <c r="G136" t="s">
        <v>460</v>
      </c>
      <c r="H136" t="str">
        <f>VLOOKUP(A136, product_table!$A:$C, 3, 0)</f>
        <v>Own Brand</v>
      </c>
      <c r="I136" t="str">
        <f>VLOOKUP(transactions_table8[[#This Row],[market_code]],markets_table!$A:$B,2,0)</f>
        <v>Ahmedabad</v>
      </c>
      <c r="J136" t="str">
        <f>VLOOKUP(transactions_table8[[#This Row],[market_code]],markets_table!$A:$C,3,0)</f>
        <v>North</v>
      </c>
      <c r="K136" t="str">
        <f>VLOOKUP(transactions_table8[[#This Row],[customer_code]],customer_table!$A:$B,2,0)</f>
        <v>Atlas Stores</v>
      </c>
      <c r="L136" t="str">
        <f>VLOOKUP(transactions_table8[[#This Row],[customer_code]],customer_table!$A:$C,3,0)</f>
        <v>Brick &amp; Mortar</v>
      </c>
      <c r="M136">
        <f>IF(TRIM(CLEAN(transactions_table8[[#This Row],[currency]]))="USD",transactions_table8[[#This Row],[sales_amount]]*83,transactions_table8[[#This Row],[sales_amount]])</f>
        <v>458</v>
      </c>
    </row>
    <row r="137" spans="1:13" x14ac:dyDescent="0.3">
      <c r="A137" t="s">
        <v>183</v>
      </c>
      <c r="B137" t="s">
        <v>22</v>
      </c>
      <c r="C137" t="s">
        <v>141</v>
      </c>
      <c r="D137" s="1">
        <v>43628</v>
      </c>
      <c r="E137">
        <v>1</v>
      </c>
      <c r="F137">
        <v>458</v>
      </c>
      <c r="G137" t="s">
        <v>460</v>
      </c>
      <c r="H137" t="str">
        <f>VLOOKUP(A137, product_table!$A:$C, 3, 0)</f>
        <v>Own Brand</v>
      </c>
      <c r="I137" t="str">
        <f>VLOOKUP(transactions_table8[[#This Row],[market_code]],markets_table!$A:$B,2,0)</f>
        <v>Ahmedabad</v>
      </c>
      <c r="J137" t="str">
        <f>VLOOKUP(transactions_table8[[#This Row],[market_code]],markets_table!$A:$C,3,0)</f>
        <v>North</v>
      </c>
      <c r="K137" t="str">
        <f>VLOOKUP(transactions_table8[[#This Row],[customer_code]],customer_table!$A:$B,2,0)</f>
        <v>Atlas Stores</v>
      </c>
      <c r="L137" t="str">
        <f>VLOOKUP(transactions_table8[[#This Row],[customer_code]],customer_table!$A:$C,3,0)</f>
        <v>Brick &amp; Mortar</v>
      </c>
      <c r="M137">
        <f>IF(TRIM(CLEAN(transactions_table8[[#This Row],[currency]]))="USD",transactions_table8[[#This Row],[sales_amount]]*83,transactions_table8[[#This Row],[sales_amount]])</f>
        <v>458</v>
      </c>
    </row>
    <row r="138" spans="1:13" x14ac:dyDescent="0.3">
      <c r="A138" t="s">
        <v>183</v>
      </c>
      <c r="B138" t="s">
        <v>22</v>
      </c>
      <c r="C138" t="s">
        <v>141</v>
      </c>
      <c r="D138" s="1">
        <v>43630</v>
      </c>
      <c r="E138">
        <v>1</v>
      </c>
      <c r="F138">
        <v>1370</v>
      </c>
      <c r="G138" t="s">
        <v>460</v>
      </c>
      <c r="H138" t="str">
        <f>VLOOKUP(A138, product_table!$A:$C, 3, 0)</f>
        <v>Own Brand</v>
      </c>
      <c r="I138" t="str">
        <f>VLOOKUP(transactions_table8[[#This Row],[market_code]],markets_table!$A:$B,2,0)</f>
        <v>Ahmedabad</v>
      </c>
      <c r="J138" t="str">
        <f>VLOOKUP(transactions_table8[[#This Row],[market_code]],markets_table!$A:$C,3,0)</f>
        <v>North</v>
      </c>
      <c r="K138" t="str">
        <f>VLOOKUP(transactions_table8[[#This Row],[customer_code]],customer_table!$A:$B,2,0)</f>
        <v>Atlas Stores</v>
      </c>
      <c r="L138" t="str">
        <f>VLOOKUP(transactions_table8[[#This Row],[customer_code]],customer_table!$A:$C,3,0)</f>
        <v>Brick &amp; Mortar</v>
      </c>
      <c r="M138">
        <f>IF(TRIM(CLEAN(transactions_table8[[#This Row],[currency]]))="USD",transactions_table8[[#This Row],[sales_amount]]*83,transactions_table8[[#This Row],[sales_amount]])</f>
        <v>1370</v>
      </c>
    </row>
    <row r="139" spans="1:13" x14ac:dyDescent="0.3">
      <c r="A139" t="s">
        <v>183</v>
      </c>
      <c r="B139" t="s">
        <v>8</v>
      </c>
      <c r="C139" t="s">
        <v>141</v>
      </c>
      <c r="D139" s="1">
        <v>43630</v>
      </c>
      <c r="E139">
        <v>2</v>
      </c>
      <c r="F139">
        <v>2667</v>
      </c>
      <c r="G139" t="s">
        <v>460</v>
      </c>
      <c r="H139" t="str">
        <f>VLOOKUP(A139, product_table!$A:$C, 3, 0)</f>
        <v>Own Brand</v>
      </c>
      <c r="I139" t="str">
        <f>VLOOKUP(transactions_table8[[#This Row],[market_code]],markets_table!$A:$B,2,0)</f>
        <v>Ahmedabad</v>
      </c>
      <c r="J139" t="str">
        <f>VLOOKUP(transactions_table8[[#This Row],[market_code]],markets_table!$A:$C,3,0)</f>
        <v>North</v>
      </c>
      <c r="K139" t="str">
        <f>VLOOKUP(transactions_table8[[#This Row],[customer_code]],customer_table!$A:$B,2,0)</f>
        <v>Excel Stores</v>
      </c>
      <c r="L139" t="str">
        <f>VLOOKUP(transactions_table8[[#This Row],[customer_code]],customer_table!$A:$C,3,0)</f>
        <v>Brick &amp; Mortar</v>
      </c>
      <c r="M139">
        <f>IF(TRIM(CLEAN(transactions_table8[[#This Row],[currency]]))="USD",transactions_table8[[#This Row],[sales_amount]]*83,transactions_table8[[#This Row],[sales_amount]])</f>
        <v>2667</v>
      </c>
    </row>
    <row r="140" spans="1:13" x14ac:dyDescent="0.3">
      <c r="A140" t="s">
        <v>183</v>
      </c>
      <c r="B140" t="s">
        <v>8</v>
      </c>
      <c r="C140" t="s">
        <v>141</v>
      </c>
      <c r="D140" s="1">
        <v>43633</v>
      </c>
      <c r="E140">
        <v>1</v>
      </c>
      <c r="F140">
        <v>1333</v>
      </c>
      <c r="G140" t="s">
        <v>460</v>
      </c>
      <c r="H140" t="str">
        <f>VLOOKUP(A140, product_table!$A:$C, 3, 0)</f>
        <v>Own Brand</v>
      </c>
      <c r="I140" t="str">
        <f>VLOOKUP(transactions_table8[[#This Row],[market_code]],markets_table!$A:$B,2,0)</f>
        <v>Ahmedabad</v>
      </c>
      <c r="J140" t="str">
        <f>VLOOKUP(transactions_table8[[#This Row],[market_code]],markets_table!$A:$C,3,0)</f>
        <v>North</v>
      </c>
      <c r="K140" t="str">
        <f>VLOOKUP(transactions_table8[[#This Row],[customer_code]],customer_table!$A:$B,2,0)</f>
        <v>Excel Stores</v>
      </c>
      <c r="L140" t="str">
        <f>VLOOKUP(transactions_table8[[#This Row],[customer_code]],customer_table!$A:$C,3,0)</f>
        <v>Brick &amp; Mortar</v>
      </c>
      <c r="M140">
        <f>IF(TRIM(CLEAN(transactions_table8[[#This Row],[currency]]))="USD",transactions_table8[[#This Row],[sales_amount]]*83,transactions_table8[[#This Row],[sales_amount]])</f>
        <v>1333</v>
      </c>
    </row>
    <row r="141" spans="1:13" x14ac:dyDescent="0.3">
      <c r="A141" t="s">
        <v>183</v>
      </c>
      <c r="B141" t="s">
        <v>24</v>
      </c>
      <c r="C141" t="s">
        <v>141</v>
      </c>
      <c r="D141" s="1">
        <v>43634</v>
      </c>
      <c r="E141">
        <v>1</v>
      </c>
      <c r="F141">
        <v>597</v>
      </c>
      <c r="G141" t="s">
        <v>460</v>
      </c>
      <c r="H141" t="str">
        <f>VLOOKUP(A141, product_table!$A:$C, 3, 0)</f>
        <v>Own Brand</v>
      </c>
      <c r="I141" t="str">
        <f>VLOOKUP(transactions_table8[[#This Row],[market_code]],markets_table!$A:$B,2,0)</f>
        <v>Ahmedabad</v>
      </c>
      <c r="J141" t="str">
        <f>VLOOKUP(transactions_table8[[#This Row],[market_code]],markets_table!$A:$C,3,0)</f>
        <v>North</v>
      </c>
      <c r="K141" t="str">
        <f>VLOOKUP(transactions_table8[[#This Row],[customer_code]],customer_table!$A:$B,2,0)</f>
        <v>Flawless Stores</v>
      </c>
      <c r="L141" t="str">
        <f>VLOOKUP(transactions_table8[[#This Row],[customer_code]],customer_table!$A:$C,3,0)</f>
        <v>Brick &amp; Mortar</v>
      </c>
      <c r="M141">
        <f>IF(TRIM(CLEAN(transactions_table8[[#This Row],[currency]]))="USD",transactions_table8[[#This Row],[sales_amount]]*83,transactions_table8[[#This Row],[sales_amount]])</f>
        <v>597</v>
      </c>
    </row>
    <row r="142" spans="1:13" x14ac:dyDescent="0.3">
      <c r="A142" t="s">
        <v>183</v>
      </c>
      <c r="B142" t="s">
        <v>8</v>
      </c>
      <c r="C142" t="s">
        <v>141</v>
      </c>
      <c r="D142" s="1">
        <v>43634</v>
      </c>
      <c r="E142">
        <v>7</v>
      </c>
      <c r="F142">
        <v>8889</v>
      </c>
      <c r="G142" t="s">
        <v>460</v>
      </c>
      <c r="H142" t="str">
        <f>VLOOKUP(A142, product_table!$A:$C, 3, 0)</f>
        <v>Own Brand</v>
      </c>
      <c r="I142" t="str">
        <f>VLOOKUP(transactions_table8[[#This Row],[market_code]],markets_table!$A:$B,2,0)</f>
        <v>Ahmedabad</v>
      </c>
      <c r="J142" t="str">
        <f>VLOOKUP(transactions_table8[[#This Row],[market_code]],markets_table!$A:$C,3,0)</f>
        <v>North</v>
      </c>
      <c r="K142" t="str">
        <f>VLOOKUP(transactions_table8[[#This Row],[customer_code]],customer_table!$A:$B,2,0)</f>
        <v>Excel Stores</v>
      </c>
      <c r="L142" t="str">
        <f>VLOOKUP(transactions_table8[[#This Row],[customer_code]],customer_table!$A:$C,3,0)</f>
        <v>Brick &amp; Mortar</v>
      </c>
      <c r="M142">
        <f>IF(TRIM(CLEAN(transactions_table8[[#This Row],[currency]]))="USD",transactions_table8[[#This Row],[sales_amount]]*83,transactions_table8[[#This Row],[sales_amount]])</f>
        <v>8889</v>
      </c>
    </row>
    <row r="143" spans="1:13" x14ac:dyDescent="0.3">
      <c r="A143" t="s">
        <v>183</v>
      </c>
      <c r="B143" t="s">
        <v>8</v>
      </c>
      <c r="C143" t="s">
        <v>141</v>
      </c>
      <c r="D143" s="1">
        <v>43635</v>
      </c>
      <c r="E143">
        <v>1</v>
      </c>
      <c r="F143">
        <v>1778</v>
      </c>
      <c r="G143" t="s">
        <v>460</v>
      </c>
      <c r="H143" t="str">
        <f>VLOOKUP(A143, product_table!$A:$C, 3, 0)</f>
        <v>Own Brand</v>
      </c>
      <c r="I143" t="str">
        <f>VLOOKUP(transactions_table8[[#This Row],[market_code]],markets_table!$A:$B,2,0)</f>
        <v>Ahmedabad</v>
      </c>
      <c r="J143" t="str">
        <f>VLOOKUP(transactions_table8[[#This Row],[market_code]],markets_table!$A:$C,3,0)</f>
        <v>North</v>
      </c>
      <c r="K143" t="str">
        <f>VLOOKUP(transactions_table8[[#This Row],[customer_code]],customer_table!$A:$B,2,0)</f>
        <v>Excel Stores</v>
      </c>
      <c r="L143" t="str">
        <f>VLOOKUP(transactions_table8[[#This Row],[customer_code]],customer_table!$A:$C,3,0)</f>
        <v>Brick &amp; Mortar</v>
      </c>
      <c r="M143">
        <f>IF(TRIM(CLEAN(transactions_table8[[#This Row],[currency]]))="USD",transactions_table8[[#This Row],[sales_amount]]*83,transactions_table8[[#This Row],[sales_amount]])</f>
        <v>1778</v>
      </c>
    </row>
    <row r="144" spans="1:13" x14ac:dyDescent="0.3">
      <c r="A144" t="s">
        <v>183</v>
      </c>
      <c r="B144" t="s">
        <v>22</v>
      </c>
      <c r="C144" t="s">
        <v>141</v>
      </c>
      <c r="D144" s="1">
        <v>43644</v>
      </c>
      <c r="E144">
        <v>7</v>
      </c>
      <c r="F144">
        <v>9130</v>
      </c>
      <c r="G144" t="s">
        <v>460</v>
      </c>
      <c r="H144" t="str">
        <f>VLOOKUP(A144, product_table!$A:$C, 3, 0)</f>
        <v>Own Brand</v>
      </c>
      <c r="I144" t="str">
        <f>VLOOKUP(transactions_table8[[#This Row],[market_code]],markets_table!$A:$B,2,0)</f>
        <v>Ahmedabad</v>
      </c>
      <c r="J144" t="str">
        <f>VLOOKUP(transactions_table8[[#This Row],[market_code]],markets_table!$A:$C,3,0)</f>
        <v>North</v>
      </c>
      <c r="K144" t="str">
        <f>VLOOKUP(transactions_table8[[#This Row],[customer_code]],customer_table!$A:$B,2,0)</f>
        <v>Atlas Stores</v>
      </c>
      <c r="L144" t="str">
        <f>VLOOKUP(transactions_table8[[#This Row],[customer_code]],customer_table!$A:$C,3,0)</f>
        <v>Brick &amp; Mortar</v>
      </c>
      <c r="M144">
        <f>IF(TRIM(CLEAN(transactions_table8[[#This Row],[currency]]))="USD",transactions_table8[[#This Row],[sales_amount]]*83,transactions_table8[[#This Row],[sales_amount]])</f>
        <v>9130</v>
      </c>
    </row>
    <row r="145" spans="1:13" x14ac:dyDescent="0.3">
      <c r="A145" t="s">
        <v>184</v>
      </c>
      <c r="B145" t="s">
        <v>24</v>
      </c>
      <c r="C145" t="s">
        <v>141</v>
      </c>
      <c r="D145" s="1">
        <v>43213</v>
      </c>
      <c r="E145">
        <v>1</v>
      </c>
      <c r="F145">
        <v>602</v>
      </c>
      <c r="G145" t="s">
        <v>460</v>
      </c>
      <c r="H145" t="str">
        <f>VLOOKUP(A145, product_table!$A:$C, 3, 0)</f>
        <v>Own Brand</v>
      </c>
      <c r="I145" t="str">
        <f>VLOOKUP(transactions_table8[[#This Row],[market_code]],markets_table!$A:$B,2,0)</f>
        <v>Ahmedabad</v>
      </c>
      <c r="J145" t="str">
        <f>VLOOKUP(transactions_table8[[#This Row],[market_code]],markets_table!$A:$C,3,0)</f>
        <v>North</v>
      </c>
      <c r="K145" t="str">
        <f>VLOOKUP(transactions_table8[[#This Row],[customer_code]],customer_table!$A:$B,2,0)</f>
        <v>Flawless Stores</v>
      </c>
      <c r="L145" t="str">
        <f>VLOOKUP(transactions_table8[[#This Row],[customer_code]],customer_table!$A:$C,3,0)</f>
        <v>Brick &amp; Mortar</v>
      </c>
      <c r="M145">
        <f>IF(TRIM(CLEAN(transactions_table8[[#This Row],[currency]]))="USD",transactions_table8[[#This Row],[sales_amount]]*83,transactions_table8[[#This Row],[sales_amount]])</f>
        <v>602</v>
      </c>
    </row>
    <row r="146" spans="1:13" x14ac:dyDescent="0.3">
      <c r="A146" t="s">
        <v>184</v>
      </c>
      <c r="B146" t="s">
        <v>26</v>
      </c>
      <c r="C146" t="s">
        <v>141</v>
      </c>
      <c r="D146" s="1">
        <v>43223</v>
      </c>
      <c r="E146">
        <v>2</v>
      </c>
      <c r="F146">
        <v>3227</v>
      </c>
      <c r="G146" t="s">
        <v>460</v>
      </c>
      <c r="H146" t="str">
        <f>VLOOKUP(A146, product_table!$A:$C, 3, 0)</f>
        <v>Own Brand</v>
      </c>
      <c r="I146" t="str">
        <f>VLOOKUP(transactions_table8[[#This Row],[market_code]],markets_table!$A:$B,2,0)</f>
        <v>Ahmedabad</v>
      </c>
      <c r="J146" t="str">
        <f>VLOOKUP(transactions_table8[[#This Row],[market_code]],markets_table!$A:$C,3,0)</f>
        <v>North</v>
      </c>
      <c r="K146" t="str">
        <f>VLOOKUP(transactions_table8[[#This Row],[customer_code]],customer_table!$A:$B,2,0)</f>
        <v>Integration Stores</v>
      </c>
      <c r="L146" t="str">
        <f>VLOOKUP(transactions_table8[[#This Row],[customer_code]],customer_table!$A:$C,3,0)</f>
        <v>Brick &amp; Mortar</v>
      </c>
      <c r="M146">
        <f>IF(TRIM(CLEAN(transactions_table8[[#This Row],[currency]]))="USD",transactions_table8[[#This Row],[sales_amount]]*83,transactions_table8[[#This Row],[sales_amount]])</f>
        <v>3227</v>
      </c>
    </row>
    <row r="147" spans="1:13" x14ac:dyDescent="0.3">
      <c r="A147" t="s">
        <v>184</v>
      </c>
      <c r="B147" t="s">
        <v>8</v>
      </c>
      <c r="C147" t="s">
        <v>141</v>
      </c>
      <c r="D147" s="1">
        <v>43224</v>
      </c>
      <c r="E147">
        <v>1</v>
      </c>
      <c r="F147">
        <v>449</v>
      </c>
      <c r="G147" t="s">
        <v>460</v>
      </c>
      <c r="H147" t="str">
        <f>VLOOKUP(A147, product_table!$A:$C, 3, 0)</f>
        <v>Own Brand</v>
      </c>
      <c r="I147" t="str">
        <f>VLOOKUP(transactions_table8[[#This Row],[market_code]],markets_table!$A:$B,2,0)</f>
        <v>Ahmedabad</v>
      </c>
      <c r="J147" t="str">
        <f>VLOOKUP(transactions_table8[[#This Row],[market_code]],markets_table!$A:$C,3,0)</f>
        <v>North</v>
      </c>
      <c r="K147" t="str">
        <f>VLOOKUP(transactions_table8[[#This Row],[customer_code]],customer_table!$A:$B,2,0)</f>
        <v>Excel Stores</v>
      </c>
      <c r="L147" t="str">
        <f>VLOOKUP(transactions_table8[[#This Row],[customer_code]],customer_table!$A:$C,3,0)</f>
        <v>Brick &amp; Mortar</v>
      </c>
      <c r="M147">
        <f>IF(TRIM(CLEAN(transactions_table8[[#This Row],[currency]]))="USD",transactions_table8[[#This Row],[sales_amount]]*83,transactions_table8[[#This Row],[sales_amount]])</f>
        <v>449</v>
      </c>
    </row>
    <row r="148" spans="1:13" x14ac:dyDescent="0.3">
      <c r="A148" t="s">
        <v>184</v>
      </c>
      <c r="B148" t="s">
        <v>8</v>
      </c>
      <c r="C148" t="s">
        <v>141</v>
      </c>
      <c r="D148" s="1">
        <v>43227</v>
      </c>
      <c r="E148">
        <v>1</v>
      </c>
      <c r="F148">
        <v>449</v>
      </c>
      <c r="G148" t="s">
        <v>460</v>
      </c>
      <c r="H148" t="str">
        <f>VLOOKUP(A148, product_table!$A:$C, 3, 0)</f>
        <v>Own Brand</v>
      </c>
      <c r="I148" t="str">
        <f>VLOOKUP(transactions_table8[[#This Row],[market_code]],markets_table!$A:$B,2,0)</f>
        <v>Ahmedabad</v>
      </c>
      <c r="J148" t="str">
        <f>VLOOKUP(transactions_table8[[#This Row],[market_code]],markets_table!$A:$C,3,0)</f>
        <v>North</v>
      </c>
      <c r="K148" t="str">
        <f>VLOOKUP(transactions_table8[[#This Row],[customer_code]],customer_table!$A:$B,2,0)</f>
        <v>Excel Stores</v>
      </c>
      <c r="L148" t="str">
        <f>VLOOKUP(transactions_table8[[#This Row],[customer_code]],customer_table!$A:$C,3,0)</f>
        <v>Brick &amp; Mortar</v>
      </c>
      <c r="M148">
        <f>IF(TRIM(CLEAN(transactions_table8[[#This Row],[currency]]))="USD",transactions_table8[[#This Row],[sales_amount]]*83,transactions_table8[[#This Row],[sales_amount]])</f>
        <v>449</v>
      </c>
    </row>
    <row r="149" spans="1:13" x14ac:dyDescent="0.3">
      <c r="A149" t="s">
        <v>184</v>
      </c>
      <c r="B149" t="s">
        <v>8</v>
      </c>
      <c r="C149" t="s">
        <v>141</v>
      </c>
      <c r="D149" s="1">
        <v>43229</v>
      </c>
      <c r="E149">
        <v>1</v>
      </c>
      <c r="F149">
        <v>449</v>
      </c>
      <c r="G149" t="s">
        <v>460</v>
      </c>
      <c r="H149" t="str">
        <f>VLOOKUP(A149, product_table!$A:$C, 3, 0)</f>
        <v>Own Brand</v>
      </c>
      <c r="I149" t="str">
        <f>VLOOKUP(transactions_table8[[#This Row],[market_code]],markets_table!$A:$B,2,0)</f>
        <v>Ahmedabad</v>
      </c>
      <c r="J149" t="str">
        <f>VLOOKUP(transactions_table8[[#This Row],[market_code]],markets_table!$A:$C,3,0)</f>
        <v>North</v>
      </c>
      <c r="K149" t="str">
        <f>VLOOKUP(transactions_table8[[#This Row],[customer_code]],customer_table!$A:$B,2,0)</f>
        <v>Excel Stores</v>
      </c>
      <c r="L149" t="str">
        <f>VLOOKUP(transactions_table8[[#This Row],[customer_code]],customer_table!$A:$C,3,0)</f>
        <v>Brick &amp; Mortar</v>
      </c>
      <c r="M149">
        <f>IF(TRIM(CLEAN(transactions_table8[[#This Row],[currency]]))="USD",transactions_table8[[#This Row],[sales_amount]]*83,transactions_table8[[#This Row],[sales_amount]])</f>
        <v>449</v>
      </c>
    </row>
    <row r="150" spans="1:13" x14ac:dyDescent="0.3">
      <c r="A150" t="s">
        <v>184</v>
      </c>
      <c r="B150" t="s">
        <v>8</v>
      </c>
      <c r="C150" t="s">
        <v>141</v>
      </c>
      <c r="D150" s="1">
        <v>43231</v>
      </c>
      <c r="E150">
        <v>1</v>
      </c>
      <c r="F150">
        <v>449</v>
      </c>
      <c r="G150" t="s">
        <v>460</v>
      </c>
      <c r="H150" t="str">
        <f>VLOOKUP(A150, product_table!$A:$C, 3, 0)</f>
        <v>Own Brand</v>
      </c>
      <c r="I150" t="str">
        <f>VLOOKUP(transactions_table8[[#This Row],[market_code]],markets_table!$A:$B,2,0)</f>
        <v>Ahmedabad</v>
      </c>
      <c r="J150" t="str">
        <f>VLOOKUP(transactions_table8[[#This Row],[market_code]],markets_table!$A:$C,3,0)</f>
        <v>North</v>
      </c>
      <c r="K150" t="str">
        <f>VLOOKUP(transactions_table8[[#This Row],[customer_code]],customer_table!$A:$B,2,0)</f>
        <v>Excel Stores</v>
      </c>
      <c r="L150" t="str">
        <f>VLOOKUP(transactions_table8[[#This Row],[customer_code]],customer_table!$A:$C,3,0)</f>
        <v>Brick &amp; Mortar</v>
      </c>
      <c r="M150">
        <f>IF(TRIM(CLEAN(transactions_table8[[#This Row],[currency]]))="USD",transactions_table8[[#This Row],[sales_amount]]*83,transactions_table8[[#This Row],[sales_amount]])</f>
        <v>449</v>
      </c>
    </row>
    <row r="151" spans="1:13" x14ac:dyDescent="0.3">
      <c r="A151" t="s">
        <v>184</v>
      </c>
      <c r="B151" t="s">
        <v>28</v>
      </c>
      <c r="C151" t="s">
        <v>141</v>
      </c>
      <c r="D151" s="1">
        <v>43231</v>
      </c>
      <c r="E151">
        <v>7</v>
      </c>
      <c r="F151">
        <v>9880</v>
      </c>
      <c r="G151" t="s">
        <v>460</v>
      </c>
      <c r="H151" t="str">
        <f>VLOOKUP(A151, product_table!$A:$C, 3, 0)</f>
        <v>Own Brand</v>
      </c>
      <c r="I151" t="str">
        <f>VLOOKUP(transactions_table8[[#This Row],[market_code]],markets_table!$A:$B,2,0)</f>
        <v>Ahmedabad</v>
      </c>
      <c r="J151" t="str">
        <f>VLOOKUP(transactions_table8[[#This Row],[market_code]],markets_table!$A:$C,3,0)</f>
        <v>North</v>
      </c>
      <c r="K151" t="str">
        <f>VLOOKUP(transactions_table8[[#This Row],[customer_code]],customer_table!$A:$B,2,0)</f>
        <v>Unity Stores</v>
      </c>
      <c r="L151" t="str">
        <f>VLOOKUP(transactions_table8[[#This Row],[customer_code]],customer_table!$A:$C,3,0)</f>
        <v>Brick &amp; Mortar</v>
      </c>
      <c r="M151">
        <f>IF(TRIM(CLEAN(transactions_table8[[#This Row],[currency]]))="USD",transactions_table8[[#This Row],[sales_amount]]*83,transactions_table8[[#This Row],[sales_amount]])</f>
        <v>9880</v>
      </c>
    </row>
    <row r="152" spans="1:13" x14ac:dyDescent="0.3">
      <c r="A152" t="s">
        <v>184</v>
      </c>
      <c r="B152" t="s">
        <v>24</v>
      </c>
      <c r="C152" t="s">
        <v>141</v>
      </c>
      <c r="D152" s="1">
        <v>43236</v>
      </c>
      <c r="E152">
        <v>1</v>
      </c>
      <c r="F152">
        <v>301</v>
      </c>
      <c r="G152" t="s">
        <v>460</v>
      </c>
      <c r="H152" t="str">
        <f>VLOOKUP(A152, product_table!$A:$C, 3, 0)</f>
        <v>Own Brand</v>
      </c>
      <c r="I152" t="str">
        <f>VLOOKUP(transactions_table8[[#This Row],[market_code]],markets_table!$A:$B,2,0)</f>
        <v>Ahmedabad</v>
      </c>
      <c r="J152" t="str">
        <f>VLOOKUP(transactions_table8[[#This Row],[market_code]],markets_table!$A:$C,3,0)</f>
        <v>North</v>
      </c>
      <c r="K152" t="str">
        <f>VLOOKUP(transactions_table8[[#This Row],[customer_code]],customer_table!$A:$B,2,0)</f>
        <v>Flawless Stores</v>
      </c>
      <c r="L152" t="str">
        <f>VLOOKUP(transactions_table8[[#This Row],[customer_code]],customer_table!$A:$C,3,0)</f>
        <v>Brick &amp; Mortar</v>
      </c>
      <c r="M152">
        <f>IF(TRIM(CLEAN(transactions_table8[[#This Row],[currency]]))="USD",transactions_table8[[#This Row],[sales_amount]]*83,transactions_table8[[#This Row],[sales_amount]])</f>
        <v>301</v>
      </c>
    </row>
    <row r="153" spans="1:13" x14ac:dyDescent="0.3">
      <c r="A153" t="s">
        <v>184</v>
      </c>
      <c r="B153" t="s">
        <v>30</v>
      </c>
      <c r="C153" t="s">
        <v>141</v>
      </c>
      <c r="D153" s="1">
        <v>43236</v>
      </c>
      <c r="E153">
        <v>6</v>
      </c>
      <c r="F153">
        <v>7954</v>
      </c>
      <c r="G153" t="s">
        <v>460</v>
      </c>
      <c r="H153" t="str">
        <f>VLOOKUP(A153, product_table!$A:$C, 3, 0)</f>
        <v>Own Brand</v>
      </c>
      <c r="I153" t="str">
        <f>VLOOKUP(transactions_table8[[#This Row],[market_code]],markets_table!$A:$B,2,0)</f>
        <v>Ahmedabad</v>
      </c>
      <c r="J153" t="str">
        <f>VLOOKUP(transactions_table8[[#This Row],[market_code]],markets_table!$A:$C,3,0)</f>
        <v>North</v>
      </c>
      <c r="K153" t="str">
        <f>VLOOKUP(transactions_table8[[#This Row],[customer_code]],customer_table!$A:$B,2,0)</f>
        <v>Forward Stores</v>
      </c>
      <c r="L153" t="str">
        <f>VLOOKUP(transactions_table8[[#This Row],[customer_code]],customer_table!$A:$C,3,0)</f>
        <v>Brick &amp; Mortar</v>
      </c>
      <c r="M153">
        <f>IF(TRIM(CLEAN(transactions_table8[[#This Row],[currency]]))="USD",transactions_table8[[#This Row],[sales_amount]]*83,transactions_table8[[#This Row],[sales_amount]])</f>
        <v>7954</v>
      </c>
    </row>
    <row r="154" spans="1:13" x14ac:dyDescent="0.3">
      <c r="A154" t="s">
        <v>184</v>
      </c>
      <c r="B154" t="s">
        <v>26</v>
      </c>
      <c r="C154" t="s">
        <v>141</v>
      </c>
      <c r="D154" s="1">
        <v>43237</v>
      </c>
      <c r="E154">
        <v>1</v>
      </c>
      <c r="F154">
        <v>2153</v>
      </c>
      <c r="G154" t="s">
        <v>460</v>
      </c>
      <c r="H154" t="str">
        <f>VLOOKUP(A154, product_table!$A:$C, 3, 0)</f>
        <v>Own Brand</v>
      </c>
      <c r="I154" t="str">
        <f>VLOOKUP(transactions_table8[[#This Row],[market_code]],markets_table!$A:$B,2,0)</f>
        <v>Ahmedabad</v>
      </c>
      <c r="J154" t="str">
        <f>VLOOKUP(transactions_table8[[#This Row],[market_code]],markets_table!$A:$C,3,0)</f>
        <v>North</v>
      </c>
      <c r="K154" t="str">
        <f>VLOOKUP(transactions_table8[[#This Row],[customer_code]],customer_table!$A:$B,2,0)</f>
        <v>Integration Stores</v>
      </c>
      <c r="L154" t="str">
        <f>VLOOKUP(transactions_table8[[#This Row],[customer_code]],customer_table!$A:$C,3,0)</f>
        <v>Brick &amp; Mortar</v>
      </c>
      <c r="M154">
        <f>IF(TRIM(CLEAN(transactions_table8[[#This Row],[currency]]))="USD",transactions_table8[[#This Row],[sales_amount]]*83,transactions_table8[[#This Row],[sales_amount]])</f>
        <v>2153</v>
      </c>
    </row>
    <row r="155" spans="1:13" x14ac:dyDescent="0.3">
      <c r="A155" t="s">
        <v>184</v>
      </c>
      <c r="B155" t="s">
        <v>30</v>
      </c>
      <c r="C155" t="s">
        <v>141</v>
      </c>
      <c r="D155" s="1">
        <v>43237</v>
      </c>
      <c r="E155">
        <v>4</v>
      </c>
      <c r="F155">
        <v>5306</v>
      </c>
      <c r="G155" t="s">
        <v>460</v>
      </c>
      <c r="H155" t="str">
        <f>VLOOKUP(A155, product_table!$A:$C, 3, 0)</f>
        <v>Own Brand</v>
      </c>
      <c r="I155" t="str">
        <f>VLOOKUP(transactions_table8[[#This Row],[market_code]],markets_table!$A:$B,2,0)</f>
        <v>Ahmedabad</v>
      </c>
      <c r="J155" t="str">
        <f>VLOOKUP(transactions_table8[[#This Row],[market_code]],markets_table!$A:$C,3,0)</f>
        <v>North</v>
      </c>
      <c r="K155" t="str">
        <f>VLOOKUP(transactions_table8[[#This Row],[customer_code]],customer_table!$A:$B,2,0)</f>
        <v>Forward Stores</v>
      </c>
      <c r="L155" t="str">
        <f>VLOOKUP(transactions_table8[[#This Row],[customer_code]],customer_table!$A:$C,3,0)</f>
        <v>Brick &amp; Mortar</v>
      </c>
      <c r="M155">
        <f>IF(TRIM(CLEAN(transactions_table8[[#This Row],[currency]]))="USD",transactions_table8[[#This Row],[sales_amount]]*83,transactions_table8[[#This Row],[sales_amount]])</f>
        <v>5306</v>
      </c>
    </row>
    <row r="156" spans="1:13" x14ac:dyDescent="0.3">
      <c r="A156" t="s">
        <v>184</v>
      </c>
      <c r="B156" t="s">
        <v>8</v>
      </c>
      <c r="C156" t="s">
        <v>141</v>
      </c>
      <c r="D156" s="1">
        <v>43238</v>
      </c>
      <c r="E156">
        <v>1</v>
      </c>
      <c r="F156">
        <v>1801</v>
      </c>
      <c r="G156" t="s">
        <v>460</v>
      </c>
      <c r="H156" t="str">
        <f>VLOOKUP(A156, product_table!$A:$C, 3, 0)</f>
        <v>Own Brand</v>
      </c>
      <c r="I156" t="str">
        <f>VLOOKUP(transactions_table8[[#This Row],[market_code]],markets_table!$A:$B,2,0)</f>
        <v>Ahmedabad</v>
      </c>
      <c r="J156" t="str">
        <f>VLOOKUP(transactions_table8[[#This Row],[market_code]],markets_table!$A:$C,3,0)</f>
        <v>North</v>
      </c>
      <c r="K156" t="str">
        <f>VLOOKUP(transactions_table8[[#This Row],[customer_code]],customer_table!$A:$B,2,0)</f>
        <v>Excel Stores</v>
      </c>
      <c r="L156" t="str">
        <f>VLOOKUP(transactions_table8[[#This Row],[customer_code]],customer_table!$A:$C,3,0)</f>
        <v>Brick &amp; Mortar</v>
      </c>
      <c r="M156">
        <f>IF(TRIM(CLEAN(transactions_table8[[#This Row],[currency]]))="USD",transactions_table8[[#This Row],[sales_amount]]*83,transactions_table8[[#This Row],[sales_amount]])</f>
        <v>1801</v>
      </c>
    </row>
    <row r="157" spans="1:13" x14ac:dyDescent="0.3">
      <c r="A157" t="s">
        <v>184</v>
      </c>
      <c r="B157" t="s">
        <v>8</v>
      </c>
      <c r="C157" t="s">
        <v>141</v>
      </c>
      <c r="D157" s="1">
        <v>43243</v>
      </c>
      <c r="E157">
        <v>2</v>
      </c>
      <c r="F157">
        <v>2699</v>
      </c>
      <c r="G157" t="s">
        <v>460</v>
      </c>
      <c r="H157" t="str">
        <f>VLOOKUP(A157, product_table!$A:$C, 3, 0)</f>
        <v>Own Brand</v>
      </c>
      <c r="I157" t="str">
        <f>VLOOKUP(transactions_table8[[#This Row],[market_code]],markets_table!$A:$B,2,0)</f>
        <v>Ahmedabad</v>
      </c>
      <c r="J157" t="str">
        <f>VLOOKUP(transactions_table8[[#This Row],[market_code]],markets_table!$A:$C,3,0)</f>
        <v>North</v>
      </c>
      <c r="K157" t="str">
        <f>VLOOKUP(transactions_table8[[#This Row],[customer_code]],customer_table!$A:$B,2,0)</f>
        <v>Excel Stores</v>
      </c>
      <c r="L157" t="str">
        <f>VLOOKUP(transactions_table8[[#This Row],[customer_code]],customer_table!$A:$C,3,0)</f>
        <v>Brick &amp; Mortar</v>
      </c>
      <c r="M157">
        <f>IF(TRIM(CLEAN(transactions_table8[[#This Row],[currency]]))="USD",transactions_table8[[#This Row],[sales_amount]]*83,transactions_table8[[#This Row],[sales_amount]])</f>
        <v>2699</v>
      </c>
    </row>
    <row r="158" spans="1:13" x14ac:dyDescent="0.3">
      <c r="A158" t="s">
        <v>184</v>
      </c>
      <c r="B158" t="s">
        <v>26</v>
      </c>
      <c r="C158" t="s">
        <v>141</v>
      </c>
      <c r="D158" s="1">
        <v>43244</v>
      </c>
      <c r="E158">
        <v>1</v>
      </c>
      <c r="F158">
        <v>1616</v>
      </c>
      <c r="G158" t="s">
        <v>460</v>
      </c>
      <c r="H158" t="str">
        <f>VLOOKUP(A158, product_table!$A:$C, 3, 0)</f>
        <v>Own Brand</v>
      </c>
      <c r="I158" t="str">
        <f>VLOOKUP(transactions_table8[[#This Row],[market_code]],markets_table!$A:$B,2,0)</f>
        <v>Ahmedabad</v>
      </c>
      <c r="J158" t="str">
        <f>VLOOKUP(transactions_table8[[#This Row],[market_code]],markets_table!$A:$C,3,0)</f>
        <v>North</v>
      </c>
      <c r="K158" t="str">
        <f>VLOOKUP(transactions_table8[[#This Row],[customer_code]],customer_table!$A:$B,2,0)</f>
        <v>Integration Stores</v>
      </c>
      <c r="L158" t="str">
        <f>VLOOKUP(transactions_table8[[#This Row],[customer_code]],customer_table!$A:$C,3,0)</f>
        <v>Brick &amp; Mortar</v>
      </c>
      <c r="M158">
        <f>IF(TRIM(CLEAN(transactions_table8[[#This Row],[currency]]))="USD",transactions_table8[[#This Row],[sales_amount]]*83,transactions_table8[[#This Row],[sales_amount]])</f>
        <v>1616</v>
      </c>
    </row>
    <row r="159" spans="1:13" x14ac:dyDescent="0.3">
      <c r="A159" t="s">
        <v>184</v>
      </c>
      <c r="B159" t="s">
        <v>8</v>
      </c>
      <c r="C159" t="s">
        <v>141</v>
      </c>
      <c r="D159" s="1">
        <v>43245</v>
      </c>
      <c r="E159">
        <v>2</v>
      </c>
      <c r="F159">
        <v>2245</v>
      </c>
      <c r="G159" t="s">
        <v>460</v>
      </c>
      <c r="H159" t="str">
        <f>VLOOKUP(A159, product_table!$A:$C, 3, 0)</f>
        <v>Own Brand</v>
      </c>
      <c r="I159" t="str">
        <f>VLOOKUP(transactions_table8[[#This Row],[market_code]],markets_table!$A:$B,2,0)</f>
        <v>Ahmedabad</v>
      </c>
      <c r="J159" t="str">
        <f>VLOOKUP(transactions_table8[[#This Row],[market_code]],markets_table!$A:$C,3,0)</f>
        <v>North</v>
      </c>
      <c r="K159" t="str">
        <f>VLOOKUP(transactions_table8[[#This Row],[customer_code]],customer_table!$A:$B,2,0)</f>
        <v>Excel Stores</v>
      </c>
      <c r="L159" t="str">
        <f>VLOOKUP(transactions_table8[[#This Row],[customer_code]],customer_table!$A:$C,3,0)</f>
        <v>Brick &amp; Mortar</v>
      </c>
      <c r="M159">
        <f>IF(TRIM(CLEAN(transactions_table8[[#This Row],[currency]]))="USD",transactions_table8[[#This Row],[sales_amount]]*83,transactions_table8[[#This Row],[sales_amount]])</f>
        <v>2245</v>
      </c>
    </row>
    <row r="160" spans="1:13" x14ac:dyDescent="0.3">
      <c r="A160" t="s">
        <v>184</v>
      </c>
      <c r="B160" t="s">
        <v>8</v>
      </c>
      <c r="C160" t="s">
        <v>141</v>
      </c>
      <c r="D160" s="1">
        <v>43248</v>
      </c>
      <c r="E160">
        <v>1</v>
      </c>
      <c r="F160">
        <v>903</v>
      </c>
      <c r="G160" t="s">
        <v>460</v>
      </c>
      <c r="H160" t="str">
        <f>VLOOKUP(A160, product_table!$A:$C, 3, 0)</f>
        <v>Own Brand</v>
      </c>
      <c r="I160" t="str">
        <f>VLOOKUP(transactions_table8[[#This Row],[market_code]],markets_table!$A:$B,2,0)</f>
        <v>Ahmedabad</v>
      </c>
      <c r="J160" t="str">
        <f>VLOOKUP(transactions_table8[[#This Row],[market_code]],markets_table!$A:$C,3,0)</f>
        <v>North</v>
      </c>
      <c r="K160" t="str">
        <f>VLOOKUP(transactions_table8[[#This Row],[customer_code]],customer_table!$A:$B,2,0)</f>
        <v>Excel Stores</v>
      </c>
      <c r="L160" t="str">
        <f>VLOOKUP(transactions_table8[[#This Row],[customer_code]],customer_table!$A:$C,3,0)</f>
        <v>Brick &amp; Mortar</v>
      </c>
      <c r="M160">
        <f>IF(TRIM(CLEAN(transactions_table8[[#This Row],[currency]]))="USD",transactions_table8[[#This Row],[sales_amount]]*83,transactions_table8[[#This Row],[sales_amount]])</f>
        <v>903</v>
      </c>
    </row>
    <row r="161" spans="1:13" x14ac:dyDescent="0.3">
      <c r="A161" t="s">
        <v>184</v>
      </c>
      <c r="B161" t="s">
        <v>30</v>
      </c>
      <c r="C161" t="s">
        <v>141</v>
      </c>
      <c r="D161" s="1">
        <v>43249</v>
      </c>
      <c r="E161">
        <v>4</v>
      </c>
      <c r="F161">
        <v>5306</v>
      </c>
      <c r="G161" t="s">
        <v>460</v>
      </c>
      <c r="H161" t="str">
        <f>VLOOKUP(A161, product_table!$A:$C, 3, 0)</f>
        <v>Own Brand</v>
      </c>
      <c r="I161" t="str">
        <f>VLOOKUP(transactions_table8[[#This Row],[market_code]],markets_table!$A:$B,2,0)</f>
        <v>Ahmedabad</v>
      </c>
      <c r="J161" t="str">
        <f>VLOOKUP(transactions_table8[[#This Row],[market_code]],markets_table!$A:$C,3,0)</f>
        <v>North</v>
      </c>
      <c r="K161" t="str">
        <f>VLOOKUP(transactions_table8[[#This Row],[customer_code]],customer_table!$A:$B,2,0)</f>
        <v>Forward Stores</v>
      </c>
      <c r="L161" t="str">
        <f>VLOOKUP(transactions_table8[[#This Row],[customer_code]],customer_table!$A:$C,3,0)</f>
        <v>Brick &amp; Mortar</v>
      </c>
      <c r="M161">
        <f>IF(TRIM(CLEAN(transactions_table8[[#This Row],[currency]]))="USD",transactions_table8[[#This Row],[sales_amount]]*83,transactions_table8[[#This Row],[sales_amount]])</f>
        <v>5306</v>
      </c>
    </row>
    <row r="162" spans="1:13" x14ac:dyDescent="0.3">
      <c r="A162" t="s">
        <v>184</v>
      </c>
      <c r="B162" t="s">
        <v>22</v>
      </c>
      <c r="C162" t="s">
        <v>141</v>
      </c>
      <c r="D162" s="1">
        <v>43250</v>
      </c>
      <c r="E162">
        <v>3</v>
      </c>
      <c r="F162">
        <v>3778</v>
      </c>
      <c r="G162" t="s">
        <v>460</v>
      </c>
      <c r="H162" t="str">
        <f>VLOOKUP(A162, product_table!$A:$C, 3, 0)</f>
        <v>Own Brand</v>
      </c>
      <c r="I162" t="str">
        <f>VLOOKUP(transactions_table8[[#This Row],[market_code]],markets_table!$A:$B,2,0)</f>
        <v>Ahmedabad</v>
      </c>
      <c r="J162" t="str">
        <f>VLOOKUP(transactions_table8[[#This Row],[market_code]],markets_table!$A:$C,3,0)</f>
        <v>North</v>
      </c>
      <c r="K162" t="str">
        <f>VLOOKUP(transactions_table8[[#This Row],[customer_code]],customer_table!$A:$B,2,0)</f>
        <v>Atlas Stores</v>
      </c>
      <c r="L162" t="str">
        <f>VLOOKUP(transactions_table8[[#This Row],[customer_code]],customer_table!$A:$C,3,0)</f>
        <v>Brick &amp; Mortar</v>
      </c>
      <c r="M162">
        <f>IF(TRIM(CLEAN(transactions_table8[[#This Row],[currency]]))="USD",transactions_table8[[#This Row],[sales_amount]]*83,transactions_table8[[#This Row],[sales_amount]])</f>
        <v>3778</v>
      </c>
    </row>
    <row r="163" spans="1:13" x14ac:dyDescent="0.3">
      <c r="A163" t="s">
        <v>184</v>
      </c>
      <c r="B163" t="s">
        <v>26</v>
      </c>
      <c r="C163" t="s">
        <v>141</v>
      </c>
      <c r="D163" s="1">
        <v>43251</v>
      </c>
      <c r="E163">
        <v>1</v>
      </c>
      <c r="F163">
        <v>537</v>
      </c>
      <c r="G163" t="s">
        <v>460</v>
      </c>
      <c r="H163" t="str">
        <f>VLOOKUP(A163, product_table!$A:$C, 3, 0)</f>
        <v>Own Brand</v>
      </c>
      <c r="I163" t="str">
        <f>VLOOKUP(transactions_table8[[#This Row],[market_code]],markets_table!$A:$B,2,0)</f>
        <v>Ahmedabad</v>
      </c>
      <c r="J163" t="str">
        <f>VLOOKUP(transactions_table8[[#This Row],[market_code]],markets_table!$A:$C,3,0)</f>
        <v>North</v>
      </c>
      <c r="K163" t="str">
        <f>VLOOKUP(transactions_table8[[#This Row],[customer_code]],customer_table!$A:$B,2,0)</f>
        <v>Integration Stores</v>
      </c>
      <c r="L163" t="str">
        <f>VLOOKUP(transactions_table8[[#This Row],[customer_code]],customer_table!$A:$C,3,0)</f>
        <v>Brick &amp; Mortar</v>
      </c>
      <c r="M163">
        <f>IF(TRIM(CLEAN(transactions_table8[[#This Row],[currency]]))="USD",transactions_table8[[#This Row],[sales_amount]]*83,transactions_table8[[#This Row],[sales_amount]])</f>
        <v>537</v>
      </c>
    </row>
    <row r="164" spans="1:13" x14ac:dyDescent="0.3">
      <c r="A164" t="s">
        <v>184</v>
      </c>
      <c r="B164" t="s">
        <v>22</v>
      </c>
      <c r="C164" t="s">
        <v>141</v>
      </c>
      <c r="D164" s="1">
        <v>43251</v>
      </c>
      <c r="E164">
        <v>1</v>
      </c>
      <c r="F164">
        <v>1417</v>
      </c>
      <c r="G164" t="s">
        <v>460</v>
      </c>
      <c r="H164" t="str">
        <f>VLOOKUP(A164, product_table!$A:$C, 3, 0)</f>
        <v>Own Brand</v>
      </c>
      <c r="I164" t="str">
        <f>VLOOKUP(transactions_table8[[#This Row],[market_code]],markets_table!$A:$B,2,0)</f>
        <v>Ahmedabad</v>
      </c>
      <c r="J164" t="str">
        <f>VLOOKUP(transactions_table8[[#This Row],[market_code]],markets_table!$A:$C,3,0)</f>
        <v>North</v>
      </c>
      <c r="K164" t="str">
        <f>VLOOKUP(transactions_table8[[#This Row],[customer_code]],customer_table!$A:$B,2,0)</f>
        <v>Atlas Stores</v>
      </c>
      <c r="L164" t="str">
        <f>VLOOKUP(transactions_table8[[#This Row],[customer_code]],customer_table!$A:$C,3,0)</f>
        <v>Brick &amp; Mortar</v>
      </c>
      <c r="M164">
        <f>IF(TRIM(CLEAN(transactions_table8[[#This Row],[currency]]))="USD",transactions_table8[[#This Row],[sales_amount]]*83,transactions_table8[[#This Row],[sales_amount]])</f>
        <v>1417</v>
      </c>
    </row>
    <row r="165" spans="1:13" x14ac:dyDescent="0.3">
      <c r="A165" t="s">
        <v>184</v>
      </c>
      <c r="B165" t="s">
        <v>30</v>
      </c>
      <c r="C165" t="s">
        <v>141</v>
      </c>
      <c r="D165" s="1">
        <v>43251</v>
      </c>
      <c r="E165">
        <v>4</v>
      </c>
      <c r="F165">
        <v>5306</v>
      </c>
      <c r="G165" t="s">
        <v>460</v>
      </c>
      <c r="H165" t="str">
        <f>VLOOKUP(A165, product_table!$A:$C, 3, 0)</f>
        <v>Own Brand</v>
      </c>
      <c r="I165" t="str">
        <f>VLOOKUP(transactions_table8[[#This Row],[market_code]],markets_table!$A:$B,2,0)</f>
        <v>Ahmedabad</v>
      </c>
      <c r="J165" t="str">
        <f>VLOOKUP(transactions_table8[[#This Row],[market_code]],markets_table!$A:$C,3,0)</f>
        <v>North</v>
      </c>
      <c r="K165" t="str">
        <f>VLOOKUP(transactions_table8[[#This Row],[customer_code]],customer_table!$A:$B,2,0)</f>
        <v>Forward Stores</v>
      </c>
      <c r="L165" t="str">
        <f>VLOOKUP(transactions_table8[[#This Row],[customer_code]],customer_table!$A:$C,3,0)</f>
        <v>Brick &amp; Mortar</v>
      </c>
      <c r="M165">
        <f>IF(TRIM(CLEAN(transactions_table8[[#This Row],[currency]]))="USD",transactions_table8[[#This Row],[sales_amount]]*83,transactions_table8[[#This Row],[sales_amount]])</f>
        <v>5306</v>
      </c>
    </row>
    <row r="166" spans="1:13" x14ac:dyDescent="0.3">
      <c r="A166" t="s">
        <v>184</v>
      </c>
      <c r="B166" t="s">
        <v>22</v>
      </c>
      <c r="C166" t="s">
        <v>141</v>
      </c>
      <c r="D166" s="1">
        <v>43252</v>
      </c>
      <c r="E166">
        <v>1</v>
      </c>
      <c r="F166">
        <v>472</v>
      </c>
      <c r="G166" t="s">
        <v>460</v>
      </c>
      <c r="H166" t="str">
        <f>VLOOKUP(A166, product_table!$A:$C, 3, 0)</f>
        <v>Own Brand</v>
      </c>
      <c r="I166" t="str">
        <f>VLOOKUP(transactions_table8[[#This Row],[market_code]],markets_table!$A:$B,2,0)</f>
        <v>Ahmedabad</v>
      </c>
      <c r="J166" t="str">
        <f>VLOOKUP(transactions_table8[[#This Row],[market_code]],markets_table!$A:$C,3,0)</f>
        <v>North</v>
      </c>
      <c r="K166" t="str">
        <f>VLOOKUP(transactions_table8[[#This Row],[customer_code]],customer_table!$A:$B,2,0)</f>
        <v>Atlas Stores</v>
      </c>
      <c r="L166" t="str">
        <f>VLOOKUP(transactions_table8[[#This Row],[customer_code]],customer_table!$A:$C,3,0)</f>
        <v>Brick &amp; Mortar</v>
      </c>
      <c r="M166">
        <f>IF(TRIM(CLEAN(transactions_table8[[#This Row],[currency]]))="USD",transactions_table8[[#This Row],[sales_amount]]*83,transactions_table8[[#This Row],[sales_amount]])</f>
        <v>472</v>
      </c>
    </row>
    <row r="167" spans="1:13" x14ac:dyDescent="0.3">
      <c r="A167" t="s">
        <v>184</v>
      </c>
      <c r="B167" t="s">
        <v>8</v>
      </c>
      <c r="C167" t="s">
        <v>141</v>
      </c>
      <c r="D167" s="1">
        <v>43252</v>
      </c>
      <c r="E167">
        <v>3</v>
      </c>
      <c r="F167">
        <v>4051</v>
      </c>
      <c r="G167" t="s">
        <v>460</v>
      </c>
      <c r="H167" t="str">
        <f>VLOOKUP(A167, product_table!$A:$C, 3, 0)</f>
        <v>Own Brand</v>
      </c>
      <c r="I167" t="str">
        <f>VLOOKUP(transactions_table8[[#This Row],[market_code]],markets_table!$A:$B,2,0)</f>
        <v>Ahmedabad</v>
      </c>
      <c r="J167" t="str">
        <f>VLOOKUP(transactions_table8[[#This Row],[market_code]],markets_table!$A:$C,3,0)</f>
        <v>North</v>
      </c>
      <c r="K167" t="str">
        <f>VLOOKUP(transactions_table8[[#This Row],[customer_code]],customer_table!$A:$B,2,0)</f>
        <v>Excel Stores</v>
      </c>
      <c r="L167" t="str">
        <f>VLOOKUP(transactions_table8[[#This Row],[customer_code]],customer_table!$A:$C,3,0)</f>
        <v>Brick &amp; Mortar</v>
      </c>
      <c r="M167">
        <f>IF(TRIM(CLEAN(transactions_table8[[#This Row],[currency]]))="USD",transactions_table8[[#This Row],[sales_amount]]*83,transactions_table8[[#This Row],[sales_amount]])</f>
        <v>4051</v>
      </c>
    </row>
    <row r="168" spans="1:13" x14ac:dyDescent="0.3">
      <c r="A168" t="s">
        <v>184</v>
      </c>
      <c r="B168" t="s">
        <v>28</v>
      </c>
      <c r="C168" t="s">
        <v>141</v>
      </c>
      <c r="D168" s="1">
        <v>43252</v>
      </c>
      <c r="E168">
        <v>10</v>
      </c>
      <c r="F168">
        <v>14815</v>
      </c>
      <c r="G168" t="s">
        <v>460</v>
      </c>
      <c r="H168" t="str">
        <f>VLOOKUP(A168, product_table!$A:$C, 3, 0)</f>
        <v>Own Brand</v>
      </c>
      <c r="I168" t="str">
        <f>VLOOKUP(transactions_table8[[#This Row],[market_code]],markets_table!$A:$B,2,0)</f>
        <v>Ahmedabad</v>
      </c>
      <c r="J168" t="str">
        <f>VLOOKUP(transactions_table8[[#This Row],[market_code]],markets_table!$A:$C,3,0)</f>
        <v>North</v>
      </c>
      <c r="K168" t="str">
        <f>VLOOKUP(transactions_table8[[#This Row],[customer_code]],customer_table!$A:$B,2,0)</f>
        <v>Unity Stores</v>
      </c>
      <c r="L168" t="str">
        <f>VLOOKUP(transactions_table8[[#This Row],[customer_code]],customer_table!$A:$C,3,0)</f>
        <v>Brick &amp; Mortar</v>
      </c>
      <c r="M168">
        <f>IF(TRIM(CLEAN(transactions_table8[[#This Row],[currency]]))="USD",transactions_table8[[#This Row],[sales_amount]]*83,transactions_table8[[#This Row],[sales_amount]])</f>
        <v>14815</v>
      </c>
    </row>
    <row r="169" spans="1:13" x14ac:dyDescent="0.3">
      <c r="A169" t="s">
        <v>184</v>
      </c>
      <c r="B169" t="s">
        <v>8</v>
      </c>
      <c r="C169" t="s">
        <v>141</v>
      </c>
      <c r="D169" s="1">
        <v>43257</v>
      </c>
      <c r="E169">
        <v>3</v>
      </c>
      <c r="F169">
        <v>4495</v>
      </c>
      <c r="G169" t="s">
        <v>460</v>
      </c>
      <c r="H169" t="str">
        <f>VLOOKUP(A169, product_table!$A:$C, 3, 0)</f>
        <v>Own Brand</v>
      </c>
      <c r="I169" t="str">
        <f>VLOOKUP(transactions_table8[[#This Row],[market_code]],markets_table!$A:$B,2,0)</f>
        <v>Ahmedabad</v>
      </c>
      <c r="J169" t="str">
        <f>VLOOKUP(transactions_table8[[#This Row],[market_code]],markets_table!$A:$C,3,0)</f>
        <v>North</v>
      </c>
      <c r="K169" t="str">
        <f>VLOOKUP(transactions_table8[[#This Row],[customer_code]],customer_table!$A:$B,2,0)</f>
        <v>Excel Stores</v>
      </c>
      <c r="L169" t="str">
        <f>VLOOKUP(transactions_table8[[#This Row],[customer_code]],customer_table!$A:$C,3,0)</f>
        <v>Brick &amp; Mortar</v>
      </c>
      <c r="M169">
        <f>IF(TRIM(CLEAN(transactions_table8[[#This Row],[currency]]))="USD",transactions_table8[[#This Row],[sales_amount]]*83,transactions_table8[[#This Row],[sales_amount]])</f>
        <v>4495</v>
      </c>
    </row>
    <row r="170" spans="1:13" x14ac:dyDescent="0.3">
      <c r="A170" t="s">
        <v>184</v>
      </c>
      <c r="B170" t="s">
        <v>26</v>
      </c>
      <c r="C170" t="s">
        <v>141</v>
      </c>
      <c r="D170" s="1">
        <v>43258</v>
      </c>
      <c r="E170">
        <v>2</v>
      </c>
      <c r="F170">
        <v>2690</v>
      </c>
      <c r="G170" t="s">
        <v>460</v>
      </c>
      <c r="H170" t="str">
        <f>VLOOKUP(A170, product_table!$A:$C, 3, 0)</f>
        <v>Own Brand</v>
      </c>
      <c r="I170" t="str">
        <f>VLOOKUP(transactions_table8[[#This Row],[market_code]],markets_table!$A:$B,2,0)</f>
        <v>Ahmedabad</v>
      </c>
      <c r="J170" t="str">
        <f>VLOOKUP(transactions_table8[[#This Row],[market_code]],markets_table!$A:$C,3,0)</f>
        <v>North</v>
      </c>
      <c r="K170" t="str">
        <f>VLOOKUP(transactions_table8[[#This Row],[customer_code]],customer_table!$A:$B,2,0)</f>
        <v>Integration Stores</v>
      </c>
      <c r="L170" t="str">
        <f>VLOOKUP(transactions_table8[[#This Row],[customer_code]],customer_table!$A:$C,3,0)</f>
        <v>Brick &amp; Mortar</v>
      </c>
      <c r="M170">
        <f>IF(TRIM(CLEAN(transactions_table8[[#This Row],[currency]]))="USD",transactions_table8[[#This Row],[sales_amount]]*83,transactions_table8[[#This Row],[sales_amount]])</f>
        <v>2690</v>
      </c>
    </row>
    <row r="171" spans="1:13" x14ac:dyDescent="0.3">
      <c r="A171" t="s">
        <v>184</v>
      </c>
      <c r="B171" t="s">
        <v>22</v>
      </c>
      <c r="C171" t="s">
        <v>141</v>
      </c>
      <c r="D171" s="1">
        <v>43258</v>
      </c>
      <c r="E171">
        <v>1</v>
      </c>
      <c r="F171">
        <v>1417</v>
      </c>
      <c r="G171" t="s">
        <v>460</v>
      </c>
      <c r="H171" t="str">
        <f>VLOOKUP(A171, product_table!$A:$C, 3, 0)</f>
        <v>Own Brand</v>
      </c>
      <c r="I171" t="str">
        <f>VLOOKUP(transactions_table8[[#This Row],[market_code]],markets_table!$A:$B,2,0)</f>
        <v>Ahmedabad</v>
      </c>
      <c r="J171" t="str">
        <f>VLOOKUP(transactions_table8[[#This Row],[market_code]],markets_table!$A:$C,3,0)</f>
        <v>North</v>
      </c>
      <c r="K171" t="str">
        <f>VLOOKUP(transactions_table8[[#This Row],[customer_code]],customer_table!$A:$B,2,0)</f>
        <v>Atlas Stores</v>
      </c>
      <c r="L171" t="str">
        <f>VLOOKUP(transactions_table8[[#This Row],[customer_code]],customer_table!$A:$C,3,0)</f>
        <v>Brick &amp; Mortar</v>
      </c>
      <c r="M171">
        <f>IF(TRIM(CLEAN(transactions_table8[[#This Row],[currency]]))="USD",transactions_table8[[#This Row],[sales_amount]]*83,transactions_table8[[#This Row],[sales_amount]])</f>
        <v>1417</v>
      </c>
    </row>
    <row r="172" spans="1:13" x14ac:dyDescent="0.3">
      <c r="A172" t="s">
        <v>184</v>
      </c>
      <c r="B172" t="s">
        <v>8</v>
      </c>
      <c r="C172" t="s">
        <v>141</v>
      </c>
      <c r="D172" s="1">
        <v>43259</v>
      </c>
      <c r="E172">
        <v>1</v>
      </c>
      <c r="F172">
        <v>449</v>
      </c>
      <c r="G172" t="s">
        <v>460</v>
      </c>
      <c r="H172" t="str">
        <f>VLOOKUP(A172, product_table!$A:$C, 3, 0)</f>
        <v>Own Brand</v>
      </c>
      <c r="I172" t="str">
        <f>VLOOKUP(transactions_table8[[#This Row],[market_code]],markets_table!$A:$B,2,0)</f>
        <v>Ahmedabad</v>
      </c>
      <c r="J172" t="str">
        <f>VLOOKUP(transactions_table8[[#This Row],[market_code]],markets_table!$A:$C,3,0)</f>
        <v>North</v>
      </c>
      <c r="K172" t="str">
        <f>VLOOKUP(transactions_table8[[#This Row],[customer_code]],customer_table!$A:$B,2,0)</f>
        <v>Excel Stores</v>
      </c>
      <c r="L172" t="str">
        <f>VLOOKUP(transactions_table8[[#This Row],[customer_code]],customer_table!$A:$C,3,0)</f>
        <v>Brick &amp; Mortar</v>
      </c>
      <c r="M172">
        <f>IF(TRIM(CLEAN(transactions_table8[[#This Row],[currency]]))="USD",transactions_table8[[#This Row],[sales_amount]]*83,transactions_table8[[#This Row],[sales_amount]])</f>
        <v>449</v>
      </c>
    </row>
    <row r="173" spans="1:13" x14ac:dyDescent="0.3">
      <c r="A173" t="s">
        <v>184</v>
      </c>
      <c r="B173" t="s">
        <v>30</v>
      </c>
      <c r="C173" t="s">
        <v>141</v>
      </c>
      <c r="D173" s="1">
        <v>43259</v>
      </c>
      <c r="E173">
        <v>18</v>
      </c>
      <c r="F173">
        <v>23866</v>
      </c>
      <c r="G173" t="s">
        <v>460</v>
      </c>
      <c r="H173" t="str">
        <f>VLOOKUP(A173, product_table!$A:$C, 3, 0)</f>
        <v>Own Brand</v>
      </c>
      <c r="I173" t="str">
        <f>VLOOKUP(transactions_table8[[#This Row],[market_code]],markets_table!$A:$B,2,0)</f>
        <v>Ahmedabad</v>
      </c>
      <c r="J173" t="str">
        <f>VLOOKUP(transactions_table8[[#This Row],[market_code]],markets_table!$A:$C,3,0)</f>
        <v>North</v>
      </c>
      <c r="K173" t="str">
        <f>VLOOKUP(transactions_table8[[#This Row],[customer_code]],customer_table!$A:$B,2,0)</f>
        <v>Forward Stores</v>
      </c>
      <c r="L173" t="str">
        <f>VLOOKUP(transactions_table8[[#This Row],[customer_code]],customer_table!$A:$C,3,0)</f>
        <v>Brick &amp; Mortar</v>
      </c>
      <c r="M173">
        <f>IF(TRIM(CLEAN(transactions_table8[[#This Row],[currency]]))="USD",transactions_table8[[#This Row],[sales_amount]]*83,transactions_table8[[#This Row],[sales_amount]])</f>
        <v>23866</v>
      </c>
    </row>
    <row r="174" spans="1:13" x14ac:dyDescent="0.3">
      <c r="A174" t="s">
        <v>184</v>
      </c>
      <c r="B174" t="s">
        <v>8</v>
      </c>
      <c r="C174" t="s">
        <v>141</v>
      </c>
      <c r="D174" s="1">
        <v>43262</v>
      </c>
      <c r="E174">
        <v>1</v>
      </c>
      <c r="F174">
        <v>898</v>
      </c>
      <c r="G174" t="s">
        <v>460</v>
      </c>
      <c r="H174" t="str">
        <f>VLOOKUP(A174, product_table!$A:$C, 3, 0)</f>
        <v>Own Brand</v>
      </c>
      <c r="I174" t="str">
        <f>VLOOKUP(transactions_table8[[#This Row],[market_code]],markets_table!$A:$B,2,0)</f>
        <v>Ahmedabad</v>
      </c>
      <c r="J174" t="str">
        <f>VLOOKUP(transactions_table8[[#This Row],[market_code]],markets_table!$A:$C,3,0)</f>
        <v>North</v>
      </c>
      <c r="K174" t="str">
        <f>VLOOKUP(transactions_table8[[#This Row],[customer_code]],customer_table!$A:$B,2,0)</f>
        <v>Excel Stores</v>
      </c>
      <c r="L174" t="str">
        <f>VLOOKUP(transactions_table8[[#This Row],[customer_code]],customer_table!$A:$C,3,0)</f>
        <v>Brick &amp; Mortar</v>
      </c>
      <c r="M174">
        <f>IF(TRIM(CLEAN(transactions_table8[[#This Row],[currency]]))="USD",transactions_table8[[#This Row],[sales_amount]]*83,transactions_table8[[#This Row],[sales_amount]])</f>
        <v>898</v>
      </c>
    </row>
    <row r="175" spans="1:13" x14ac:dyDescent="0.3">
      <c r="A175" t="s">
        <v>184</v>
      </c>
      <c r="B175" t="s">
        <v>28</v>
      </c>
      <c r="C175" t="s">
        <v>141</v>
      </c>
      <c r="D175" s="1">
        <v>43262</v>
      </c>
      <c r="E175">
        <v>3</v>
      </c>
      <c r="F175">
        <v>4940</v>
      </c>
      <c r="G175" t="s">
        <v>460</v>
      </c>
      <c r="H175" t="str">
        <f>VLOOKUP(A175, product_table!$A:$C, 3, 0)</f>
        <v>Own Brand</v>
      </c>
      <c r="I175" t="str">
        <f>VLOOKUP(transactions_table8[[#This Row],[market_code]],markets_table!$A:$B,2,0)</f>
        <v>Ahmedabad</v>
      </c>
      <c r="J175" t="str">
        <f>VLOOKUP(transactions_table8[[#This Row],[market_code]],markets_table!$A:$C,3,0)</f>
        <v>North</v>
      </c>
      <c r="K175" t="str">
        <f>VLOOKUP(transactions_table8[[#This Row],[customer_code]],customer_table!$A:$B,2,0)</f>
        <v>Unity Stores</v>
      </c>
      <c r="L175" t="str">
        <f>VLOOKUP(transactions_table8[[#This Row],[customer_code]],customer_table!$A:$C,3,0)</f>
        <v>Brick &amp; Mortar</v>
      </c>
      <c r="M175">
        <f>IF(TRIM(CLEAN(transactions_table8[[#This Row],[currency]]))="USD",transactions_table8[[#This Row],[sales_amount]]*83,transactions_table8[[#This Row],[sales_amount]])</f>
        <v>4940</v>
      </c>
    </row>
    <row r="176" spans="1:13" x14ac:dyDescent="0.3">
      <c r="A176" t="s">
        <v>184</v>
      </c>
      <c r="B176" t="s">
        <v>8</v>
      </c>
      <c r="C176" t="s">
        <v>141</v>
      </c>
      <c r="D176" s="1">
        <v>43264</v>
      </c>
      <c r="E176">
        <v>1</v>
      </c>
      <c r="F176">
        <v>449</v>
      </c>
      <c r="G176" t="s">
        <v>460</v>
      </c>
      <c r="H176" t="str">
        <f>VLOOKUP(A176, product_table!$A:$C, 3, 0)</f>
        <v>Own Brand</v>
      </c>
      <c r="I176" t="str">
        <f>VLOOKUP(transactions_table8[[#This Row],[market_code]],markets_table!$A:$B,2,0)</f>
        <v>Ahmedabad</v>
      </c>
      <c r="J176" t="str">
        <f>VLOOKUP(transactions_table8[[#This Row],[market_code]],markets_table!$A:$C,3,0)</f>
        <v>North</v>
      </c>
      <c r="K176" t="str">
        <f>VLOOKUP(transactions_table8[[#This Row],[customer_code]],customer_table!$A:$B,2,0)</f>
        <v>Excel Stores</v>
      </c>
      <c r="L176" t="str">
        <f>VLOOKUP(transactions_table8[[#This Row],[customer_code]],customer_table!$A:$C,3,0)</f>
        <v>Brick &amp; Mortar</v>
      </c>
      <c r="M176">
        <f>IF(TRIM(CLEAN(transactions_table8[[#This Row],[currency]]))="USD",transactions_table8[[#This Row],[sales_amount]]*83,transactions_table8[[#This Row],[sales_amount]])</f>
        <v>449</v>
      </c>
    </row>
    <row r="177" spans="1:13" x14ac:dyDescent="0.3">
      <c r="A177" t="s">
        <v>184</v>
      </c>
      <c r="B177" t="s">
        <v>26</v>
      </c>
      <c r="C177" t="s">
        <v>141</v>
      </c>
      <c r="D177" s="1">
        <v>43265</v>
      </c>
      <c r="E177">
        <v>1</v>
      </c>
      <c r="F177">
        <v>2153</v>
      </c>
      <c r="G177" t="s">
        <v>460</v>
      </c>
      <c r="H177" t="str">
        <f>VLOOKUP(A177, product_table!$A:$C, 3, 0)</f>
        <v>Own Brand</v>
      </c>
      <c r="I177" t="str">
        <f>VLOOKUP(transactions_table8[[#This Row],[market_code]],markets_table!$A:$B,2,0)</f>
        <v>Ahmedabad</v>
      </c>
      <c r="J177" t="str">
        <f>VLOOKUP(transactions_table8[[#This Row],[market_code]],markets_table!$A:$C,3,0)</f>
        <v>North</v>
      </c>
      <c r="K177" t="str">
        <f>VLOOKUP(transactions_table8[[#This Row],[customer_code]],customer_table!$A:$B,2,0)</f>
        <v>Integration Stores</v>
      </c>
      <c r="L177" t="str">
        <f>VLOOKUP(transactions_table8[[#This Row],[customer_code]],customer_table!$A:$C,3,0)</f>
        <v>Brick &amp; Mortar</v>
      </c>
      <c r="M177">
        <f>IF(TRIM(CLEAN(transactions_table8[[#This Row],[currency]]))="USD",transactions_table8[[#This Row],[sales_amount]]*83,transactions_table8[[#This Row],[sales_amount]])</f>
        <v>2153</v>
      </c>
    </row>
    <row r="178" spans="1:13" x14ac:dyDescent="0.3">
      <c r="A178" t="s">
        <v>184</v>
      </c>
      <c r="B178" t="s">
        <v>22</v>
      </c>
      <c r="C178" t="s">
        <v>141</v>
      </c>
      <c r="D178" s="1">
        <v>43265</v>
      </c>
      <c r="E178">
        <v>1</v>
      </c>
      <c r="F178">
        <v>472</v>
      </c>
      <c r="G178" t="s">
        <v>460</v>
      </c>
      <c r="H178" t="str">
        <f>VLOOKUP(A178, product_table!$A:$C, 3, 0)</f>
        <v>Own Brand</v>
      </c>
      <c r="I178" t="str">
        <f>VLOOKUP(transactions_table8[[#This Row],[market_code]],markets_table!$A:$B,2,0)</f>
        <v>Ahmedabad</v>
      </c>
      <c r="J178" t="str">
        <f>VLOOKUP(transactions_table8[[#This Row],[market_code]],markets_table!$A:$C,3,0)</f>
        <v>North</v>
      </c>
      <c r="K178" t="str">
        <f>VLOOKUP(transactions_table8[[#This Row],[customer_code]],customer_table!$A:$B,2,0)</f>
        <v>Atlas Stores</v>
      </c>
      <c r="L178" t="str">
        <f>VLOOKUP(transactions_table8[[#This Row],[customer_code]],customer_table!$A:$C,3,0)</f>
        <v>Brick &amp; Mortar</v>
      </c>
      <c r="M178">
        <f>IF(TRIM(CLEAN(transactions_table8[[#This Row],[currency]]))="USD",transactions_table8[[#This Row],[sales_amount]]*83,transactions_table8[[#This Row],[sales_amount]])</f>
        <v>472</v>
      </c>
    </row>
    <row r="179" spans="1:13" x14ac:dyDescent="0.3">
      <c r="A179" t="s">
        <v>184</v>
      </c>
      <c r="B179" t="s">
        <v>8</v>
      </c>
      <c r="C179" t="s">
        <v>141</v>
      </c>
      <c r="D179" s="1">
        <v>43265</v>
      </c>
      <c r="E179">
        <v>1</v>
      </c>
      <c r="F179">
        <v>449</v>
      </c>
      <c r="G179" t="s">
        <v>460</v>
      </c>
      <c r="H179" t="str">
        <f>VLOOKUP(A179, product_table!$A:$C, 3, 0)</f>
        <v>Own Brand</v>
      </c>
      <c r="I179" t="str">
        <f>VLOOKUP(transactions_table8[[#This Row],[market_code]],markets_table!$A:$B,2,0)</f>
        <v>Ahmedabad</v>
      </c>
      <c r="J179" t="str">
        <f>VLOOKUP(transactions_table8[[#This Row],[market_code]],markets_table!$A:$C,3,0)</f>
        <v>North</v>
      </c>
      <c r="K179" t="str">
        <f>VLOOKUP(transactions_table8[[#This Row],[customer_code]],customer_table!$A:$B,2,0)</f>
        <v>Excel Stores</v>
      </c>
      <c r="L179" t="str">
        <f>VLOOKUP(transactions_table8[[#This Row],[customer_code]],customer_table!$A:$C,3,0)</f>
        <v>Brick &amp; Mortar</v>
      </c>
      <c r="M179">
        <f>IF(TRIM(CLEAN(transactions_table8[[#This Row],[currency]]))="USD",transactions_table8[[#This Row],[sales_amount]]*83,transactions_table8[[#This Row],[sales_amount]])</f>
        <v>449</v>
      </c>
    </row>
    <row r="180" spans="1:13" x14ac:dyDescent="0.3">
      <c r="A180" t="s">
        <v>184</v>
      </c>
      <c r="B180" t="s">
        <v>30</v>
      </c>
      <c r="C180" t="s">
        <v>141</v>
      </c>
      <c r="D180" s="1">
        <v>43265</v>
      </c>
      <c r="E180">
        <v>4</v>
      </c>
      <c r="F180">
        <v>5306</v>
      </c>
      <c r="G180" t="s">
        <v>460</v>
      </c>
      <c r="H180" t="str">
        <f>VLOOKUP(A180, product_table!$A:$C, 3, 0)</f>
        <v>Own Brand</v>
      </c>
      <c r="I180" t="str">
        <f>VLOOKUP(transactions_table8[[#This Row],[market_code]],markets_table!$A:$B,2,0)</f>
        <v>Ahmedabad</v>
      </c>
      <c r="J180" t="str">
        <f>VLOOKUP(transactions_table8[[#This Row],[market_code]],markets_table!$A:$C,3,0)</f>
        <v>North</v>
      </c>
      <c r="K180" t="str">
        <f>VLOOKUP(transactions_table8[[#This Row],[customer_code]],customer_table!$A:$B,2,0)</f>
        <v>Forward Stores</v>
      </c>
      <c r="L180" t="str">
        <f>VLOOKUP(transactions_table8[[#This Row],[customer_code]],customer_table!$A:$C,3,0)</f>
        <v>Brick &amp; Mortar</v>
      </c>
      <c r="M180">
        <f>IF(TRIM(CLEAN(transactions_table8[[#This Row],[currency]]))="USD",transactions_table8[[#This Row],[sales_amount]]*83,transactions_table8[[#This Row],[sales_amount]])</f>
        <v>5306</v>
      </c>
    </row>
    <row r="181" spans="1:13" x14ac:dyDescent="0.3">
      <c r="A181" t="s">
        <v>184</v>
      </c>
      <c r="B181" t="s">
        <v>8</v>
      </c>
      <c r="C181" t="s">
        <v>141</v>
      </c>
      <c r="D181" s="1">
        <v>43266</v>
      </c>
      <c r="E181">
        <v>3</v>
      </c>
      <c r="F181">
        <v>3602</v>
      </c>
      <c r="G181" t="s">
        <v>460</v>
      </c>
      <c r="H181" t="str">
        <f>VLOOKUP(A181, product_table!$A:$C, 3, 0)</f>
        <v>Own Brand</v>
      </c>
      <c r="I181" t="str">
        <f>VLOOKUP(transactions_table8[[#This Row],[market_code]],markets_table!$A:$B,2,0)</f>
        <v>Ahmedabad</v>
      </c>
      <c r="J181" t="str">
        <f>VLOOKUP(transactions_table8[[#This Row],[market_code]],markets_table!$A:$C,3,0)</f>
        <v>North</v>
      </c>
      <c r="K181" t="str">
        <f>VLOOKUP(transactions_table8[[#This Row],[customer_code]],customer_table!$A:$B,2,0)</f>
        <v>Excel Stores</v>
      </c>
      <c r="L181" t="str">
        <f>VLOOKUP(transactions_table8[[#This Row],[customer_code]],customer_table!$A:$C,3,0)</f>
        <v>Brick &amp; Mortar</v>
      </c>
      <c r="M181">
        <f>IF(TRIM(CLEAN(transactions_table8[[#This Row],[currency]]))="USD",transactions_table8[[#This Row],[sales_amount]]*83,transactions_table8[[#This Row],[sales_amount]])</f>
        <v>3602</v>
      </c>
    </row>
    <row r="182" spans="1:13" x14ac:dyDescent="0.3">
      <c r="A182" t="s">
        <v>184</v>
      </c>
      <c r="B182" t="s">
        <v>24</v>
      </c>
      <c r="C182" t="s">
        <v>141</v>
      </c>
      <c r="D182" s="1">
        <v>43269</v>
      </c>
      <c r="E182">
        <v>4</v>
      </c>
      <c r="F182">
        <v>3583</v>
      </c>
      <c r="G182" t="s">
        <v>460</v>
      </c>
      <c r="H182" t="str">
        <f>VLOOKUP(A182, product_table!$A:$C, 3, 0)</f>
        <v>Own Brand</v>
      </c>
      <c r="I182" t="str">
        <f>VLOOKUP(transactions_table8[[#This Row],[market_code]],markets_table!$A:$B,2,0)</f>
        <v>Ahmedabad</v>
      </c>
      <c r="J182" t="str">
        <f>VLOOKUP(transactions_table8[[#This Row],[market_code]],markets_table!$A:$C,3,0)</f>
        <v>North</v>
      </c>
      <c r="K182" t="str">
        <f>VLOOKUP(transactions_table8[[#This Row],[customer_code]],customer_table!$A:$B,2,0)</f>
        <v>Flawless Stores</v>
      </c>
      <c r="L182" t="str">
        <f>VLOOKUP(transactions_table8[[#This Row],[customer_code]],customer_table!$A:$C,3,0)</f>
        <v>Brick &amp; Mortar</v>
      </c>
      <c r="M182">
        <f>IF(TRIM(CLEAN(transactions_table8[[#This Row],[currency]]))="USD",transactions_table8[[#This Row],[sales_amount]]*83,transactions_table8[[#This Row],[sales_amount]])</f>
        <v>3583</v>
      </c>
    </row>
    <row r="183" spans="1:13" x14ac:dyDescent="0.3">
      <c r="A183" t="s">
        <v>184</v>
      </c>
      <c r="B183" t="s">
        <v>8</v>
      </c>
      <c r="C183" t="s">
        <v>141</v>
      </c>
      <c r="D183" s="1">
        <v>43269</v>
      </c>
      <c r="E183">
        <v>4</v>
      </c>
      <c r="F183">
        <v>4954</v>
      </c>
      <c r="G183" t="s">
        <v>460</v>
      </c>
      <c r="H183" t="str">
        <f>VLOOKUP(A183, product_table!$A:$C, 3, 0)</f>
        <v>Own Brand</v>
      </c>
      <c r="I183" t="str">
        <f>VLOOKUP(transactions_table8[[#This Row],[market_code]],markets_table!$A:$B,2,0)</f>
        <v>Ahmedabad</v>
      </c>
      <c r="J183" t="str">
        <f>VLOOKUP(transactions_table8[[#This Row],[market_code]],markets_table!$A:$C,3,0)</f>
        <v>North</v>
      </c>
      <c r="K183" t="str">
        <f>VLOOKUP(transactions_table8[[#This Row],[customer_code]],customer_table!$A:$B,2,0)</f>
        <v>Excel Stores</v>
      </c>
      <c r="L183" t="str">
        <f>VLOOKUP(transactions_table8[[#This Row],[customer_code]],customer_table!$A:$C,3,0)</f>
        <v>Brick &amp; Mortar</v>
      </c>
      <c r="M183">
        <f>IF(TRIM(CLEAN(transactions_table8[[#This Row],[currency]]))="USD",transactions_table8[[#This Row],[sales_amount]]*83,transactions_table8[[#This Row],[sales_amount]])</f>
        <v>4954</v>
      </c>
    </row>
    <row r="184" spans="1:13" x14ac:dyDescent="0.3">
      <c r="A184" t="s">
        <v>184</v>
      </c>
      <c r="B184" t="s">
        <v>22</v>
      </c>
      <c r="C184" t="s">
        <v>141</v>
      </c>
      <c r="D184" s="1">
        <v>43272</v>
      </c>
      <c r="E184">
        <v>1</v>
      </c>
      <c r="F184">
        <v>1889</v>
      </c>
      <c r="G184" t="s">
        <v>460</v>
      </c>
      <c r="H184" t="str">
        <f>VLOOKUP(A184, product_table!$A:$C, 3, 0)</f>
        <v>Own Brand</v>
      </c>
      <c r="I184" t="str">
        <f>VLOOKUP(transactions_table8[[#This Row],[market_code]],markets_table!$A:$B,2,0)</f>
        <v>Ahmedabad</v>
      </c>
      <c r="J184" t="str">
        <f>VLOOKUP(transactions_table8[[#This Row],[market_code]],markets_table!$A:$C,3,0)</f>
        <v>North</v>
      </c>
      <c r="K184" t="str">
        <f>VLOOKUP(transactions_table8[[#This Row],[customer_code]],customer_table!$A:$B,2,0)</f>
        <v>Atlas Stores</v>
      </c>
      <c r="L184" t="str">
        <f>VLOOKUP(transactions_table8[[#This Row],[customer_code]],customer_table!$A:$C,3,0)</f>
        <v>Brick &amp; Mortar</v>
      </c>
      <c r="M184">
        <f>IF(TRIM(CLEAN(transactions_table8[[#This Row],[currency]]))="USD",transactions_table8[[#This Row],[sales_amount]]*83,transactions_table8[[#This Row],[sales_amount]])</f>
        <v>1889</v>
      </c>
    </row>
    <row r="185" spans="1:13" x14ac:dyDescent="0.3">
      <c r="A185" t="s">
        <v>184</v>
      </c>
      <c r="B185" t="s">
        <v>22</v>
      </c>
      <c r="C185" t="s">
        <v>141</v>
      </c>
      <c r="D185" s="1">
        <v>43299</v>
      </c>
      <c r="E185">
        <v>1</v>
      </c>
      <c r="F185">
        <v>472</v>
      </c>
      <c r="G185" t="s">
        <v>460</v>
      </c>
      <c r="H185" t="str">
        <f>VLOOKUP(A185, product_table!$A:$C, 3, 0)</f>
        <v>Own Brand</v>
      </c>
      <c r="I185" t="str">
        <f>VLOOKUP(transactions_table8[[#This Row],[market_code]],markets_table!$A:$B,2,0)</f>
        <v>Ahmedabad</v>
      </c>
      <c r="J185" t="str">
        <f>VLOOKUP(transactions_table8[[#This Row],[market_code]],markets_table!$A:$C,3,0)</f>
        <v>North</v>
      </c>
      <c r="K185" t="str">
        <f>VLOOKUP(transactions_table8[[#This Row],[customer_code]],customer_table!$A:$B,2,0)</f>
        <v>Atlas Stores</v>
      </c>
      <c r="L185" t="str">
        <f>VLOOKUP(transactions_table8[[#This Row],[customer_code]],customer_table!$A:$C,3,0)</f>
        <v>Brick &amp; Mortar</v>
      </c>
      <c r="M185">
        <f>IF(TRIM(CLEAN(transactions_table8[[#This Row],[currency]]))="USD",transactions_table8[[#This Row],[sales_amount]]*83,transactions_table8[[#This Row],[sales_amount]])</f>
        <v>472</v>
      </c>
    </row>
    <row r="186" spans="1:13" x14ac:dyDescent="0.3">
      <c r="A186" t="s">
        <v>184</v>
      </c>
      <c r="B186" t="s">
        <v>8</v>
      </c>
      <c r="C186" t="s">
        <v>141</v>
      </c>
      <c r="D186" s="1">
        <v>43299</v>
      </c>
      <c r="E186">
        <v>1</v>
      </c>
      <c r="F186">
        <v>1352</v>
      </c>
      <c r="G186" t="s">
        <v>460</v>
      </c>
      <c r="H186" t="str">
        <f>VLOOKUP(A186, product_table!$A:$C, 3, 0)</f>
        <v>Own Brand</v>
      </c>
      <c r="I186" t="str">
        <f>VLOOKUP(transactions_table8[[#This Row],[market_code]],markets_table!$A:$B,2,0)</f>
        <v>Ahmedabad</v>
      </c>
      <c r="J186" t="str">
        <f>VLOOKUP(transactions_table8[[#This Row],[market_code]],markets_table!$A:$C,3,0)</f>
        <v>North</v>
      </c>
      <c r="K186" t="str">
        <f>VLOOKUP(transactions_table8[[#This Row],[customer_code]],customer_table!$A:$B,2,0)</f>
        <v>Excel Stores</v>
      </c>
      <c r="L186" t="str">
        <f>VLOOKUP(transactions_table8[[#This Row],[customer_code]],customer_table!$A:$C,3,0)</f>
        <v>Brick &amp; Mortar</v>
      </c>
      <c r="M186">
        <f>IF(TRIM(CLEAN(transactions_table8[[#This Row],[currency]]))="USD",transactions_table8[[#This Row],[sales_amount]]*83,transactions_table8[[#This Row],[sales_amount]])</f>
        <v>1352</v>
      </c>
    </row>
    <row r="187" spans="1:13" x14ac:dyDescent="0.3">
      <c r="A187" t="s">
        <v>184</v>
      </c>
      <c r="B187" t="s">
        <v>26</v>
      </c>
      <c r="C187" t="s">
        <v>141</v>
      </c>
      <c r="D187" s="1">
        <v>43300</v>
      </c>
      <c r="E187">
        <v>1</v>
      </c>
      <c r="F187">
        <v>1616</v>
      </c>
      <c r="G187" t="s">
        <v>460</v>
      </c>
      <c r="H187" t="str">
        <f>VLOOKUP(A187, product_table!$A:$C, 3, 0)</f>
        <v>Own Brand</v>
      </c>
      <c r="I187" t="str">
        <f>VLOOKUP(transactions_table8[[#This Row],[market_code]],markets_table!$A:$B,2,0)</f>
        <v>Ahmedabad</v>
      </c>
      <c r="J187" t="str">
        <f>VLOOKUP(transactions_table8[[#This Row],[market_code]],markets_table!$A:$C,3,0)</f>
        <v>North</v>
      </c>
      <c r="K187" t="str">
        <f>VLOOKUP(transactions_table8[[#This Row],[customer_code]],customer_table!$A:$B,2,0)</f>
        <v>Integration Stores</v>
      </c>
      <c r="L187" t="str">
        <f>VLOOKUP(transactions_table8[[#This Row],[customer_code]],customer_table!$A:$C,3,0)</f>
        <v>Brick &amp; Mortar</v>
      </c>
      <c r="M187">
        <f>IF(TRIM(CLEAN(transactions_table8[[#This Row],[currency]]))="USD",transactions_table8[[#This Row],[sales_amount]]*83,transactions_table8[[#This Row],[sales_amount]])</f>
        <v>1616</v>
      </c>
    </row>
    <row r="188" spans="1:13" x14ac:dyDescent="0.3">
      <c r="A188" t="s">
        <v>184</v>
      </c>
      <c r="B188" t="s">
        <v>8</v>
      </c>
      <c r="C188" t="s">
        <v>141</v>
      </c>
      <c r="D188" s="1">
        <v>43300</v>
      </c>
      <c r="E188">
        <v>1</v>
      </c>
      <c r="F188">
        <v>449</v>
      </c>
      <c r="G188" t="s">
        <v>460</v>
      </c>
      <c r="H188" t="str">
        <f>VLOOKUP(A188, product_table!$A:$C, 3, 0)</f>
        <v>Own Brand</v>
      </c>
      <c r="I188" t="str">
        <f>VLOOKUP(transactions_table8[[#This Row],[market_code]],markets_table!$A:$B,2,0)</f>
        <v>Ahmedabad</v>
      </c>
      <c r="J188" t="str">
        <f>VLOOKUP(transactions_table8[[#This Row],[market_code]],markets_table!$A:$C,3,0)</f>
        <v>North</v>
      </c>
      <c r="K188" t="str">
        <f>VLOOKUP(transactions_table8[[#This Row],[customer_code]],customer_table!$A:$B,2,0)</f>
        <v>Excel Stores</v>
      </c>
      <c r="L188" t="str">
        <f>VLOOKUP(transactions_table8[[#This Row],[customer_code]],customer_table!$A:$C,3,0)</f>
        <v>Brick &amp; Mortar</v>
      </c>
      <c r="M188">
        <f>IF(TRIM(CLEAN(transactions_table8[[#This Row],[currency]]))="USD",transactions_table8[[#This Row],[sales_amount]]*83,transactions_table8[[#This Row],[sales_amount]])</f>
        <v>449</v>
      </c>
    </row>
    <row r="189" spans="1:13" x14ac:dyDescent="0.3">
      <c r="A189" t="s">
        <v>184</v>
      </c>
      <c r="B189" t="s">
        <v>8</v>
      </c>
      <c r="C189" t="s">
        <v>141</v>
      </c>
      <c r="D189" s="1">
        <v>43304</v>
      </c>
      <c r="E189">
        <v>1</v>
      </c>
      <c r="F189">
        <v>1801</v>
      </c>
      <c r="G189" t="s">
        <v>460</v>
      </c>
      <c r="H189" t="str">
        <f>VLOOKUP(A189, product_table!$A:$C, 3, 0)</f>
        <v>Own Brand</v>
      </c>
      <c r="I189" t="str">
        <f>VLOOKUP(transactions_table8[[#This Row],[market_code]],markets_table!$A:$B,2,0)</f>
        <v>Ahmedabad</v>
      </c>
      <c r="J189" t="str">
        <f>VLOOKUP(transactions_table8[[#This Row],[market_code]],markets_table!$A:$C,3,0)</f>
        <v>North</v>
      </c>
      <c r="K189" t="str">
        <f>VLOOKUP(transactions_table8[[#This Row],[customer_code]],customer_table!$A:$B,2,0)</f>
        <v>Excel Stores</v>
      </c>
      <c r="L189" t="str">
        <f>VLOOKUP(transactions_table8[[#This Row],[customer_code]],customer_table!$A:$C,3,0)</f>
        <v>Brick &amp; Mortar</v>
      </c>
      <c r="M189">
        <f>IF(TRIM(CLEAN(transactions_table8[[#This Row],[currency]]))="USD",transactions_table8[[#This Row],[sales_amount]]*83,transactions_table8[[#This Row],[sales_amount]])</f>
        <v>1801</v>
      </c>
    </row>
    <row r="190" spans="1:13" x14ac:dyDescent="0.3">
      <c r="A190" t="s">
        <v>184</v>
      </c>
      <c r="B190" t="s">
        <v>8</v>
      </c>
      <c r="C190" t="s">
        <v>141</v>
      </c>
      <c r="D190" s="1">
        <v>43311</v>
      </c>
      <c r="E190">
        <v>1</v>
      </c>
      <c r="F190">
        <v>1801</v>
      </c>
      <c r="G190" t="s">
        <v>460</v>
      </c>
      <c r="H190" t="str">
        <f>VLOOKUP(A190, product_table!$A:$C, 3, 0)</f>
        <v>Own Brand</v>
      </c>
      <c r="I190" t="str">
        <f>VLOOKUP(transactions_table8[[#This Row],[market_code]],markets_table!$A:$B,2,0)</f>
        <v>Ahmedabad</v>
      </c>
      <c r="J190" t="str">
        <f>VLOOKUP(transactions_table8[[#This Row],[market_code]],markets_table!$A:$C,3,0)</f>
        <v>North</v>
      </c>
      <c r="K190" t="str">
        <f>VLOOKUP(transactions_table8[[#This Row],[customer_code]],customer_table!$A:$B,2,0)</f>
        <v>Excel Stores</v>
      </c>
      <c r="L190" t="str">
        <f>VLOOKUP(transactions_table8[[#This Row],[customer_code]],customer_table!$A:$C,3,0)</f>
        <v>Brick &amp; Mortar</v>
      </c>
      <c r="M190">
        <f>IF(TRIM(CLEAN(transactions_table8[[#This Row],[currency]]))="USD",transactions_table8[[#This Row],[sales_amount]]*83,transactions_table8[[#This Row],[sales_amount]])</f>
        <v>1801</v>
      </c>
    </row>
    <row r="191" spans="1:13" x14ac:dyDescent="0.3">
      <c r="A191" t="s">
        <v>184</v>
      </c>
      <c r="B191" t="s">
        <v>8</v>
      </c>
      <c r="C191" t="s">
        <v>141</v>
      </c>
      <c r="D191" s="1">
        <v>43490</v>
      </c>
      <c r="E191">
        <v>1</v>
      </c>
      <c r="F191">
        <v>449</v>
      </c>
      <c r="G191" t="s">
        <v>460</v>
      </c>
      <c r="H191" t="str">
        <f>VLOOKUP(A191, product_table!$A:$C, 3, 0)</f>
        <v>Own Brand</v>
      </c>
      <c r="I191" t="str">
        <f>VLOOKUP(transactions_table8[[#This Row],[market_code]],markets_table!$A:$B,2,0)</f>
        <v>Ahmedabad</v>
      </c>
      <c r="J191" t="str">
        <f>VLOOKUP(transactions_table8[[#This Row],[market_code]],markets_table!$A:$C,3,0)</f>
        <v>North</v>
      </c>
      <c r="K191" t="str">
        <f>VLOOKUP(transactions_table8[[#This Row],[customer_code]],customer_table!$A:$B,2,0)</f>
        <v>Excel Stores</v>
      </c>
      <c r="L191" t="str">
        <f>VLOOKUP(transactions_table8[[#This Row],[customer_code]],customer_table!$A:$C,3,0)</f>
        <v>Brick &amp; Mortar</v>
      </c>
      <c r="M191">
        <f>IF(TRIM(CLEAN(transactions_table8[[#This Row],[currency]]))="USD",transactions_table8[[#This Row],[sales_amount]]*83,transactions_table8[[#This Row],[sales_amount]])</f>
        <v>449</v>
      </c>
    </row>
    <row r="192" spans="1:13" x14ac:dyDescent="0.3">
      <c r="A192" t="s">
        <v>184</v>
      </c>
      <c r="B192" t="s">
        <v>8</v>
      </c>
      <c r="C192" t="s">
        <v>141</v>
      </c>
      <c r="D192" s="1">
        <v>43500</v>
      </c>
      <c r="E192">
        <v>1</v>
      </c>
      <c r="F192">
        <v>449</v>
      </c>
      <c r="G192" t="s">
        <v>460</v>
      </c>
      <c r="H192" t="str">
        <f>VLOOKUP(A192, product_table!$A:$C, 3, 0)</f>
        <v>Own Brand</v>
      </c>
      <c r="I192" t="str">
        <f>VLOOKUP(transactions_table8[[#This Row],[market_code]],markets_table!$A:$B,2,0)</f>
        <v>Ahmedabad</v>
      </c>
      <c r="J192" t="str">
        <f>VLOOKUP(transactions_table8[[#This Row],[market_code]],markets_table!$A:$C,3,0)</f>
        <v>North</v>
      </c>
      <c r="K192" t="str">
        <f>VLOOKUP(transactions_table8[[#This Row],[customer_code]],customer_table!$A:$B,2,0)</f>
        <v>Excel Stores</v>
      </c>
      <c r="L192" t="str">
        <f>VLOOKUP(transactions_table8[[#This Row],[customer_code]],customer_table!$A:$C,3,0)</f>
        <v>Brick &amp; Mortar</v>
      </c>
      <c r="M192">
        <f>IF(TRIM(CLEAN(transactions_table8[[#This Row],[currency]]))="USD",transactions_table8[[#This Row],[sales_amount]]*83,transactions_table8[[#This Row],[sales_amount]])</f>
        <v>449</v>
      </c>
    </row>
    <row r="193" spans="1:13" x14ac:dyDescent="0.3">
      <c r="A193" t="s">
        <v>184</v>
      </c>
      <c r="B193" t="s">
        <v>8</v>
      </c>
      <c r="C193" t="s">
        <v>141</v>
      </c>
      <c r="D193" s="1">
        <v>43516</v>
      </c>
      <c r="E193">
        <v>1</v>
      </c>
      <c r="F193">
        <v>449</v>
      </c>
      <c r="G193" t="s">
        <v>460</v>
      </c>
      <c r="H193" t="str">
        <f>VLOOKUP(A193, product_table!$A:$C, 3, 0)</f>
        <v>Own Brand</v>
      </c>
      <c r="I193" t="str">
        <f>VLOOKUP(transactions_table8[[#This Row],[market_code]],markets_table!$A:$B,2,0)</f>
        <v>Ahmedabad</v>
      </c>
      <c r="J193" t="str">
        <f>VLOOKUP(transactions_table8[[#This Row],[market_code]],markets_table!$A:$C,3,0)</f>
        <v>North</v>
      </c>
      <c r="K193" t="str">
        <f>VLOOKUP(transactions_table8[[#This Row],[customer_code]],customer_table!$A:$B,2,0)</f>
        <v>Excel Stores</v>
      </c>
      <c r="L193" t="str">
        <f>VLOOKUP(transactions_table8[[#This Row],[customer_code]],customer_table!$A:$C,3,0)</f>
        <v>Brick &amp; Mortar</v>
      </c>
      <c r="M193">
        <f>IF(TRIM(CLEAN(transactions_table8[[#This Row],[currency]]))="USD",transactions_table8[[#This Row],[sales_amount]]*83,transactions_table8[[#This Row],[sales_amount]])</f>
        <v>449</v>
      </c>
    </row>
    <row r="194" spans="1:13" x14ac:dyDescent="0.3">
      <c r="A194" t="s">
        <v>184</v>
      </c>
      <c r="B194" t="s">
        <v>8</v>
      </c>
      <c r="C194" t="s">
        <v>141</v>
      </c>
      <c r="D194" s="1">
        <v>43537</v>
      </c>
      <c r="E194">
        <v>1</v>
      </c>
      <c r="F194">
        <v>444</v>
      </c>
      <c r="G194" t="s">
        <v>460</v>
      </c>
      <c r="H194" t="str">
        <f>VLOOKUP(A194, product_table!$A:$C, 3, 0)</f>
        <v>Own Brand</v>
      </c>
      <c r="I194" t="str">
        <f>VLOOKUP(transactions_table8[[#This Row],[market_code]],markets_table!$A:$B,2,0)</f>
        <v>Ahmedabad</v>
      </c>
      <c r="J194" t="str">
        <f>VLOOKUP(transactions_table8[[#This Row],[market_code]],markets_table!$A:$C,3,0)</f>
        <v>North</v>
      </c>
      <c r="K194" t="str">
        <f>VLOOKUP(transactions_table8[[#This Row],[customer_code]],customer_table!$A:$B,2,0)</f>
        <v>Excel Stores</v>
      </c>
      <c r="L194" t="str">
        <f>VLOOKUP(transactions_table8[[#This Row],[customer_code]],customer_table!$A:$C,3,0)</f>
        <v>Brick &amp; Mortar</v>
      </c>
      <c r="M194">
        <f>IF(TRIM(CLEAN(transactions_table8[[#This Row],[currency]]))="USD",transactions_table8[[#This Row],[sales_amount]]*83,transactions_table8[[#This Row],[sales_amount]])</f>
        <v>444</v>
      </c>
    </row>
    <row r="195" spans="1:13" x14ac:dyDescent="0.3">
      <c r="A195" t="s">
        <v>184</v>
      </c>
      <c r="B195" t="s">
        <v>8</v>
      </c>
      <c r="C195" t="s">
        <v>141</v>
      </c>
      <c r="D195" s="1">
        <v>43552</v>
      </c>
      <c r="E195">
        <v>1</v>
      </c>
      <c r="F195">
        <v>444</v>
      </c>
      <c r="G195" t="s">
        <v>460</v>
      </c>
      <c r="H195" t="str">
        <f>VLOOKUP(A195, product_table!$A:$C, 3, 0)</f>
        <v>Own Brand</v>
      </c>
      <c r="I195" t="str">
        <f>VLOOKUP(transactions_table8[[#This Row],[market_code]],markets_table!$A:$B,2,0)</f>
        <v>Ahmedabad</v>
      </c>
      <c r="J195" t="str">
        <f>VLOOKUP(transactions_table8[[#This Row],[market_code]],markets_table!$A:$C,3,0)</f>
        <v>North</v>
      </c>
      <c r="K195" t="str">
        <f>VLOOKUP(transactions_table8[[#This Row],[customer_code]],customer_table!$A:$B,2,0)</f>
        <v>Excel Stores</v>
      </c>
      <c r="L195" t="str">
        <f>VLOOKUP(transactions_table8[[#This Row],[customer_code]],customer_table!$A:$C,3,0)</f>
        <v>Brick &amp; Mortar</v>
      </c>
      <c r="M195">
        <f>IF(TRIM(CLEAN(transactions_table8[[#This Row],[currency]]))="USD",transactions_table8[[#This Row],[sales_amount]]*83,transactions_table8[[#This Row],[sales_amount]])</f>
        <v>444</v>
      </c>
    </row>
    <row r="196" spans="1:13" x14ac:dyDescent="0.3">
      <c r="A196" t="s">
        <v>185</v>
      </c>
      <c r="B196" t="s">
        <v>34</v>
      </c>
      <c r="C196" t="s">
        <v>138</v>
      </c>
      <c r="D196" s="1">
        <v>43014</v>
      </c>
      <c r="E196">
        <v>1</v>
      </c>
      <c r="F196">
        <v>505</v>
      </c>
      <c r="G196" t="s">
        <v>460</v>
      </c>
      <c r="H196" t="str">
        <f>VLOOKUP(A196, product_table!$A:$C, 3, 0)</f>
        <v>Own Brand</v>
      </c>
      <c r="I196" t="str">
        <f>VLOOKUP(transactions_table8[[#This Row],[market_code]],markets_table!$A:$B,2,0)</f>
        <v>Mumbai</v>
      </c>
      <c r="J196" t="str">
        <f>VLOOKUP(transactions_table8[[#This Row],[market_code]],markets_table!$A:$C,3,0)</f>
        <v>Central</v>
      </c>
      <c r="K196" t="str">
        <f>VLOOKUP(transactions_table8[[#This Row],[customer_code]],customer_table!$A:$B,2,0)</f>
        <v>Logic Stores</v>
      </c>
      <c r="L196" t="str">
        <f>VLOOKUP(transactions_table8[[#This Row],[customer_code]],customer_table!$A:$C,3,0)</f>
        <v>Brick &amp; Mortar</v>
      </c>
      <c r="M196">
        <f>IF(TRIM(CLEAN(transactions_table8[[#This Row],[currency]]))="USD",transactions_table8[[#This Row],[sales_amount]]*83,transactions_table8[[#This Row],[sales_amount]])</f>
        <v>505</v>
      </c>
    </row>
    <row r="197" spans="1:13" x14ac:dyDescent="0.3">
      <c r="A197" t="s">
        <v>185</v>
      </c>
      <c r="B197" t="s">
        <v>34</v>
      </c>
      <c r="C197" t="s">
        <v>138</v>
      </c>
      <c r="D197" s="1">
        <v>43021</v>
      </c>
      <c r="E197">
        <v>1</v>
      </c>
      <c r="F197">
        <v>1514</v>
      </c>
      <c r="G197" t="s">
        <v>460</v>
      </c>
      <c r="H197" t="str">
        <f>VLOOKUP(A197, product_table!$A:$C, 3, 0)</f>
        <v>Own Brand</v>
      </c>
      <c r="I197" t="str">
        <f>VLOOKUP(transactions_table8[[#This Row],[market_code]],markets_table!$A:$B,2,0)</f>
        <v>Mumbai</v>
      </c>
      <c r="J197" t="str">
        <f>VLOOKUP(transactions_table8[[#This Row],[market_code]],markets_table!$A:$C,3,0)</f>
        <v>Central</v>
      </c>
      <c r="K197" t="str">
        <f>VLOOKUP(transactions_table8[[#This Row],[customer_code]],customer_table!$A:$B,2,0)</f>
        <v>Logic Stores</v>
      </c>
      <c r="L197" t="str">
        <f>VLOOKUP(transactions_table8[[#This Row],[customer_code]],customer_table!$A:$C,3,0)</f>
        <v>Brick &amp; Mortar</v>
      </c>
      <c r="M197">
        <f>IF(TRIM(CLEAN(transactions_table8[[#This Row],[currency]]))="USD",transactions_table8[[#This Row],[sales_amount]]*83,transactions_table8[[#This Row],[sales_amount]])</f>
        <v>1514</v>
      </c>
    </row>
    <row r="198" spans="1:13" x14ac:dyDescent="0.3">
      <c r="A198" t="s">
        <v>185</v>
      </c>
      <c r="B198" t="s">
        <v>34</v>
      </c>
      <c r="C198" t="s">
        <v>138</v>
      </c>
      <c r="D198" s="1">
        <v>43028</v>
      </c>
      <c r="E198">
        <v>1</v>
      </c>
      <c r="F198">
        <v>2023</v>
      </c>
      <c r="G198" t="s">
        <v>460</v>
      </c>
      <c r="H198" t="str">
        <f>VLOOKUP(A198, product_table!$A:$C, 3, 0)</f>
        <v>Own Brand</v>
      </c>
      <c r="I198" t="str">
        <f>VLOOKUP(transactions_table8[[#This Row],[market_code]],markets_table!$A:$B,2,0)</f>
        <v>Mumbai</v>
      </c>
      <c r="J198" t="str">
        <f>VLOOKUP(transactions_table8[[#This Row],[market_code]],markets_table!$A:$C,3,0)</f>
        <v>Central</v>
      </c>
      <c r="K198" t="str">
        <f>VLOOKUP(transactions_table8[[#This Row],[customer_code]],customer_table!$A:$B,2,0)</f>
        <v>Logic Stores</v>
      </c>
      <c r="L198" t="str">
        <f>VLOOKUP(transactions_table8[[#This Row],[customer_code]],customer_table!$A:$C,3,0)</f>
        <v>Brick &amp; Mortar</v>
      </c>
      <c r="M198">
        <f>IF(TRIM(CLEAN(transactions_table8[[#This Row],[currency]]))="USD",transactions_table8[[#This Row],[sales_amount]]*83,transactions_table8[[#This Row],[sales_amount]])</f>
        <v>2023</v>
      </c>
    </row>
    <row r="199" spans="1:13" x14ac:dyDescent="0.3">
      <c r="A199" t="s">
        <v>185</v>
      </c>
      <c r="B199" t="s">
        <v>34</v>
      </c>
      <c r="C199" t="s">
        <v>138</v>
      </c>
      <c r="D199" s="1">
        <v>43035</v>
      </c>
      <c r="E199">
        <v>25</v>
      </c>
      <c r="F199">
        <v>37889</v>
      </c>
      <c r="G199" t="s">
        <v>460</v>
      </c>
      <c r="H199" t="str">
        <f>VLOOKUP(A199, product_table!$A:$C, 3, 0)</f>
        <v>Own Brand</v>
      </c>
      <c r="I199" t="str">
        <f>VLOOKUP(transactions_table8[[#This Row],[market_code]],markets_table!$A:$B,2,0)</f>
        <v>Mumbai</v>
      </c>
      <c r="J199" t="str">
        <f>VLOOKUP(transactions_table8[[#This Row],[market_code]],markets_table!$A:$C,3,0)</f>
        <v>Central</v>
      </c>
      <c r="K199" t="str">
        <f>VLOOKUP(transactions_table8[[#This Row],[customer_code]],customer_table!$A:$B,2,0)</f>
        <v>Logic Stores</v>
      </c>
      <c r="L199" t="str">
        <f>VLOOKUP(transactions_table8[[#This Row],[customer_code]],customer_table!$A:$C,3,0)</f>
        <v>Brick &amp; Mortar</v>
      </c>
      <c r="M199">
        <f>IF(TRIM(CLEAN(transactions_table8[[#This Row],[currency]]))="USD",transactions_table8[[#This Row],[sales_amount]]*83,transactions_table8[[#This Row],[sales_amount]])</f>
        <v>37889</v>
      </c>
    </row>
    <row r="200" spans="1:13" x14ac:dyDescent="0.3">
      <c r="A200" t="s">
        <v>185</v>
      </c>
      <c r="B200" t="s">
        <v>34</v>
      </c>
      <c r="C200" t="s">
        <v>138</v>
      </c>
      <c r="D200" s="1">
        <v>43139</v>
      </c>
      <c r="E200">
        <v>1</v>
      </c>
      <c r="F200">
        <v>593</v>
      </c>
      <c r="G200" t="s">
        <v>460</v>
      </c>
      <c r="H200" t="str">
        <f>VLOOKUP(A200, product_table!$A:$C, 3, 0)</f>
        <v>Own Brand</v>
      </c>
      <c r="I200" t="str">
        <f>VLOOKUP(transactions_table8[[#This Row],[market_code]],markets_table!$A:$B,2,0)</f>
        <v>Mumbai</v>
      </c>
      <c r="J200" t="str">
        <f>VLOOKUP(transactions_table8[[#This Row],[market_code]],markets_table!$A:$C,3,0)</f>
        <v>Central</v>
      </c>
      <c r="K200" t="str">
        <f>VLOOKUP(transactions_table8[[#This Row],[customer_code]],customer_table!$A:$B,2,0)</f>
        <v>Logic Stores</v>
      </c>
      <c r="L200" t="str">
        <f>VLOOKUP(transactions_table8[[#This Row],[customer_code]],customer_table!$A:$C,3,0)</f>
        <v>Brick &amp; Mortar</v>
      </c>
      <c r="M200">
        <f>IF(TRIM(CLEAN(transactions_table8[[#This Row],[currency]]))="USD",transactions_table8[[#This Row],[sales_amount]]*83,transactions_table8[[#This Row],[sales_amount]])</f>
        <v>593</v>
      </c>
    </row>
    <row r="201" spans="1:13" x14ac:dyDescent="0.3">
      <c r="A201" t="s">
        <v>185</v>
      </c>
      <c r="B201" t="s">
        <v>16</v>
      </c>
      <c r="C201" t="s">
        <v>144</v>
      </c>
      <c r="D201" s="1">
        <v>43147</v>
      </c>
      <c r="E201">
        <v>1</v>
      </c>
      <c r="F201">
        <v>597</v>
      </c>
      <c r="G201" t="s">
        <v>460</v>
      </c>
      <c r="H201" t="str">
        <f>VLOOKUP(A201, product_table!$A:$C, 3, 0)</f>
        <v>Own Brand</v>
      </c>
      <c r="I201" t="str">
        <f>VLOOKUP(transactions_table8[[#This Row],[market_code]],markets_table!$A:$B,2,0)</f>
        <v>Delhi NCR</v>
      </c>
      <c r="J201" t="str">
        <f>VLOOKUP(transactions_table8[[#This Row],[market_code]],markets_table!$A:$C,3,0)</f>
        <v>North</v>
      </c>
      <c r="K201" t="str">
        <f>VLOOKUP(transactions_table8[[#This Row],[customer_code]],customer_table!$A:$B,2,0)</f>
        <v>Info Stores</v>
      </c>
      <c r="L201" t="str">
        <f>VLOOKUP(transactions_table8[[#This Row],[customer_code]],customer_table!$A:$C,3,0)</f>
        <v>Brick &amp; Mortar</v>
      </c>
      <c r="M201">
        <f>IF(TRIM(CLEAN(transactions_table8[[#This Row],[currency]]))="USD",transactions_table8[[#This Row],[sales_amount]]*83,transactions_table8[[#This Row],[sales_amount]])</f>
        <v>597</v>
      </c>
    </row>
    <row r="202" spans="1:13" x14ac:dyDescent="0.3">
      <c r="A202" t="s">
        <v>185</v>
      </c>
      <c r="B202" t="s">
        <v>16</v>
      </c>
      <c r="C202" t="s">
        <v>144</v>
      </c>
      <c r="D202" s="1">
        <v>43157</v>
      </c>
      <c r="E202">
        <v>1</v>
      </c>
      <c r="F202">
        <v>2389</v>
      </c>
      <c r="G202" t="s">
        <v>460</v>
      </c>
      <c r="H202" t="str">
        <f>VLOOKUP(A202, product_table!$A:$C, 3, 0)</f>
        <v>Own Brand</v>
      </c>
      <c r="I202" t="str">
        <f>VLOOKUP(transactions_table8[[#This Row],[market_code]],markets_table!$A:$B,2,0)</f>
        <v>Delhi NCR</v>
      </c>
      <c r="J202" t="str">
        <f>VLOOKUP(transactions_table8[[#This Row],[market_code]],markets_table!$A:$C,3,0)</f>
        <v>North</v>
      </c>
      <c r="K202" t="str">
        <f>VLOOKUP(transactions_table8[[#This Row],[customer_code]],customer_table!$A:$B,2,0)</f>
        <v>Info Stores</v>
      </c>
      <c r="L202" t="str">
        <f>VLOOKUP(transactions_table8[[#This Row],[customer_code]],customer_table!$A:$C,3,0)</f>
        <v>Brick &amp; Mortar</v>
      </c>
      <c r="M202">
        <f>IF(TRIM(CLEAN(transactions_table8[[#This Row],[currency]]))="USD",transactions_table8[[#This Row],[sales_amount]]*83,transactions_table8[[#This Row],[sales_amount]])</f>
        <v>2389</v>
      </c>
    </row>
    <row r="203" spans="1:13" x14ac:dyDescent="0.3">
      <c r="A203" t="s">
        <v>185</v>
      </c>
      <c r="B203" t="s">
        <v>34</v>
      </c>
      <c r="C203" t="s">
        <v>138</v>
      </c>
      <c r="D203" s="1">
        <v>43160</v>
      </c>
      <c r="E203">
        <v>1</v>
      </c>
      <c r="F203">
        <v>593</v>
      </c>
      <c r="G203" t="s">
        <v>460</v>
      </c>
      <c r="H203" t="str">
        <f>VLOOKUP(A203, product_table!$A:$C, 3, 0)</f>
        <v>Own Brand</v>
      </c>
      <c r="I203" t="str">
        <f>VLOOKUP(transactions_table8[[#This Row],[market_code]],markets_table!$A:$B,2,0)</f>
        <v>Mumbai</v>
      </c>
      <c r="J203" t="str">
        <f>VLOOKUP(transactions_table8[[#This Row],[market_code]],markets_table!$A:$C,3,0)</f>
        <v>Central</v>
      </c>
      <c r="K203" t="str">
        <f>VLOOKUP(transactions_table8[[#This Row],[customer_code]],customer_table!$A:$B,2,0)</f>
        <v>Logic Stores</v>
      </c>
      <c r="L203" t="str">
        <f>VLOOKUP(transactions_table8[[#This Row],[customer_code]],customer_table!$A:$C,3,0)</f>
        <v>Brick &amp; Mortar</v>
      </c>
      <c r="M203">
        <f>IF(TRIM(CLEAN(transactions_table8[[#This Row],[currency]]))="USD",transactions_table8[[#This Row],[sales_amount]]*83,transactions_table8[[#This Row],[sales_amount]])</f>
        <v>593</v>
      </c>
    </row>
    <row r="204" spans="1:13" x14ac:dyDescent="0.3">
      <c r="A204" t="s">
        <v>185</v>
      </c>
      <c r="B204" t="s">
        <v>16</v>
      </c>
      <c r="C204" t="s">
        <v>144</v>
      </c>
      <c r="D204" s="1">
        <v>43161</v>
      </c>
      <c r="E204">
        <v>1</v>
      </c>
      <c r="F204">
        <v>1194</v>
      </c>
      <c r="G204" t="s">
        <v>460</v>
      </c>
      <c r="H204" t="str">
        <f>VLOOKUP(A204, product_table!$A:$C, 3, 0)</f>
        <v>Own Brand</v>
      </c>
      <c r="I204" t="str">
        <f>VLOOKUP(transactions_table8[[#This Row],[market_code]],markets_table!$A:$B,2,0)</f>
        <v>Delhi NCR</v>
      </c>
      <c r="J204" t="str">
        <f>VLOOKUP(transactions_table8[[#This Row],[market_code]],markets_table!$A:$C,3,0)</f>
        <v>North</v>
      </c>
      <c r="K204" t="str">
        <f>VLOOKUP(transactions_table8[[#This Row],[customer_code]],customer_table!$A:$B,2,0)</f>
        <v>Info Stores</v>
      </c>
      <c r="L204" t="str">
        <f>VLOOKUP(transactions_table8[[#This Row],[customer_code]],customer_table!$A:$C,3,0)</f>
        <v>Brick &amp; Mortar</v>
      </c>
      <c r="M204">
        <f>IF(TRIM(CLEAN(transactions_table8[[#This Row],[currency]]))="USD",transactions_table8[[#This Row],[sales_amount]]*83,transactions_table8[[#This Row],[sales_amount]])</f>
        <v>1194</v>
      </c>
    </row>
    <row r="205" spans="1:13" x14ac:dyDescent="0.3">
      <c r="A205" t="s">
        <v>185</v>
      </c>
      <c r="B205" t="s">
        <v>16</v>
      </c>
      <c r="C205" t="s">
        <v>144</v>
      </c>
      <c r="D205" s="1">
        <v>43164</v>
      </c>
      <c r="E205">
        <v>8</v>
      </c>
      <c r="F205">
        <v>13736</v>
      </c>
      <c r="G205" t="s">
        <v>460</v>
      </c>
      <c r="H205" t="str">
        <f>VLOOKUP(A205, product_table!$A:$C, 3, 0)</f>
        <v>Own Brand</v>
      </c>
      <c r="I205" t="str">
        <f>VLOOKUP(transactions_table8[[#This Row],[market_code]],markets_table!$A:$B,2,0)</f>
        <v>Delhi NCR</v>
      </c>
      <c r="J205" t="str">
        <f>VLOOKUP(transactions_table8[[#This Row],[market_code]],markets_table!$A:$C,3,0)</f>
        <v>North</v>
      </c>
      <c r="K205" t="str">
        <f>VLOOKUP(transactions_table8[[#This Row],[customer_code]],customer_table!$A:$B,2,0)</f>
        <v>Info Stores</v>
      </c>
      <c r="L205" t="str">
        <f>VLOOKUP(transactions_table8[[#This Row],[customer_code]],customer_table!$A:$C,3,0)</f>
        <v>Brick &amp; Mortar</v>
      </c>
      <c r="M205">
        <f>IF(TRIM(CLEAN(transactions_table8[[#This Row],[currency]]))="USD",transactions_table8[[#This Row],[sales_amount]]*83,transactions_table8[[#This Row],[sales_amount]])</f>
        <v>13736</v>
      </c>
    </row>
    <row r="206" spans="1:13" x14ac:dyDescent="0.3">
      <c r="A206" t="s">
        <v>185</v>
      </c>
      <c r="B206" t="s">
        <v>16</v>
      </c>
      <c r="C206" t="s">
        <v>144</v>
      </c>
      <c r="D206" s="1">
        <v>43171</v>
      </c>
      <c r="E206">
        <v>1</v>
      </c>
      <c r="F206">
        <v>1194</v>
      </c>
      <c r="G206" t="s">
        <v>460</v>
      </c>
      <c r="H206" t="str">
        <f>VLOOKUP(A206, product_table!$A:$C, 3, 0)</f>
        <v>Own Brand</v>
      </c>
      <c r="I206" t="str">
        <f>VLOOKUP(transactions_table8[[#This Row],[market_code]],markets_table!$A:$B,2,0)</f>
        <v>Delhi NCR</v>
      </c>
      <c r="J206" t="str">
        <f>VLOOKUP(transactions_table8[[#This Row],[market_code]],markets_table!$A:$C,3,0)</f>
        <v>North</v>
      </c>
      <c r="K206" t="str">
        <f>VLOOKUP(transactions_table8[[#This Row],[customer_code]],customer_table!$A:$B,2,0)</f>
        <v>Info Stores</v>
      </c>
      <c r="L206" t="str">
        <f>VLOOKUP(transactions_table8[[#This Row],[customer_code]],customer_table!$A:$C,3,0)</f>
        <v>Brick &amp; Mortar</v>
      </c>
      <c r="M206">
        <f>IF(TRIM(CLEAN(transactions_table8[[#This Row],[currency]]))="USD",transactions_table8[[#This Row],[sales_amount]]*83,transactions_table8[[#This Row],[sales_amount]])</f>
        <v>1194</v>
      </c>
    </row>
    <row r="207" spans="1:13" x14ac:dyDescent="0.3">
      <c r="A207" t="s">
        <v>185</v>
      </c>
      <c r="B207" t="s">
        <v>16</v>
      </c>
      <c r="C207" t="s">
        <v>144</v>
      </c>
      <c r="D207" s="1">
        <v>43193</v>
      </c>
      <c r="E207">
        <v>1</v>
      </c>
      <c r="F207">
        <v>597</v>
      </c>
      <c r="G207" t="s">
        <v>460</v>
      </c>
      <c r="H207" t="str">
        <f>VLOOKUP(A207, product_table!$A:$C, 3, 0)</f>
        <v>Own Brand</v>
      </c>
      <c r="I207" t="str">
        <f>VLOOKUP(transactions_table8[[#This Row],[market_code]],markets_table!$A:$B,2,0)</f>
        <v>Delhi NCR</v>
      </c>
      <c r="J207" t="str">
        <f>VLOOKUP(transactions_table8[[#This Row],[market_code]],markets_table!$A:$C,3,0)</f>
        <v>North</v>
      </c>
      <c r="K207" t="str">
        <f>VLOOKUP(transactions_table8[[#This Row],[customer_code]],customer_table!$A:$B,2,0)</f>
        <v>Info Stores</v>
      </c>
      <c r="L207" t="str">
        <f>VLOOKUP(transactions_table8[[#This Row],[customer_code]],customer_table!$A:$C,3,0)</f>
        <v>Brick &amp; Mortar</v>
      </c>
      <c r="M207">
        <f>IF(TRIM(CLEAN(transactions_table8[[#This Row],[currency]]))="USD",transactions_table8[[#This Row],[sales_amount]]*83,transactions_table8[[#This Row],[sales_amount]])</f>
        <v>597</v>
      </c>
    </row>
    <row r="208" spans="1:13" x14ac:dyDescent="0.3">
      <c r="A208" t="s">
        <v>185</v>
      </c>
      <c r="B208" t="s">
        <v>16</v>
      </c>
      <c r="C208" t="s">
        <v>144</v>
      </c>
      <c r="D208" s="1">
        <v>43199</v>
      </c>
      <c r="E208">
        <v>1</v>
      </c>
      <c r="F208">
        <v>597</v>
      </c>
      <c r="G208" t="s">
        <v>460</v>
      </c>
      <c r="H208" t="str">
        <f>VLOOKUP(A208, product_table!$A:$C, 3, 0)</f>
        <v>Own Brand</v>
      </c>
      <c r="I208" t="str">
        <f>VLOOKUP(transactions_table8[[#This Row],[market_code]],markets_table!$A:$B,2,0)</f>
        <v>Delhi NCR</v>
      </c>
      <c r="J208" t="str">
        <f>VLOOKUP(transactions_table8[[#This Row],[market_code]],markets_table!$A:$C,3,0)</f>
        <v>North</v>
      </c>
      <c r="K208" t="str">
        <f>VLOOKUP(transactions_table8[[#This Row],[customer_code]],customer_table!$A:$B,2,0)</f>
        <v>Info Stores</v>
      </c>
      <c r="L208" t="str">
        <f>VLOOKUP(transactions_table8[[#This Row],[customer_code]],customer_table!$A:$C,3,0)</f>
        <v>Brick &amp; Mortar</v>
      </c>
      <c r="M208">
        <f>IF(TRIM(CLEAN(transactions_table8[[#This Row],[currency]]))="USD",transactions_table8[[#This Row],[sales_amount]]*83,transactions_table8[[#This Row],[sales_amount]])</f>
        <v>597</v>
      </c>
    </row>
    <row r="209" spans="1:13" x14ac:dyDescent="0.3">
      <c r="A209" t="s">
        <v>185</v>
      </c>
      <c r="B209" t="s">
        <v>16</v>
      </c>
      <c r="C209" t="s">
        <v>144</v>
      </c>
      <c r="D209" s="1">
        <v>43203</v>
      </c>
      <c r="E209">
        <v>1</v>
      </c>
      <c r="F209">
        <v>597</v>
      </c>
      <c r="G209" t="s">
        <v>460</v>
      </c>
      <c r="H209" t="str">
        <f>VLOOKUP(A209, product_table!$A:$C, 3, 0)</f>
        <v>Own Brand</v>
      </c>
      <c r="I209" t="str">
        <f>VLOOKUP(transactions_table8[[#This Row],[market_code]],markets_table!$A:$B,2,0)</f>
        <v>Delhi NCR</v>
      </c>
      <c r="J209" t="str">
        <f>VLOOKUP(transactions_table8[[#This Row],[market_code]],markets_table!$A:$C,3,0)</f>
        <v>North</v>
      </c>
      <c r="K209" t="str">
        <f>VLOOKUP(transactions_table8[[#This Row],[customer_code]],customer_table!$A:$B,2,0)</f>
        <v>Info Stores</v>
      </c>
      <c r="L209" t="str">
        <f>VLOOKUP(transactions_table8[[#This Row],[customer_code]],customer_table!$A:$C,3,0)</f>
        <v>Brick &amp; Mortar</v>
      </c>
      <c r="M209">
        <f>IF(TRIM(CLEAN(transactions_table8[[#This Row],[currency]]))="USD",transactions_table8[[#This Row],[sales_amount]]*83,transactions_table8[[#This Row],[sales_amount]])</f>
        <v>597</v>
      </c>
    </row>
    <row r="210" spans="1:13" x14ac:dyDescent="0.3">
      <c r="A210" t="s">
        <v>185</v>
      </c>
      <c r="B210" t="s">
        <v>36</v>
      </c>
      <c r="C210" t="s">
        <v>150</v>
      </c>
      <c r="D210" s="1">
        <v>43214</v>
      </c>
      <c r="E210">
        <v>17</v>
      </c>
      <c r="F210">
        <v>17472</v>
      </c>
      <c r="G210" t="s">
        <v>460</v>
      </c>
      <c r="H210" t="str">
        <f>VLOOKUP(A210, product_table!$A:$C, 3, 0)</f>
        <v>Own Brand</v>
      </c>
      <c r="I210" t="str">
        <f>VLOOKUP(transactions_table8[[#This Row],[market_code]],markets_table!$A:$B,2,0)</f>
        <v>Bhopal</v>
      </c>
      <c r="J210" t="str">
        <f>VLOOKUP(transactions_table8[[#This Row],[market_code]],markets_table!$A:$C,3,0)</f>
        <v>Central</v>
      </c>
      <c r="K210" t="str">
        <f>VLOOKUP(transactions_table8[[#This Row],[customer_code]],customer_table!$A:$B,2,0)</f>
        <v>Epic Stores</v>
      </c>
      <c r="L210" t="str">
        <f>VLOOKUP(transactions_table8[[#This Row],[customer_code]],customer_table!$A:$C,3,0)</f>
        <v>Brick &amp; Mortar</v>
      </c>
      <c r="M210">
        <f>IF(TRIM(CLEAN(transactions_table8[[#This Row],[currency]]))="USD",transactions_table8[[#This Row],[sales_amount]]*83,transactions_table8[[#This Row],[sales_amount]])</f>
        <v>17472</v>
      </c>
    </row>
    <row r="211" spans="1:13" x14ac:dyDescent="0.3">
      <c r="A211" t="s">
        <v>185</v>
      </c>
      <c r="B211" t="s">
        <v>16</v>
      </c>
      <c r="C211" t="s">
        <v>144</v>
      </c>
      <c r="D211" s="1">
        <v>43216</v>
      </c>
      <c r="E211">
        <v>2</v>
      </c>
      <c r="F211">
        <v>2986</v>
      </c>
      <c r="G211" t="s">
        <v>460</v>
      </c>
      <c r="H211" t="str">
        <f>VLOOKUP(A211, product_table!$A:$C, 3, 0)</f>
        <v>Own Brand</v>
      </c>
      <c r="I211" t="str">
        <f>VLOOKUP(transactions_table8[[#This Row],[market_code]],markets_table!$A:$B,2,0)</f>
        <v>Delhi NCR</v>
      </c>
      <c r="J211" t="str">
        <f>VLOOKUP(transactions_table8[[#This Row],[market_code]],markets_table!$A:$C,3,0)</f>
        <v>North</v>
      </c>
      <c r="K211" t="str">
        <f>VLOOKUP(transactions_table8[[#This Row],[customer_code]],customer_table!$A:$B,2,0)</f>
        <v>Info Stores</v>
      </c>
      <c r="L211" t="str">
        <f>VLOOKUP(transactions_table8[[#This Row],[customer_code]],customer_table!$A:$C,3,0)</f>
        <v>Brick &amp; Mortar</v>
      </c>
      <c r="M211">
        <f>IF(TRIM(CLEAN(transactions_table8[[#This Row],[currency]]))="USD",transactions_table8[[#This Row],[sales_amount]]*83,transactions_table8[[#This Row],[sales_amount]])</f>
        <v>2986</v>
      </c>
    </row>
    <row r="212" spans="1:13" x14ac:dyDescent="0.3">
      <c r="A212" t="s">
        <v>185</v>
      </c>
      <c r="B212" t="s">
        <v>16</v>
      </c>
      <c r="C212" t="s">
        <v>144</v>
      </c>
      <c r="D212" s="1">
        <v>43217</v>
      </c>
      <c r="E212">
        <v>2</v>
      </c>
      <c r="F212">
        <v>2986</v>
      </c>
      <c r="G212" t="s">
        <v>460</v>
      </c>
      <c r="H212" t="str">
        <f>VLOOKUP(A212, product_table!$A:$C, 3, 0)</f>
        <v>Own Brand</v>
      </c>
      <c r="I212" t="str">
        <f>VLOOKUP(transactions_table8[[#This Row],[market_code]],markets_table!$A:$B,2,0)</f>
        <v>Delhi NCR</v>
      </c>
      <c r="J212" t="str">
        <f>VLOOKUP(transactions_table8[[#This Row],[market_code]],markets_table!$A:$C,3,0)</f>
        <v>North</v>
      </c>
      <c r="K212" t="str">
        <f>VLOOKUP(transactions_table8[[#This Row],[customer_code]],customer_table!$A:$B,2,0)</f>
        <v>Info Stores</v>
      </c>
      <c r="L212" t="str">
        <f>VLOOKUP(transactions_table8[[#This Row],[customer_code]],customer_table!$A:$C,3,0)</f>
        <v>Brick &amp; Mortar</v>
      </c>
      <c r="M212">
        <f>IF(TRIM(CLEAN(transactions_table8[[#This Row],[currency]]))="USD",transactions_table8[[#This Row],[sales_amount]]*83,transactions_table8[[#This Row],[sales_amount]])</f>
        <v>2986</v>
      </c>
    </row>
    <row r="213" spans="1:13" x14ac:dyDescent="0.3">
      <c r="A213" t="s">
        <v>185</v>
      </c>
      <c r="B213" t="s">
        <v>16</v>
      </c>
      <c r="C213" t="s">
        <v>144</v>
      </c>
      <c r="D213" s="1">
        <v>43227</v>
      </c>
      <c r="E213">
        <v>1</v>
      </c>
      <c r="F213">
        <v>597</v>
      </c>
      <c r="G213" t="s">
        <v>460</v>
      </c>
      <c r="H213" t="str">
        <f>VLOOKUP(A213, product_table!$A:$C, 3, 0)</f>
        <v>Own Brand</v>
      </c>
      <c r="I213" t="str">
        <f>VLOOKUP(transactions_table8[[#This Row],[market_code]],markets_table!$A:$B,2,0)</f>
        <v>Delhi NCR</v>
      </c>
      <c r="J213" t="str">
        <f>VLOOKUP(transactions_table8[[#This Row],[market_code]],markets_table!$A:$C,3,0)</f>
        <v>North</v>
      </c>
      <c r="K213" t="str">
        <f>VLOOKUP(transactions_table8[[#This Row],[customer_code]],customer_table!$A:$B,2,0)</f>
        <v>Info Stores</v>
      </c>
      <c r="L213" t="str">
        <f>VLOOKUP(transactions_table8[[#This Row],[customer_code]],customer_table!$A:$C,3,0)</f>
        <v>Brick &amp; Mortar</v>
      </c>
      <c r="M213">
        <f>IF(TRIM(CLEAN(transactions_table8[[#This Row],[currency]]))="USD",transactions_table8[[#This Row],[sales_amount]]*83,transactions_table8[[#This Row],[sales_amount]])</f>
        <v>597</v>
      </c>
    </row>
    <row r="214" spans="1:13" x14ac:dyDescent="0.3">
      <c r="A214" t="s">
        <v>185</v>
      </c>
      <c r="B214" t="s">
        <v>16</v>
      </c>
      <c r="C214" t="s">
        <v>144</v>
      </c>
      <c r="D214" s="1">
        <v>43234</v>
      </c>
      <c r="E214">
        <v>1</v>
      </c>
      <c r="F214">
        <v>1194</v>
      </c>
      <c r="G214" t="s">
        <v>460</v>
      </c>
      <c r="H214" t="str">
        <f>VLOOKUP(A214, product_table!$A:$C, 3, 0)</f>
        <v>Own Brand</v>
      </c>
      <c r="I214" t="str">
        <f>VLOOKUP(transactions_table8[[#This Row],[market_code]],markets_table!$A:$B,2,0)</f>
        <v>Delhi NCR</v>
      </c>
      <c r="J214" t="str">
        <f>VLOOKUP(transactions_table8[[#This Row],[market_code]],markets_table!$A:$C,3,0)</f>
        <v>North</v>
      </c>
      <c r="K214" t="str">
        <f>VLOOKUP(transactions_table8[[#This Row],[customer_code]],customer_table!$A:$B,2,0)</f>
        <v>Info Stores</v>
      </c>
      <c r="L214" t="str">
        <f>VLOOKUP(transactions_table8[[#This Row],[customer_code]],customer_table!$A:$C,3,0)</f>
        <v>Brick &amp; Mortar</v>
      </c>
      <c r="M214">
        <f>IF(TRIM(CLEAN(transactions_table8[[#This Row],[currency]]))="USD",transactions_table8[[#This Row],[sales_amount]]*83,transactions_table8[[#This Row],[sales_amount]])</f>
        <v>1194</v>
      </c>
    </row>
    <row r="215" spans="1:13" x14ac:dyDescent="0.3">
      <c r="A215" t="s">
        <v>185</v>
      </c>
      <c r="B215" t="s">
        <v>16</v>
      </c>
      <c r="C215" t="s">
        <v>144</v>
      </c>
      <c r="D215" s="1">
        <v>43238</v>
      </c>
      <c r="E215">
        <v>1</v>
      </c>
      <c r="F215">
        <v>796</v>
      </c>
      <c r="G215" t="s">
        <v>460</v>
      </c>
      <c r="H215" t="str">
        <f>VLOOKUP(A215, product_table!$A:$C, 3, 0)</f>
        <v>Own Brand</v>
      </c>
      <c r="I215" t="str">
        <f>VLOOKUP(transactions_table8[[#This Row],[market_code]],markets_table!$A:$B,2,0)</f>
        <v>Delhi NCR</v>
      </c>
      <c r="J215" t="str">
        <f>VLOOKUP(transactions_table8[[#This Row],[market_code]],markets_table!$A:$C,3,0)</f>
        <v>North</v>
      </c>
      <c r="K215" t="str">
        <f>VLOOKUP(transactions_table8[[#This Row],[customer_code]],customer_table!$A:$B,2,0)</f>
        <v>Info Stores</v>
      </c>
      <c r="L215" t="str">
        <f>VLOOKUP(transactions_table8[[#This Row],[customer_code]],customer_table!$A:$C,3,0)</f>
        <v>Brick &amp; Mortar</v>
      </c>
      <c r="M215">
        <f>IF(TRIM(CLEAN(transactions_table8[[#This Row],[currency]]))="USD",transactions_table8[[#This Row],[sales_amount]]*83,transactions_table8[[#This Row],[sales_amount]])</f>
        <v>796</v>
      </c>
    </row>
    <row r="216" spans="1:13" x14ac:dyDescent="0.3">
      <c r="A216" t="s">
        <v>185</v>
      </c>
      <c r="B216" t="s">
        <v>36</v>
      </c>
      <c r="C216" t="s">
        <v>150</v>
      </c>
      <c r="D216" s="1">
        <v>43251</v>
      </c>
      <c r="E216">
        <v>26</v>
      </c>
      <c r="F216">
        <v>26722</v>
      </c>
      <c r="G216" t="s">
        <v>460</v>
      </c>
      <c r="H216" t="str">
        <f>VLOOKUP(A216, product_table!$A:$C, 3, 0)</f>
        <v>Own Brand</v>
      </c>
      <c r="I216" t="str">
        <f>VLOOKUP(transactions_table8[[#This Row],[market_code]],markets_table!$A:$B,2,0)</f>
        <v>Bhopal</v>
      </c>
      <c r="J216" t="str">
        <f>VLOOKUP(transactions_table8[[#This Row],[market_code]],markets_table!$A:$C,3,0)</f>
        <v>Central</v>
      </c>
      <c r="K216" t="str">
        <f>VLOOKUP(transactions_table8[[#This Row],[customer_code]],customer_table!$A:$B,2,0)</f>
        <v>Epic Stores</v>
      </c>
      <c r="L216" t="str">
        <f>VLOOKUP(transactions_table8[[#This Row],[customer_code]],customer_table!$A:$C,3,0)</f>
        <v>Brick &amp; Mortar</v>
      </c>
      <c r="M216">
        <f>IF(TRIM(CLEAN(transactions_table8[[#This Row],[currency]]))="USD",transactions_table8[[#This Row],[sales_amount]]*83,transactions_table8[[#This Row],[sales_amount]])</f>
        <v>26722</v>
      </c>
    </row>
    <row r="217" spans="1:13" x14ac:dyDescent="0.3">
      <c r="A217" t="s">
        <v>185</v>
      </c>
      <c r="B217" t="s">
        <v>16</v>
      </c>
      <c r="C217" t="s">
        <v>144</v>
      </c>
      <c r="D217" s="1">
        <v>43262</v>
      </c>
      <c r="E217">
        <v>1</v>
      </c>
      <c r="F217">
        <v>796</v>
      </c>
      <c r="G217" t="s">
        <v>460</v>
      </c>
      <c r="H217" t="str">
        <f>VLOOKUP(A217, product_table!$A:$C, 3, 0)</f>
        <v>Own Brand</v>
      </c>
      <c r="I217" t="str">
        <f>VLOOKUP(transactions_table8[[#This Row],[market_code]],markets_table!$A:$B,2,0)</f>
        <v>Delhi NCR</v>
      </c>
      <c r="J217" t="str">
        <f>VLOOKUP(transactions_table8[[#This Row],[market_code]],markets_table!$A:$C,3,0)</f>
        <v>North</v>
      </c>
      <c r="K217" t="str">
        <f>VLOOKUP(transactions_table8[[#This Row],[customer_code]],customer_table!$A:$B,2,0)</f>
        <v>Info Stores</v>
      </c>
      <c r="L217" t="str">
        <f>VLOOKUP(transactions_table8[[#This Row],[customer_code]],customer_table!$A:$C,3,0)</f>
        <v>Brick &amp; Mortar</v>
      </c>
      <c r="M217">
        <f>IF(TRIM(CLEAN(transactions_table8[[#This Row],[currency]]))="USD",transactions_table8[[#This Row],[sales_amount]]*83,transactions_table8[[#This Row],[sales_amount]])</f>
        <v>796</v>
      </c>
    </row>
    <row r="218" spans="1:13" x14ac:dyDescent="0.3">
      <c r="A218" t="s">
        <v>185</v>
      </c>
      <c r="B218" t="s">
        <v>16</v>
      </c>
      <c r="C218" t="s">
        <v>144</v>
      </c>
      <c r="D218" s="1">
        <v>43264</v>
      </c>
      <c r="E218">
        <v>1</v>
      </c>
      <c r="F218">
        <v>796</v>
      </c>
      <c r="G218" t="s">
        <v>460</v>
      </c>
      <c r="H218" t="str">
        <f>VLOOKUP(A218, product_table!$A:$C, 3, 0)</f>
        <v>Own Brand</v>
      </c>
      <c r="I218" t="str">
        <f>VLOOKUP(transactions_table8[[#This Row],[market_code]],markets_table!$A:$B,2,0)</f>
        <v>Delhi NCR</v>
      </c>
      <c r="J218" t="str">
        <f>VLOOKUP(transactions_table8[[#This Row],[market_code]],markets_table!$A:$C,3,0)</f>
        <v>North</v>
      </c>
      <c r="K218" t="str">
        <f>VLOOKUP(transactions_table8[[#This Row],[customer_code]],customer_table!$A:$B,2,0)</f>
        <v>Info Stores</v>
      </c>
      <c r="L218" t="str">
        <f>VLOOKUP(transactions_table8[[#This Row],[customer_code]],customer_table!$A:$C,3,0)</f>
        <v>Brick &amp; Mortar</v>
      </c>
      <c r="M218">
        <f>IF(TRIM(CLEAN(transactions_table8[[#This Row],[currency]]))="USD",transactions_table8[[#This Row],[sales_amount]]*83,transactions_table8[[#This Row],[sales_amount]])</f>
        <v>796</v>
      </c>
    </row>
    <row r="219" spans="1:13" x14ac:dyDescent="0.3">
      <c r="A219" t="s">
        <v>185</v>
      </c>
      <c r="B219" t="s">
        <v>16</v>
      </c>
      <c r="C219" t="s">
        <v>144</v>
      </c>
      <c r="D219" s="1">
        <v>43265</v>
      </c>
      <c r="E219">
        <v>1</v>
      </c>
      <c r="F219">
        <v>3185</v>
      </c>
      <c r="G219" t="s">
        <v>460</v>
      </c>
      <c r="H219" t="str">
        <f>VLOOKUP(A219, product_table!$A:$C, 3, 0)</f>
        <v>Own Brand</v>
      </c>
      <c r="I219" t="str">
        <f>VLOOKUP(transactions_table8[[#This Row],[market_code]],markets_table!$A:$B,2,0)</f>
        <v>Delhi NCR</v>
      </c>
      <c r="J219" t="str">
        <f>VLOOKUP(transactions_table8[[#This Row],[market_code]],markets_table!$A:$C,3,0)</f>
        <v>North</v>
      </c>
      <c r="K219" t="str">
        <f>VLOOKUP(transactions_table8[[#This Row],[customer_code]],customer_table!$A:$B,2,0)</f>
        <v>Info Stores</v>
      </c>
      <c r="L219" t="str">
        <f>VLOOKUP(transactions_table8[[#This Row],[customer_code]],customer_table!$A:$C,3,0)</f>
        <v>Brick &amp; Mortar</v>
      </c>
      <c r="M219">
        <f>IF(TRIM(CLEAN(transactions_table8[[#This Row],[currency]]))="USD",transactions_table8[[#This Row],[sales_amount]]*83,transactions_table8[[#This Row],[sales_amount]])</f>
        <v>3185</v>
      </c>
    </row>
    <row r="220" spans="1:13" x14ac:dyDescent="0.3">
      <c r="A220" t="s">
        <v>185</v>
      </c>
      <c r="B220" t="s">
        <v>16</v>
      </c>
      <c r="C220" t="s">
        <v>144</v>
      </c>
      <c r="D220" s="1">
        <v>43269</v>
      </c>
      <c r="E220">
        <v>1</v>
      </c>
      <c r="F220">
        <v>796</v>
      </c>
      <c r="G220" t="s">
        <v>460</v>
      </c>
      <c r="H220" t="str">
        <f>VLOOKUP(A220, product_table!$A:$C, 3, 0)</f>
        <v>Own Brand</v>
      </c>
      <c r="I220" t="str">
        <f>VLOOKUP(transactions_table8[[#This Row],[market_code]],markets_table!$A:$B,2,0)</f>
        <v>Delhi NCR</v>
      </c>
      <c r="J220" t="str">
        <f>VLOOKUP(transactions_table8[[#This Row],[market_code]],markets_table!$A:$C,3,0)</f>
        <v>North</v>
      </c>
      <c r="K220" t="str">
        <f>VLOOKUP(transactions_table8[[#This Row],[customer_code]],customer_table!$A:$B,2,0)</f>
        <v>Info Stores</v>
      </c>
      <c r="L220" t="str">
        <f>VLOOKUP(transactions_table8[[#This Row],[customer_code]],customer_table!$A:$C,3,0)</f>
        <v>Brick &amp; Mortar</v>
      </c>
      <c r="M220">
        <f>IF(TRIM(CLEAN(transactions_table8[[#This Row],[currency]]))="USD",transactions_table8[[#This Row],[sales_amount]]*83,transactions_table8[[#This Row],[sales_amount]])</f>
        <v>796</v>
      </c>
    </row>
    <row r="221" spans="1:13" x14ac:dyDescent="0.3">
      <c r="A221" t="s">
        <v>185</v>
      </c>
      <c r="B221" t="s">
        <v>16</v>
      </c>
      <c r="C221" t="s">
        <v>144</v>
      </c>
      <c r="D221" s="1">
        <v>43273</v>
      </c>
      <c r="E221">
        <v>1</v>
      </c>
      <c r="F221">
        <v>2389</v>
      </c>
      <c r="G221" t="s">
        <v>460</v>
      </c>
      <c r="H221" t="str">
        <f>VLOOKUP(A221, product_table!$A:$C, 3, 0)</f>
        <v>Own Brand</v>
      </c>
      <c r="I221" t="str">
        <f>VLOOKUP(transactions_table8[[#This Row],[market_code]],markets_table!$A:$B,2,0)</f>
        <v>Delhi NCR</v>
      </c>
      <c r="J221" t="str">
        <f>VLOOKUP(transactions_table8[[#This Row],[market_code]],markets_table!$A:$C,3,0)</f>
        <v>North</v>
      </c>
      <c r="K221" t="str">
        <f>VLOOKUP(transactions_table8[[#This Row],[customer_code]],customer_table!$A:$B,2,0)</f>
        <v>Info Stores</v>
      </c>
      <c r="L221" t="str">
        <f>VLOOKUP(transactions_table8[[#This Row],[customer_code]],customer_table!$A:$C,3,0)</f>
        <v>Brick &amp; Mortar</v>
      </c>
      <c r="M221">
        <f>IF(TRIM(CLEAN(transactions_table8[[#This Row],[currency]]))="USD",transactions_table8[[#This Row],[sales_amount]]*83,transactions_table8[[#This Row],[sales_amount]])</f>
        <v>2389</v>
      </c>
    </row>
    <row r="222" spans="1:13" x14ac:dyDescent="0.3">
      <c r="A222" t="s">
        <v>185</v>
      </c>
      <c r="B222" t="s">
        <v>16</v>
      </c>
      <c r="C222" t="s">
        <v>144</v>
      </c>
      <c r="D222" s="1">
        <v>43280</v>
      </c>
      <c r="E222">
        <v>1</v>
      </c>
      <c r="F222">
        <v>3185</v>
      </c>
      <c r="G222" t="s">
        <v>460</v>
      </c>
      <c r="H222" t="str">
        <f>VLOOKUP(A222, product_table!$A:$C, 3, 0)</f>
        <v>Own Brand</v>
      </c>
      <c r="I222" t="str">
        <f>VLOOKUP(transactions_table8[[#This Row],[market_code]],markets_table!$A:$B,2,0)</f>
        <v>Delhi NCR</v>
      </c>
      <c r="J222" t="str">
        <f>VLOOKUP(transactions_table8[[#This Row],[market_code]],markets_table!$A:$C,3,0)</f>
        <v>North</v>
      </c>
      <c r="K222" t="str">
        <f>VLOOKUP(transactions_table8[[#This Row],[customer_code]],customer_table!$A:$B,2,0)</f>
        <v>Info Stores</v>
      </c>
      <c r="L222" t="str">
        <f>VLOOKUP(transactions_table8[[#This Row],[customer_code]],customer_table!$A:$C,3,0)</f>
        <v>Brick &amp; Mortar</v>
      </c>
      <c r="M222">
        <f>IF(TRIM(CLEAN(transactions_table8[[#This Row],[currency]]))="USD",transactions_table8[[#This Row],[sales_amount]]*83,transactions_table8[[#This Row],[sales_amount]])</f>
        <v>3185</v>
      </c>
    </row>
    <row r="223" spans="1:13" x14ac:dyDescent="0.3">
      <c r="A223" t="s">
        <v>185</v>
      </c>
      <c r="B223" t="s">
        <v>16</v>
      </c>
      <c r="C223" t="s">
        <v>144</v>
      </c>
      <c r="D223" s="1">
        <v>43290</v>
      </c>
      <c r="E223">
        <v>2</v>
      </c>
      <c r="F223">
        <v>5574</v>
      </c>
      <c r="G223" t="s">
        <v>460</v>
      </c>
      <c r="H223" t="str">
        <f>VLOOKUP(A223, product_table!$A:$C, 3, 0)</f>
        <v>Own Brand</v>
      </c>
      <c r="I223" t="str">
        <f>VLOOKUP(transactions_table8[[#This Row],[market_code]],markets_table!$A:$B,2,0)</f>
        <v>Delhi NCR</v>
      </c>
      <c r="J223" t="str">
        <f>VLOOKUP(transactions_table8[[#This Row],[market_code]],markets_table!$A:$C,3,0)</f>
        <v>North</v>
      </c>
      <c r="K223" t="str">
        <f>VLOOKUP(transactions_table8[[#This Row],[customer_code]],customer_table!$A:$B,2,0)</f>
        <v>Info Stores</v>
      </c>
      <c r="L223" t="str">
        <f>VLOOKUP(transactions_table8[[#This Row],[customer_code]],customer_table!$A:$C,3,0)</f>
        <v>Brick &amp; Mortar</v>
      </c>
      <c r="M223">
        <f>IF(TRIM(CLEAN(transactions_table8[[#This Row],[currency]]))="USD",transactions_table8[[#This Row],[sales_amount]]*83,transactions_table8[[#This Row],[sales_amount]])</f>
        <v>5574</v>
      </c>
    </row>
    <row r="224" spans="1:13" x14ac:dyDescent="0.3">
      <c r="A224" t="s">
        <v>185</v>
      </c>
      <c r="B224" t="s">
        <v>16</v>
      </c>
      <c r="C224" t="s">
        <v>144</v>
      </c>
      <c r="D224" s="1">
        <v>43294</v>
      </c>
      <c r="E224">
        <v>1</v>
      </c>
      <c r="F224">
        <v>796</v>
      </c>
      <c r="G224" t="s">
        <v>460</v>
      </c>
      <c r="H224" t="str">
        <f>VLOOKUP(A224, product_table!$A:$C, 3, 0)</f>
        <v>Own Brand</v>
      </c>
      <c r="I224" t="str">
        <f>VLOOKUP(transactions_table8[[#This Row],[market_code]],markets_table!$A:$B,2,0)</f>
        <v>Delhi NCR</v>
      </c>
      <c r="J224" t="str">
        <f>VLOOKUP(transactions_table8[[#This Row],[market_code]],markets_table!$A:$C,3,0)</f>
        <v>North</v>
      </c>
      <c r="K224" t="str">
        <f>VLOOKUP(transactions_table8[[#This Row],[customer_code]],customer_table!$A:$B,2,0)</f>
        <v>Info Stores</v>
      </c>
      <c r="L224" t="str">
        <f>VLOOKUP(transactions_table8[[#This Row],[customer_code]],customer_table!$A:$C,3,0)</f>
        <v>Brick &amp; Mortar</v>
      </c>
      <c r="M224">
        <f>IF(TRIM(CLEAN(transactions_table8[[#This Row],[currency]]))="USD",transactions_table8[[#This Row],[sales_amount]]*83,transactions_table8[[#This Row],[sales_amount]])</f>
        <v>796</v>
      </c>
    </row>
    <row r="225" spans="1:13" x14ac:dyDescent="0.3">
      <c r="A225" t="s">
        <v>185</v>
      </c>
      <c r="B225" t="s">
        <v>16</v>
      </c>
      <c r="C225" t="s">
        <v>144</v>
      </c>
      <c r="D225" s="1">
        <v>43301</v>
      </c>
      <c r="E225">
        <v>1</v>
      </c>
      <c r="F225">
        <v>796</v>
      </c>
      <c r="G225" t="s">
        <v>460</v>
      </c>
      <c r="H225" t="str">
        <f>VLOOKUP(A225, product_table!$A:$C, 3, 0)</f>
        <v>Own Brand</v>
      </c>
      <c r="I225" t="str">
        <f>VLOOKUP(transactions_table8[[#This Row],[market_code]],markets_table!$A:$B,2,0)</f>
        <v>Delhi NCR</v>
      </c>
      <c r="J225" t="str">
        <f>VLOOKUP(transactions_table8[[#This Row],[market_code]],markets_table!$A:$C,3,0)</f>
        <v>North</v>
      </c>
      <c r="K225" t="str">
        <f>VLOOKUP(transactions_table8[[#This Row],[customer_code]],customer_table!$A:$B,2,0)</f>
        <v>Info Stores</v>
      </c>
      <c r="L225" t="str">
        <f>VLOOKUP(transactions_table8[[#This Row],[customer_code]],customer_table!$A:$C,3,0)</f>
        <v>Brick &amp; Mortar</v>
      </c>
      <c r="M225">
        <f>IF(TRIM(CLEAN(transactions_table8[[#This Row],[currency]]))="USD",transactions_table8[[#This Row],[sales_amount]]*83,transactions_table8[[#This Row],[sales_amount]])</f>
        <v>796</v>
      </c>
    </row>
    <row r="226" spans="1:13" x14ac:dyDescent="0.3">
      <c r="A226" t="s">
        <v>185</v>
      </c>
      <c r="B226" t="s">
        <v>16</v>
      </c>
      <c r="C226" t="s">
        <v>144</v>
      </c>
      <c r="D226" s="1">
        <v>43308</v>
      </c>
      <c r="E226">
        <v>1</v>
      </c>
      <c r="F226">
        <v>796</v>
      </c>
      <c r="G226" t="s">
        <v>460</v>
      </c>
      <c r="H226" t="str">
        <f>VLOOKUP(A226, product_table!$A:$C, 3, 0)</f>
        <v>Own Brand</v>
      </c>
      <c r="I226" t="str">
        <f>VLOOKUP(transactions_table8[[#This Row],[market_code]],markets_table!$A:$B,2,0)</f>
        <v>Delhi NCR</v>
      </c>
      <c r="J226" t="str">
        <f>VLOOKUP(transactions_table8[[#This Row],[market_code]],markets_table!$A:$C,3,0)</f>
        <v>North</v>
      </c>
      <c r="K226" t="str">
        <f>VLOOKUP(transactions_table8[[#This Row],[customer_code]],customer_table!$A:$B,2,0)</f>
        <v>Info Stores</v>
      </c>
      <c r="L226" t="str">
        <f>VLOOKUP(transactions_table8[[#This Row],[customer_code]],customer_table!$A:$C,3,0)</f>
        <v>Brick &amp; Mortar</v>
      </c>
      <c r="M226">
        <f>IF(TRIM(CLEAN(transactions_table8[[#This Row],[currency]]))="USD",transactions_table8[[#This Row],[sales_amount]]*83,transactions_table8[[#This Row],[sales_amount]])</f>
        <v>796</v>
      </c>
    </row>
    <row r="227" spans="1:13" x14ac:dyDescent="0.3">
      <c r="A227" t="s">
        <v>185</v>
      </c>
      <c r="B227" t="s">
        <v>16</v>
      </c>
      <c r="C227" t="s">
        <v>144</v>
      </c>
      <c r="D227" s="1">
        <v>43315</v>
      </c>
      <c r="E227">
        <v>1</v>
      </c>
      <c r="F227">
        <v>1593</v>
      </c>
      <c r="G227" t="s">
        <v>460</v>
      </c>
      <c r="H227" t="str">
        <f>VLOOKUP(A227, product_table!$A:$C, 3, 0)</f>
        <v>Own Brand</v>
      </c>
      <c r="I227" t="str">
        <f>VLOOKUP(transactions_table8[[#This Row],[market_code]],markets_table!$A:$B,2,0)</f>
        <v>Delhi NCR</v>
      </c>
      <c r="J227" t="str">
        <f>VLOOKUP(transactions_table8[[#This Row],[market_code]],markets_table!$A:$C,3,0)</f>
        <v>North</v>
      </c>
      <c r="K227" t="str">
        <f>VLOOKUP(transactions_table8[[#This Row],[customer_code]],customer_table!$A:$B,2,0)</f>
        <v>Info Stores</v>
      </c>
      <c r="L227" t="str">
        <f>VLOOKUP(transactions_table8[[#This Row],[customer_code]],customer_table!$A:$C,3,0)</f>
        <v>Brick &amp; Mortar</v>
      </c>
      <c r="M227">
        <f>IF(TRIM(CLEAN(transactions_table8[[#This Row],[currency]]))="USD",transactions_table8[[#This Row],[sales_amount]]*83,transactions_table8[[#This Row],[sales_amount]])</f>
        <v>1593</v>
      </c>
    </row>
    <row r="228" spans="1:13" x14ac:dyDescent="0.3">
      <c r="A228" t="s">
        <v>185</v>
      </c>
      <c r="B228" t="s">
        <v>34</v>
      </c>
      <c r="C228" t="s">
        <v>138</v>
      </c>
      <c r="D228" s="1">
        <v>43385</v>
      </c>
      <c r="E228">
        <v>1</v>
      </c>
      <c r="F228">
        <v>514</v>
      </c>
      <c r="G228" t="s">
        <v>460</v>
      </c>
      <c r="H228" t="str">
        <f>VLOOKUP(A228, product_table!$A:$C, 3, 0)</f>
        <v>Own Brand</v>
      </c>
      <c r="I228" t="str">
        <f>VLOOKUP(transactions_table8[[#This Row],[market_code]],markets_table!$A:$B,2,0)</f>
        <v>Mumbai</v>
      </c>
      <c r="J228" t="str">
        <f>VLOOKUP(transactions_table8[[#This Row],[market_code]],markets_table!$A:$C,3,0)</f>
        <v>Central</v>
      </c>
      <c r="K228" t="str">
        <f>VLOOKUP(transactions_table8[[#This Row],[customer_code]],customer_table!$A:$B,2,0)</f>
        <v>Logic Stores</v>
      </c>
      <c r="L228" t="str">
        <f>VLOOKUP(transactions_table8[[#This Row],[customer_code]],customer_table!$A:$C,3,0)</f>
        <v>Brick &amp; Mortar</v>
      </c>
      <c r="M228">
        <f>IF(TRIM(CLEAN(transactions_table8[[#This Row],[currency]]))="USD",transactions_table8[[#This Row],[sales_amount]]*83,transactions_table8[[#This Row],[sales_amount]])</f>
        <v>514</v>
      </c>
    </row>
    <row r="229" spans="1:13" x14ac:dyDescent="0.3">
      <c r="A229" t="s">
        <v>185</v>
      </c>
      <c r="B229" t="s">
        <v>16</v>
      </c>
      <c r="C229" t="s">
        <v>144</v>
      </c>
      <c r="D229" s="1">
        <v>43390</v>
      </c>
      <c r="E229">
        <v>1</v>
      </c>
      <c r="F229">
        <v>4759</v>
      </c>
      <c r="G229" t="s">
        <v>460</v>
      </c>
      <c r="H229" t="str">
        <f>VLOOKUP(A229, product_table!$A:$C, 3, 0)</f>
        <v>Own Brand</v>
      </c>
      <c r="I229" t="str">
        <f>VLOOKUP(transactions_table8[[#This Row],[market_code]],markets_table!$A:$B,2,0)</f>
        <v>Delhi NCR</v>
      </c>
      <c r="J229" t="str">
        <f>VLOOKUP(transactions_table8[[#This Row],[market_code]],markets_table!$A:$C,3,0)</f>
        <v>North</v>
      </c>
      <c r="K229" t="str">
        <f>VLOOKUP(transactions_table8[[#This Row],[customer_code]],customer_table!$A:$B,2,0)</f>
        <v>Info Stores</v>
      </c>
      <c r="L229" t="str">
        <f>VLOOKUP(transactions_table8[[#This Row],[customer_code]],customer_table!$A:$C,3,0)</f>
        <v>Brick &amp; Mortar</v>
      </c>
      <c r="M229">
        <f>IF(TRIM(CLEAN(transactions_table8[[#This Row],[currency]]))="USD",transactions_table8[[#This Row],[sales_amount]]*83,transactions_table8[[#This Row],[sales_amount]])</f>
        <v>4759</v>
      </c>
    </row>
    <row r="230" spans="1:13" x14ac:dyDescent="0.3">
      <c r="A230" t="s">
        <v>185</v>
      </c>
      <c r="B230" t="s">
        <v>16</v>
      </c>
      <c r="C230" t="s">
        <v>144</v>
      </c>
      <c r="D230" s="1">
        <v>43398</v>
      </c>
      <c r="E230">
        <v>1</v>
      </c>
      <c r="F230">
        <v>1190</v>
      </c>
      <c r="G230" t="s">
        <v>460</v>
      </c>
      <c r="H230" t="str">
        <f>VLOOKUP(A230, product_table!$A:$C, 3, 0)</f>
        <v>Own Brand</v>
      </c>
      <c r="I230" t="str">
        <f>VLOOKUP(transactions_table8[[#This Row],[market_code]],markets_table!$A:$B,2,0)</f>
        <v>Delhi NCR</v>
      </c>
      <c r="J230" t="str">
        <f>VLOOKUP(transactions_table8[[#This Row],[market_code]],markets_table!$A:$C,3,0)</f>
        <v>North</v>
      </c>
      <c r="K230" t="str">
        <f>VLOOKUP(transactions_table8[[#This Row],[customer_code]],customer_table!$A:$B,2,0)</f>
        <v>Info Stores</v>
      </c>
      <c r="L230" t="str">
        <f>VLOOKUP(transactions_table8[[#This Row],[customer_code]],customer_table!$A:$C,3,0)</f>
        <v>Brick &amp; Mortar</v>
      </c>
      <c r="M230">
        <f>IF(TRIM(CLEAN(transactions_table8[[#This Row],[currency]]))="USD",transactions_table8[[#This Row],[sales_amount]]*83,transactions_table8[[#This Row],[sales_amount]])</f>
        <v>1190</v>
      </c>
    </row>
    <row r="231" spans="1:13" x14ac:dyDescent="0.3">
      <c r="A231" t="s">
        <v>185</v>
      </c>
      <c r="B231" t="s">
        <v>16</v>
      </c>
      <c r="C231" t="s">
        <v>144</v>
      </c>
      <c r="D231" s="1">
        <v>43399</v>
      </c>
      <c r="E231">
        <v>1</v>
      </c>
      <c r="F231">
        <v>1190</v>
      </c>
      <c r="G231" t="s">
        <v>460</v>
      </c>
      <c r="H231" t="str">
        <f>VLOOKUP(A231, product_table!$A:$C, 3, 0)</f>
        <v>Own Brand</v>
      </c>
      <c r="I231" t="str">
        <f>VLOOKUP(transactions_table8[[#This Row],[market_code]],markets_table!$A:$B,2,0)</f>
        <v>Delhi NCR</v>
      </c>
      <c r="J231" t="str">
        <f>VLOOKUP(transactions_table8[[#This Row],[market_code]],markets_table!$A:$C,3,0)</f>
        <v>North</v>
      </c>
      <c r="K231" t="str">
        <f>VLOOKUP(transactions_table8[[#This Row],[customer_code]],customer_table!$A:$B,2,0)</f>
        <v>Info Stores</v>
      </c>
      <c r="L231" t="str">
        <f>VLOOKUP(transactions_table8[[#This Row],[customer_code]],customer_table!$A:$C,3,0)</f>
        <v>Brick &amp; Mortar</v>
      </c>
      <c r="M231">
        <f>IF(TRIM(CLEAN(transactions_table8[[#This Row],[currency]]))="USD",transactions_table8[[#This Row],[sales_amount]]*83,transactions_table8[[#This Row],[sales_amount]])</f>
        <v>1190</v>
      </c>
    </row>
    <row r="232" spans="1:13" x14ac:dyDescent="0.3">
      <c r="A232" t="s">
        <v>185</v>
      </c>
      <c r="B232" t="s">
        <v>34</v>
      </c>
      <c r="C232" t="s">
        <v>138</v>
      </c>
      <c r="D232" s="1">
        <v>43404</v>
      </c>
      <c r="E232">
        <v>3</v>
      </c>
      <c r="F232">
        <v>4106</v>
      </c>
      <c r="G232" t="s">
        <v>460</v>
      </c>
      <c r="H232" t="str">
        <f>VLOOKUP(A232, product_table!$A:$C, 3, 0)</f>
        <v>Own Brand</v>
      </c>
      <c r="I232" t="str">
        <f>VLOOKUP(transactions_table8[[#This Row],[market_code]],markets_table!$A:$B,2,0)</f>
        <v>Mumbai</v>
      </c>
      <c r="J232" t="str">
        <f>VLOOKUP(transactions_table8[[#This Row],[market_code]],markets_table!$A:$C,3,0)</f>
        <v>Central</v>
      </c>
      <c r="K232" t="str">
        <f>VLOOKUP(transactions_table8[[#This Row],[customer_code]],customer_table!$A:$B,2,0)</f>
        <v>Logic Stores</v>
      </c>
      <c r="L232" t="str">
        <f>VLOOKUP(transactions_table8[[#This Row],[customer_code]],customer_table!$A:$C,3,0)</f>
        <v>Brick &amp; Mortar</v>
      </c>
      <c r="M232">
        <f>IF(TRIM(CLEAN(transactions_table8[[#This Row],[currency]]))="USD",transactions_table8[[#This Row],[sales_amount]]*83,transactions_table8[[#This Row],[sales_amount]])</f>
        <v>4106</v>
      </c>
    </row>
    <row r="233" spans="1:13" x14ac:dyDescent="0.3">
      <c r="A233" t="s">
        <v>185</v>
      </c>
      <c r="B233" t="s">
        <v>16</v>
      </c>
      <c r="C233" t="s">
        <v>144</v>
      </c>
      <c r="D233" s="1">
        <v>43409</v>
      </c>
      <c r="E233">
        <v>2</v>
      </c>
      <c r="F233">
        <v>5949</v>
      </c>
      <c r="G233" t="s">
        <v>460</v>
      </c>
      <c r="H233" t="str">
        <f>VLOOKUP(A233, product_table!$A:$C, 3, 0)</f>
        <v>Own Brand</v>
      </c>
      <c r="I233" t="str">
        <f>VLOOKUP(transactions_table8[[#This Row],[market_code]],markets_table!$A:$B,2,0)</f>
        <v>Delhi NCR</v>
      </c>
      <c r="J233" t="str">
        <f>VLOOKUP(transactions_table8[[#This Row],[market_code]],markets_table!$A:$C,3,0)</f>
        <v>North</v>
      </c>
      <c r="K233" t="str">
        <f>VLOOKUP(transactions_table8[[#This Row],[customer_code]],customer_table!$A:$B,2,0)</f>
        <v>Info Stores</v>
      </c>
      <c r="L233" t="str">
        <f>VLOOKUP(transactions_table8[[#This Row],[customer_code]],customer_table!$A:$C,3,0)</f>
        <v>Brick &amp; Mortar</v>
      </c>
      <c r="M233">
        <f>IF(TRIM(CLEAN(transactions_table8[[#This Row],[currency]]))="USD",transactions_table8[[#This Row],[sales_amount]]*83,transactions_table8[[#This Row],[sales_amount]])</f>
        <v>5949</v>
      </c>
    </row>
    <row r="234" spans="1:13" x14ac:dyDescent="0.3">
      <c r="A234" t="s">
        <v>185</v>
      </c>
      <c r="B234" t="s">
        <v>16</v>
      </c>
      <c r="C234" t="s">
        <v>144</v>
      </c>
      <c r="D234" s="1">
        <v>43410</v>
      </c>
      <c r="E234">
        <v>2</v>
      </c>
      <c r="F234">
        <v>5949</v>
      </c>
      <c r="G234" t="s">
        <v>460</v>
      </c>
      <c r="H234" t="str">
        <f>VLOOKUP(A234, product_table!$A:$C, 3, 0)</f>
        <v>Own Brand</v>
      </c>
      <c r="I234" t="str">
        <f>VLOOKUP(transactions_table8[[#This Row],[market_code]],markets_table!$A:$B,2,0)</f>
        <v>Delhi NCR</v>
      </c>
      <c r="J234" t="str">
        <f>VLOOKUP(transactions_table8[[#This Row],[market_code]],markets_table!$A:$C,3,0)</f>
        <v>North</v>
      </c>
      <c r="K234" t="str">
        <f>VLOOKUP(transactions_table8[[#This Row],[customer_code]],customer_table!$A:$B,2,0)</f>
        <v>Info Stores</v>
      </c>
      <c r="L234" t="str">
        <f>VLOOKUP(transactions_table8[[#This Row],[customer_code]],customer_table!$A:$C,3,0)</f>
        <v>Brick &amp; Mortar</v>
      </c>
      <c r="M234">
        <f>IF(TRIM(CLEAN(transactions_table8[[#This Row],[currency]]))="USD",transactions_table8[[#This Row],[sales_amount]]*83,transactions_table8[[#This Row],[sales_amount]])</f>
        <v>5949</v>
      </c>
    </row>
    <row r="235" spans="1:13" x14ac:dyDescent="0.3">
      <c r="A235" t="s">
        <v>185</v>
      </c>
      <c r="B235" t="s">
        <v>34</v>
      </c>
      <c r="C235" t="s">
        <v>138</v>
      </c>
      <c r="D235" s="1">
        <v>43441</v>
      </c>
      <c r="E235">
        <v>1</v>
      </c>
      <c r="F235">
        <v>514</v>
      </c>
      <c r="G235" t="s">
        <v>460</v>
      </c>
      <c r="H235" t="str">
        <f>VLOOKUP(A235, product_table!$A:$C, 3, 0)</f>
        <v>Own Brand</v>
      </c>
      <c r="I235" t="str">
        <f>VLOOKUP(transactions_table8[[#This Row],[market_code]],markets_table!$A:$B,2,0)</f>
        <v>Mumbai</v>
      </c>
      <c r="J235" t="str">
        <f>VLOOKUP(transactions_table8[[#This Row],[market_code]],markets_table!$A:$C,3,0)</f>
        <v>Central</v>
      </c>
      <c r="K235" t="str">
        <f>VLOOKUP(transactions_table8[[#This Row],[customer_code]],customer_table!$A:$B,2,0)</f>
        <v>Logic Stores</v>
      </c>
      <c r="L235" t="str">
        <f>VLOOKUP(transactions_table8[[#This Row],[customer_code]],customer_table!$A:$C,3,0)</f>
        <v>Brick &amp; Mortar</v>
      </c>
      <c r="M235">
        <f>IF(TRIM(CLEAN(transactions_table8[[#This Row],[currency]]))="USD",transactions_table8[[#This Row],[sales_amount]]*83,transactions_table8[[#This Row],[sales_amount]])</f>
        <v>514</v>
      </c>
    </row>
    <row r="236" spans="1:13" x14ac:dyDescent="0.3">
      <c r="A236" t="s">
        <v>185</v>
      </c>
      <c r="B236" t="s">
        <v>34</v>
      </c>
      <c r="C236" t="s">
        <v>138</v>
      </c>
      <c r="D236" s="1">
        <v>43448</v>
      </c>
      <c r="E236">
        <v>1</v>
      </c>
      <c r="F236">
        <v>514</v>
      </c>
      <c r="G236" t="s">
        <v>460</v>
      </c>
      <c r="H236" t="str">
        <f>VLOOKUP(A236, product_table!$A:$C, 3, 0)</f>
        <v>Own Brand</v>
      </c>
      <c r="I236" t="str">
        <f>VLOOKUP(transactions_table8[[#This Row],[market_code]],markets_table!$A:$B,2,0)</f>
        <v>Mumbai</v>
      </c>
      <c r="J236" t="str">
        <f>VLOOKUP(transactions_table8[[#This Row],[market_code]],markets_table!$A:$C,3,0)</f>
        <v>Central</v>
      </c>
      <c r="K236" t="str">
        <f>VLOOKUP(transactions_table8[[#This Row],[customer_code]],customer_table!$A:$B,2,0)</f>
        <v>Logic Stores</v>
      </c>
      <c r="L236" t="str">
        <f>VLOOKUP(transactions_table8[[#This Row],[customer_code]],customer_table!$A:$C,3,0)</f>
        <v>Brick &amp; Mortar</v>
      </c>
      <c r="M236">
        <f>IF(TRIM(CLEAN(transactions_table8[[#This Row],[currency]]))="USD",transactions_table8[[#This Row],[sales_amount]]*83,transactions_table8[[#This Row],[sales_amount]])</f>
        <v>514</v>
      </c>
    </row>
    <row r="237" spans="1:13" x14ac:dyDescent="0.3">
      <c r="A237" t="s">
        <v>185</v>
      </c>
      <c r="B237" t="s">
        <v>34</v>
      </c>
      <c r="C237" t="s">
        <v>138</v>
      </c>
      <c r="D237" s="1">
        <v>43455</v>
      </c>
      <c r="E237">
        <v>1</v>
      </c>
      <c r="F237">
        <v>514</v>
      </c>
      <c r="G237" t="s">
        <v>460</v>
      </c>
      <c r="H237" t="str">
        <f>VLOOKUP(A237, product_table!$A:$C, 3, 0)</f>
        <v>Own Brand</v>
      </c>
      <c r="I237" t="str">
        <f>VLOOKUP(transactions_table8[[#This Row],[market_code]],markets_table!$A:$B,2,0)</f>
        <v>Mumbai</v>
      </c>
      <c r="J237" t="str">
        <f>VLOOKUP(transactions_table8[[#This Row],[market_code]],markets_table!$A:$C,3,0)</f>
        <v>Central</v>
      </c>
      <c r="K237" t="str">
        <f>VLOOKUP(transactions_table8[[#This Row],[customer_code]],customer_table!$A:$B,2,0)</f>
        <v>Logic Stores</v>
      </c>
      <c r="L237" t="str">
        <f>VLOOKUP(transactions_table8[[#This Row],[customer_code]],customer_table!$A:$C,3,0)</f>
        <v>Brick &amp; Mortar</v>
      </c>
      <c r="M237">
        <f>IF(TRIM(CLEAN(transactions_table8[[#This Row],[currency]]))="USD",transactions_table8[[#This Row],[sales_amount]]*83,transactions_table8[[#This Row],[sales_amount]])</f>
        <v>514</v>
      </c>
    </row>
    <row r="238" spans="1:13" x14ac:dyDescent="0.3">
      <c r="A238" t="s">
        <v>185</v>
      </c>
      <c r="B238" t="s">
        <v>34</v>
      </c>
      <c r="C238" t="s">
        <v>138</v>
      </c>
      <c r="D238" s="1">
        <v>43493</v>
      </c>
      <c r="E238">
        <v>1</v>
      </c>
      <c r="F238">
        <v>514</v>
      </c>
      <c r="G238" t="s">
        <v>460</v>
      </c>
      <c r="H238" t="str">
        <f>VLOOKUP(A238, product_table!$A:$C, 3, 0)</f>
        <v>Own Brand</v>
      </c>
      <c r="I238" t="str">
        <f>VLOOKUP(transactions_table8[[#This Row],[market_code]],markets_table!$A:$B,2,0)</f>
        <v>Mumbai</v>
      </c>
      <c r="J238" t="str">
        <f>VLOOKUP(transactions_table8[[#This Row],[market_code]],markets_table!$A:$C,3,0)</f>
        <v>Central</v>
      </c>
      <c r="K238" t="str">
        <f>VLOOKUP(transactions_table8[[#This Row],[customer_code]],customer_table!$A:$B,2,0)</f>
        <v>Logic Stores</v>
      </c>
      <c r="L238" t="str">
        <f>VLOOKUP(transactions_table8[[#This Row],[customer_code]],customer_table!$A:$C,3,0)</f>
        <v>Brick &amp; Mortar</v>
      </c>
      <c r="M238">
        <f>IF(TRIM(CLEAN(transactions_table8[[#This Row],[currency]]))="USD",transactions_table8[[#This Row],[sales_amount]]*83,transactions_table8[[#This Row],[sales_amount]])</f>
        <v>514</v>
      </c>
    </row>
    <row r="239" spans="1:13" x14ac:dyDescent="0.3">
      <c r="A239" t="s">
        <v>185</v>
      </c>
      <c r="B239" t="s">
        <v>34</v>
      </c>
      <c r="C239" t="s">
        <v>138</v>
      </c>
      <c r="D239" s="1">
        <v>43497</v>
      </c>
      <c r="E239">
        <v>1</v>
      </c>
      <c r="F239">
        <v>514</v>
      </c>
      <c r="G239" t="s">
        <v>460</v>
      </c>
      <c r="H239" t="str">
        <f>VLOOKUP(A239, product_table!$A:$C, 3, 0)</f>
        <v>Own Brand</v>
      </c>
      <c r="I239" t="str">
        <f>VLOOKUP(transactions_table8[[#This Row],[market_code]],markets_table!$A:$B,2,0)</f>
        <v>Mumbai</v>
      </c>
      <c r="J239" t="str">
        <f>VLOOKUP(transactions_table8[[#This Row],[market_code]],markets_table!$A:$C,3,0)</f>
        <v>Central</v>
      </c>
      <c r="K239" t="str">
        <f>VLOOKUP(transactions_table8[[#This Row],[customer_code]],customer_table!$A:$B,2,0)</f>
        <v>Logic Stores</v>
      </c>
      <c r="L239" t="str">
        <f>VLOOKUP(transactions_table8[[#This Row],[customer_code]],customer_table!$A:$C,3,0)</f>
        <v>Brick &amp; Mortar</v>
      </c>
      <c r="M239">
        <f>IF(TRIM(CLEAN(transactions_table8[[#This Row],[currency]]))="USD",transactions_table8[[#This Row],[sales_amount]]*83,transactions_table8[[#This Row],[sales_amount]])</f>
        <v>514</v>
      </c>
    </row>
    <row r="240" spans="1:13" x14ac:dyDescent="0.3">
      <c r="A240" t="s">
        <v>185</v>
      </c>
      <c r="B240" t="s">
        <v>34</v>
      </c>
      <c r="C240" t="s">
        <v>138</v>
      </c>
      <c r="D240" s="1">
        <v>43504</v>
      </c>
      <c r="E240">
        <v>1</v>
      </c>
      <c r="F240">
        <v>1028</v>
      </c>
      <c r="G240" t="s">
        <v>460</v>
      </c>
      <c r="H240" t="str">
        <f>VLOOKUP(A240, product_table!$A:$C, 3, 0)</f>
        <v>Own Brand</v>
      </c>
      <c r="I240" t="str">
        <f>VLOOKUP(transactions_table8[[#This Row],[market_code]],markets_table!$A:$B,2,0)</f>
        <v>Mumbai</v>
      </c>
      <c r="J240" t="str">
        <f>VLOOKUP(transactions_table8[[#This Row],[market_code]],markets_table!$A:$C,3,0)</f>
        <v>Central</v>
      </c>
      <c r="K240" t="str">
        <f>VLOOKUP(transactions_table8[[#This Row],[customer_code]],customer_table!$A:$B,2,0)</f>
        <v>Logic Stores</v>
      </c>
      <c r="L240" t="str">
        <f>VLOOKUP(transactions_table8[[#This Row],[customer_code]],customer_table!$A:$C,3,0)</f>
        <v>Brick &amp; Mortar</v>
      </c>
      <c r="M240">
        <f>IF(TRIM(CLEAN(transactions_table8[[#This Row],[currency]]))="USD",transactions_table8[[#This Row],[sales_amount]]*83,transactions_table8[[#This Row],[sales_amount]])</f>
        <v>1028</v>
      </c>
    </row>
    <row r="241" spans="1:13" x14ac:dyDescent="0.3">
      <c r="A241" t="s">
        <v>185</v>
      </c>
      <c r="B241" t="s">
        <v>34</v>
      </c>
      <c r="C241" t="s">
        <v>138</v>
      </c>
      <c r="D241" s="1">
        <v>43511</v>
      </c>
      <c r="E241">
        <v>1</v>
      </c>
      <c r="F241">
        <v>2056</v>
      </c>
      <c r="G241" t="s">
        <v>460</v>
      </c>
      <c r="H241" t="str">
        <f>VLOOKUP(A241, product_table!$A:$C, 3, 0)</f>
        <v>Own Brand</v>
      </c>
      <c r="I241" t="str">
        <f>VLOOKUP(transactions_table8[[#This Row],[market_code]],markets_table!$A:$B,2,0)</f>
        <v>Mumbai</v>
      </c>
      <c r="J241" t="str">
        <f>VLOOKUP(transactions_table8[[#This Row],[market_code]],markets_table!$A:$C,3,0)</f>
        <v>Central</v>
      </c>
      <c r="K241" t="str">
        <f>VLOOKUP(transactions_table8[[#This Row],[customer_code]],customer_table!$A:$B,2,0)</f>
        <v>Logic Stores</v>
      </c>
      <c r="L241" t="str">
        <f>VLOOKUP(transactions_table8[[#This Row],[customer_code]],customer_table!$A:$C,3,0)</f>
        <v>Brick &amp; Mortar</v>
      </c>
      <c r="M241">
        <f>IF(TRIM(CLEAN(transactions_table8[[#This Row],[currency]]))="USD",transactions_table8[[#This Row],[sales_amount]]*83,transactions_table8[[#This Row],[sales_amount]])</f>
        <v>2056</v>
      </c>
    </row>
    <row r="242" spans="1:13" x14ac:dyDescent="0.3">
      <c r="A242" t="s">
        <v>185</v>
      </c>
      <c r="B242" t="s">
        <v>16</v>
      </c>
      <c r="C242" t="s">
        <v>144</v>
      </c>
      <c r="D242" s="1">
        <v>43518</v>
      </c>
      <c r="E242">
        <v>1</v>
      </c>
      <c r="F242">
        <v>796</v>
      </c>
      <c r="G242" t="s">
        <v>460</v>
      </c>
      <c r="H242" t="str">
        <f>VLOOKUP(A242, product_table!$A:$C, 3, 0)</f>
        <v>Own Brand</v>
      </c>
      <c r="I242" t="str">
        <f>VLOOKUP(transactions_table8[[#This Row],[market_code]],markets_table!$A:$B,2,0)</f>
        <v>Delhi NCR</v>
      </c>
      <c r="J242" t="str">
        <f>VLOOKUP(transactions_table8[[#This Row],[market_code]],markets_table!$A:$C,3,0)</f>
        <v>North</v>
      </c>
      <c r="K242" t="str">
        <f>VLOOKUP(transactions_table8[[#This Row],[customer_code]],customer_table!$A:$B,2,0)</f>
        <v>Info Stores</v>
      </c>
      <c r="L242" t="str">
        <f>VLOOKUP(transactions_table8[[#This Row],[customer_code]],customer_table!$A:$C,3,0)</f>
        <v>Brick &amp; Mortar</v>
      </c>
      <c r="M242">
        <f>IF(TRIM(CLEAN(transactions_table8[[#This Row],[currency]]))="USD",transactions_table8[[#This Row],[sales_amount]]*83,transactions_table8[[#This Row],[sales_amount]])</f>
        <v>796</v>
      </c>
    </row>
    <row r="243" spans="1:13" x14ac:dyDescent="0.3">
      <c r="A243" t="s">
        <v>185</v>
      </c>
      <c r="B243" t="s">
        <v>34</v>
      </c>
      <c r="C243" t="s">
        <v>138</v>
      </c>
      <c r="D243" s="1">
        <v>43518</v>
      </c>
      <c r="E243">
        <v>1</v>
      </c>
      <c r="F243">
        <v>1542</v>
      </c>
      <c r="G243" t="s">
        <v>460</v>
      </c>
      <c r="H243" t="str">
        <f>VLOOKUP(A243, product_table!$A:$C, 3, 0)</f>
        <v>Own Brand</v>
      </c>
      <c r="I243" t="str">
        <f>VLOOKUP(transactions_table8[[#This Row],[market_code]],markets_table!$A:$B,2,0)</f>
        <v>Mumbai</v>
      </c>
      <c r="J243" t="str">
        <f>VLOOKUP(transactions_table8[[#This Row],[market_code]],markets_table!$A:$C,3,0)</f>
        <v>Central</v>
      </c>
      <c r="K243" t="str">
        <f>VLOOKUP(transactions_table8[[#This Row],[customer_code]],customer_table!$A:$B,2,0)</f>
        <v>Logic Stores</v>
      </c>
      <c r="L243" t="str">
        <f>VLOOKUP(transactions_table8[[#This Row],[customer_code]],customer_table!$A:$C,3,0)</f>
        <v>Brick &amp; Mortar</v>
      </c>
      <c r="M243">
        <f>IF(TRIM(CLEAN(transactions_table8[[#This Row],[currency]]))="USD",transactions_table8[[#This Row],[sales_amount]]*83,transactions_table8[[#This Row],[sales_amount]])</f>
        <v>1542</v>
      </c>
    </row>
    <row r="244" spans="1:13" x14ac:dyDescent="0.3">
      <c r="A244" t="s">
        <v>185</v>
      </c>
      <c r="B244" t="s">
        <v>34</v>
      </c>
      <c r="C244" t="s">
        <v>138</v>
      </c>
      <c r="D244" s="1">
        <v>43525</v>
      </c>
      <c r="E244">
        <v>1</v>
      </c>
      <c r="F244">
        <v>514</v>
      </c>
      <c r="G244" t="s">
        <v>460</v>
      </c>
      <c r="H244" t="str">
        <f>VLOOKUP(A244, product_table!$A:$C, 3, 0)</f>
        <v>Own Brand</v>
      </c>
      <c r="I244" t="str">
        <f>VLOOKUP(transactions_table8[[#This Row],[market_code]],markets_table!$A:$B,2,0)</f>
        <v>Mumbai</v>
      </c>
      <c r="J244" t="str">
        <f>VLOOKUP(transactions_table8[[#This Row],[market_code]],markets_table!$A:$C,3,0)</f>
        <v>Central</v>
      </c>
      <c r="K244" t="str">
        <f>VLOOKUP(transactions_table8[[#This Row],[customer_code]],customer_table!$A:$B,2,0)</f>
        <v>Logic Stores</v>
      </c>
      <c r="L244" t="str">
        <f>VLOOKUP(transactions_table8[[#This Row],[customer_code]],customer_table!$A:$C,3,0)</f>
        <v>Brick &amp; Mortar</v>
      </c>
      <c r="M244">
        <f>IF(TRIM(CLEAN(transactions_table8[[#This Row],[currency]]))="USD",transactions_table8[[#This Row],[sales_amount]]*83,transactions_table8[[#This Row],[sales_amount]])</f>
        <v>514</v>
      </c>
    </row>
    <row r="245" spans="1:13" x14ac:dyDescent="0.3">
      <c r="A245" t="s">
        <v>185</v>
      </c>
      <c r="B245" t="s">
        <v>34</v>
      </c>
      <c r="C245" t="s">
        <v>138</v>
      </c>
      <c r="D245" s="1">
        <v>43532</v>
      </c>
      <c r="E245">
        <v>1</v>
      </c>
      <c r="F245">
        <v>1028</v>
      </c>
      <c r="G245" t="s">
        <v>460</v>
      </c>
      <c r="H245" t="str">
        <f>VLOOKUP(A245, product_table!$A:$C, 3, 0)</f>
        <v>Own Brand</v>
      </c>
      <c r="I245" t="str">
        <f>VLOOKUP(transactions_table8[[#This Row],[market_code]],markets_table!$A:$B,2,0)</f>
        <v>Mumbai</v>
      </c>
      <c r="J245" t="str">
        <f>VLOOKUP(transactions_table8[[#This Row],[market_code]],markets_table!$A:$C,3,0)</f>
        <v>Central</v>
      </c>
      <c r="K245" t="str">
        <f>VLOOKUP(transactions_table8[[#This Row],[customer_code]],customer_table!$A:$B,2,0)</f>
        <v>Logic Stores</v>
      </c>
      <c r="L245" t="str">
        <f>VLOOKUP(transactions_table8[[#This Row],[customer_code]],customer_table!$A:$C,3,0)</f>
        <v>Brick &amp; Mortar</v>
      </c>
      <c r="M245">
        <f>IF(TRIM(CLEAN(transactions_table8[[#This Row],[currency]]))="USD",transactions_table8[[#This Row],[sales_amount]]*83,transactions_table8[[#This Row],[sales_amount]])</f>
        <v>1028</v>
      </c>
    </row>
    <row r="246" spans="1:13" x14ac:dyDescent="0.3">
      <c r="A246" t="s">
        <v>185</v>
      </c>
      <c r="B246" t="s">
        <v>16</v>
      </c>
      <c r="C246" t="s">
        <v>144</v>
      </c>
      <c r="D246" s="1">
        <v>43567</v>
      </c>
      <c r="E246">
        <v>1</v>
      </c>
      <c r="F246">
        <v>796</v>
      </c>
      <c r="G246" t="s">
        <v>460</v>
      </c>
      <c r="H246" t="str">
        <f>VLOOKUP(A246, product_table!$A:$C, 3, 0)</f>
        <v>Own Brand</v>
      </c>
      <c r="I246" t="str">
        <f>VLOOKUP(transactions_table8[[#This Row],[market_code]],markets_table!$A:$B,2,0)</f>
        <v>Delhi NCR</v>
      </c>
      <c r="J246" t="str">
        <f>VLOOKUP(transactions_table8[[#This Row],[market_code]],markets_table!$A:$C,3,0)</f>
        <v>North</v>
      </c>
      <c r="K246" t="str">
        <f>VLOOKUP(transactions_table8[[#This Row],[customer_code]],customer_table!$A:$B,2,0)</f>
        <v>Info Stores</v>
      </c>
      <c r="L246" t="str">
        <f>VLOOKUP(transactions_table8[[#This Row],[customer_code]],customer_table!$A:$C,3,0)</f>
        <v>Brick &amp; Mortar</v>
      </c>
      <c r="M246">
        <f>IF(TRIM(CLEAN(transactions_table8[[#This Row],[currency]]))="USD",transactions_table8[[#This Row],[sales_amount]]*83,transactions_table8[[#This Row],[sales_amount]])</f>
        <v>796</v>
      </c>
    </row>
    <row r="247" spans="1:13" x14ac:dyDescent="0.3">
      <c r="A247" t="s">
        <v>185</v>
      </c>
      <c r="B247" t="s">
        <v>16</v>
      </c>
      <c r="C247" t="s">
        <v>144</v>
      </c>
      <c r="D247" s="1">
        <v>43619</v>
      </c>
      <c r="E247">
        <v>1</v>
      </c>
      <c r="F247">
        <v>796</v>
      </c>
      <c r="G247" t="s">
        <v>460</v>
      </c>
      <c r="H247" t="str">
        <f>VLOOKUP(A247, product_table!$A:$C, 3, 0)</f>
        <v>Own Brand</v>
      </c>
      <c r="I247" t="str">
        <f>VLOOKUP(transactions_table8[[#This Row],[market_code]],markets_table!$A:$B,2,0)</f>
        <v>Delhi NCR</v>
      </c>
      <c r="J247" t="str">
        <f>VLOOKUP(transactions_table8[[#This Row],[market_code]],markets_table!$A:$C,3,0)</f>
        <v>North</v>
      </c>
      <c r="K247" t="str">
        <f>VLOOKUP(transactions_table8[[#This Row],[customer_code]],customer_table!$A:$B,2,0)</f>
        <v>Info Stores</v>
      </c>
      <c r="L247" t="str">
        <f>VLOOKUP(transactions_table8[[#This Row],[customer_code]],customer_table!$A:$C,3,0)</f>
        <v>Brick &amp; Mortar</v>
      </c>
      <c r="M247">
        <f>IF(TRIM(CLEAN(transactions_table8[[#This Row],[currency]]))="USD",transactions_table8[[#This Row],[sales_amount]]*83,transactions_table8[[#This Row],[sales_amount]])</f>
        <v>796</v>
      </c>
    </row>
    <row r="248" spans="1:13" x14ac:dyDescent="0.3">
      <c r="A248" t="s">
        <v>185</v>
      </c>
      <c r="B248" t="s">
        <v>16</v>
      </c>
      <c r="C248" t="s">
        <v>144</v>
      </c>
      <c r="D248" s="1">
        <v>43633</v>
      </c>
      <c r="E248">
        <v>1</v>
      </c>
      <c r="F248">
        <v>1593</v>
      </c>
      <c r="G248" t="s">
        <v>460</v>
      </c>
      <c r="H248" t="str">
        <f>VLOOKUP(A248, product_table!$A:$C, 3, 0)</f>
        <v>Own Brand</v>
      </c>
      <c r="I248" t="str">
        <f>VLOOKUP(transactions_table8[[#This Row],[market_code]],markets_table!$A:$B,2,0)</f>
        <v>Delhi NCR</v>
      </c>
      <c r="J248" t="str">
        <f>VLOOKUP(transactions_table8[[#This Row],[market_code]],markets_table!$A:$C,3,0)</f>
        <v>North</v>
      </c>
      <c r="K248" t="str">
        <f>VLOOKUP(transactions_table8[[#This Row],[customer_code]],customer_table!$A:$B,2,0)</f>
        <v>Info Stores</v>
      </c>
      <c r="L248" t="str">
        <f>VLOOKUP(transactions_table8[[#This Row],[customer_code]],customer_table!$A:$C,3,0)</f>
        <v>Brick &amp; Mortar</v>
      </c>
      <c r="M248">
        <f>IF(TRIM(CLEAN(transactions_table8[[#This Row],[currency]]))="USD",transactions_table8[[#This Row],[sales_amount]]*83,transactions_table8[[#This Row],[sales_amount]])</f>
        <v>1593</v>
      </c>
    </row>
    <row r="249" spans="1:13" x14ac:dyDescent="0.3">
      <c r="A249" t="s">
        <v>185</v>
      </c>
      <c r="B249" t="s">
        <v>16</v>
      </c>
      <c r="C249" t="s">
        <v>144</v>
      </c>
      <c r="D249" s="1">
        <v>43640</v>
      </c>
      <c r="E249">
        <v>1</v>
      </c>
      <c r="F249">
        <v>796</v>
      </c>
      <c r="G249" t="s">
        <v>460</v>
      </c>
      <c r="H249" t="str">
        <f>VLOOKUP(A249, product_table!$A:$C, 3, 0)</f>
        <v>Own Brand</v>
      </c>
      <c r="I249" t="str">
        <f>VLOOKUP(transactions_table8[[#This Row],[market_code]],markets_table!$A:$B,2,0)</f>
        <v>Delhi NCR</v>
      </c>
      <c r="J249" t="str">
        <f>VLOOKUP(transactions_table8[[#This Row],[market_code]],markets_table!$A:$C,3,0)</f>
        <v>North</v>
      </c>
      <c r="K249" t="str">
        <f>VLOOKUP(transactions_table8[[#This Row],[customer_code]],customer_table!$A:$B,2,0)</f>
        <v>Info Stores</v>
      </c>
      <c r="L249" t="str">
        <f>VLOOKUP(transactions_table8[[#This Row],[customer_code]],customer_table!$A:$C,3,0)</f>
        <v>Brick &amp; Mortar</v>
      </c>
      <c r="M249">
        <f>IF(TRIM(CLEAN(transactions_table8[[#This Row],[currency]]))="USD",transactions_table8[[#This Row],[sales_amount]]*83,transactions_table8[[#This Row],[sales_amount]])</f>
        <v>796</v>
      </c>
    </row>
    <row r="250" spans="1:13" x14ac:dyDescent="0.3">
      <c r="A250" t="s">
        <v>185</v>
      </c>
      <c r="B250" t="s">
        <v>24</v>
      </c>
      <c r="C250" t="s">
        <v>141</v>
      </c>
      <c r="D250" s="1">
        <v>43661</v>
      </c>
      <c r="E250">
        <v>1</v>
      </c>
      <c r="F250">
        <v>611</v>
      </c>
      <c r="G250" t="s">
        <v>460</v>
      </c>
      <c r="H250" t="str">
        <f>VLOOKUP(A250, product_table!$A:$C, 3, 0)</f>
        <v>Own Brand</v>
      </c>
      <c r="I250" t="str">
        <f>VLOOKUP(transactions_table8[[#This Row],[market_code]],markets_table!$A:$B,2,0)</f>
        <v>Ahmedabad</v>
      </c>
      <c r="J250" t="str">
        <f>VLOOKUP(transactions_table8[[#This Row],[market_code]],markets_table!$A:$C,3,0)</f>
        <v>North</v>
      </c>
      <c r="K250" t="str">
        <f>VLOOKUP(transactions_table8[[#This Row],[customer_code]],customer_table!$A:$B,2,0)</f>
        <v>Flawless Stores</v>
      </c>
      <c r="L250" t="str">
        <f>VLOOKUP(transactions_table8[[#This Row],[customer_code]],customer_table!$A:$C,3,0)</f>
        <v>Brick &amp; Mortar</v>
      </c>
      <c r="M250">
        <f>IF(TRIM(CLEAN(transactions_table8[[#This Row],[currency]]))="USD",transactions_table8[[#This Row],[sales_amount]]*83,transactions_table8[[#This Row],[sales_amount]])</f>
        <v>611</v>
      </c>
    </row>
    <row r="251" spans="1:13" x14ac:dyDescent="0.3">
      <c r="A251" t="s">
        <v>185</v>
      </c>
      <c r="B251" t="s">
        <v>34</v>
      </c>
      <c r="C251" t="s">
        <v>138</v>
      </c>
      <c r="D251" s="1">
        <v>43693</v>
      </c>
      <c r="E251">
        <v>1</v>
      </c>
      <c r="F251">
        <v>1028</v>
      </c>
      <c r="G251" t="s">
        <v>460</v>
      </c>
      <c r="H251" t="str">
        <f>VLOOKUP(A251, product_table!$A:$C, 3, 0)</f>
        <v>Own Brand</v>
      </c>
      <c r="I251" t="str">
        <f>VLOOKUP(transactions_table8[[#This Row],[market_code]],markets_table!$A:$B,2,0)</f>
        <v>Mumbai</v>
      </c>
      <c r="J251" t="str">
        <f>VLOOKUP(transactions_table8[[#This Row],[market_code]],markets_table!$A:$C,3,0)</f>
        <v>Central</v>
      </c>
      <c r="K251" t="str">
        <f>VLOOKUP(transactions_table8[[#This Row],[customer_code]],customer_table!$A:$B,2,0)</f>
        <v>Logic Stores</v>
      </c>
      <c r="L251" t="str">
        <f>VLOOKUP(transactions_table8[[#This Row],[customer_code]],customer_table!$A:$C,3,0)</f>
        <v>Brick &amp; Mortar</v>
      </c>
      <c r="M251">
        <f>IF(TRIM(CLEAN(transactions_table8[[#This Row],[currency]]))="USD",transactions_table8[[#This Row],[sales_amount]]*83,transactions_table8[[#This Row],[sales_amount]])</f>
        <v>1028</v>
      </c>
    </row>
    <row r="252" spans="1:13" x14ac:dyDescent="0.3">
      <c r="A252" t="s">
        <v>185</v>
      </c>
      <c r="B252" t="s">
        <v>34</v>
      </c>
      <c r="C252" t="s">
        <v>138</v>
      </c>
      <c r="D252" s="1">
        <v>43735</v>
      </c>
      <c r="E252">
        <v>1</v>
      </c>
      <c r="F252">
        <v>514</v>
      </c>
      <c r="G252" t="s">
        <v>460</v>
      </c>
      <c r="H252" t="str">
        <f>VLOOKUP(A252, product_table!$A:$C, 3, 0)</f>
        <v>Own Brand</v>
      </c>
      <c r="I252" t="str">
        <f>VLOOKUP(transactions_table8[[#This Row],[market_code]],markets_table!$A:$B,2,0)</f>
        <v>Mumbai</v>
      </c>
      <c r="J252" t="str">
        <f>VLOOKUP(transactions_table8[[#This Row],[market_code]],markets_table!$A:$C,3,0)</f>
        <v>Central</v>
      </c>
      <c r="K252" t="str">
        <f>VLOOKUP(transactions_table8[[#This Row],[customer_code]],customer_table!$A:$B,2,0)</f>
        <v>Logic Stores</v>
      </c>
      <c r="L252" t="str">
        <f>VLOOKUP(transactions_table8[[#This Row],[customer_code]],customer_table!$A:$C,3,0)</f>
        <v>Brick &amp; Mortar</v>
      </c>
      <c r="M252">
        <f>IF(TRIM(CLEAN(transactions_table8[[#This Row],[currency]]))="USD",transactions_table8[[#This Row],[sales_amount]]*83,transactions_table8[[#This Row],[sales_amount]])</f>
        <v>514</v>
      </c>
    </row>
    <row r="253" spans="1:13" x14ac:dyDescent="0.3">
      <c r="A253" t="s">
        <v>185</v>
      </c>
      <c r="B253" t="s">
        <v>34</v>
      </c>
      <c r="C253" t="s">
        <v>138</v>
      </c>
      <c r="D253" s="1">
        <v>43742</v>
      </c>
      <c r="E253">
        <v>1</v>
      </c>
      <c r="F253">
        <v>514</v>
      </c>
      <c r="G253" t="s">
        <v>460</v>
      </c>
      <c r="H253" t="str">
        <f>VLOOKUP(A253, product_table!$A:$C, 3, 0)</f>
        <v>Own Brand</v>
      </c>
      <c r="I253" t="str">
        <f>VLOOKUP(transactions_table8[[#This Row],[market_code]],markets_table!$A:$B,2,0)</f>
        <v>Mumbai</v>
      </c>
      <c r="J253" t="str">
        <f>VLOOKUP(transactions_table8[[#This Row],[market_code]],markets_table!$A:$C,3,0)</f>
        <v>Central</v>
      </c>
      <c r="K253" t="str">
        <f>VLOOKUP(transactions_table8[[#This Row],[customer_code]],customer_table!$A:$B,2,0)</f>
        <v>Logic Stores</v>
      </c>
      <c r="L253" t="str">
        <f>VLOOKUP(transactions_table8[[#This Row],[customer_code]],customer_table!$A:$C,3,0)</f>
        <v>Brick &amp; Mortar</v>
      </c>
      <c r="M253">
        <f>IF(TRIM(CLEAN(transactions_table8[[#This Row],[currency]]))="USD",transactions_table8[[#This Row],[sales_amount]]*83,transactions_table8[[#This Row],[sales_amount]])</f>
        <v>514</v>
      </c>
    </row>
    <row r="254" spans="1:13" x14ac:dyDescent="0.3">
      <c r="A254" t="s">
        <v>185</v>
      </c>
      <c r="B254" t="s">
        <v>34</v>
      </c>
      <c r="C254" t="s">
        <v>138</v>
      </c>
      <c r="D254" s="1">
        <v>43756</v>
      </c>
      <c r="E254">
        <v>1</v>
      </c>
      <c r="F254">
        <v>514</v>
      </c>
      <c r="G254" t="s">
        <v>460</v>
      </c>
      <c r="H254" t="str">
        <f>VLOOKUP(A254, product_table!$A:$C, 3, 0)</f>
        <v>Own Brand</v>
      </c>
      <c r="I254" t="str">
        <f>VLOOKUP(transactions_table8[[#This Row],[market_code]],markets_table!$A:$B,2,0)</f>
        <v>Mumbai</v>
      </c>
      <c r="J254" t="str">
        <f>VLOOKUP(transactions_table8[[#This Row],[market_code]],markets_table!$A:$C,3,0)</f>
        <v>Central</v>
      </c>
      <c r="K254" t="str">
        <f>VLOOKUP(transactions_table8[[#This Row],[customer_code]],customer_table!$A:$B,2,0)</f>
        <v>Logic Stores</v>
      </c>
      <c r="L254" t="str">
        <f>VLOOKUP(transactions_table8[[#This Row],[customer_code]],customer_table!$A:$C,3,0)</f>
        <v>Brick &amp; Mortar</v>
      </c>
      <c r="M254">
        <f>IF(TRIM(CLEAN(transactions_table8[[#This Row],[currency]]))="USD",transactions_table8[[#This Row],[sales_amount]]*83,transactions_table8[[#This Row],[sales_amount]])</f>
        <v>514</v>
      </c>
    </row>
    <row r="255" spans="1:13" x14ac:dyDescent="0.3">
      <c r="A255" t="s">
        <v>185</v>
      </c>
      <c r="B255" t="s">
        <v>16</v>
      </c>
      <c r="C255" t="s">
        <v>144</v>
      </c>
      <c r="D255" s="1">
        <v>43759</v>
      </c>
      <c r="E255">
        <v>1</v>
      </c>
      <c r="F255">
        <v>796</v>
      </c>
      <c r="G255" t="s">
        <v>460</v>
      </c>
      <c r="H255" t="str">
        <f>VLOOKUP(A255, product_table!$A:$C, 3, 0)</f>
        <v>Own Brand</v>
      </c>
      <c r="I255" t="str">
        <f>VLOOKUP(transactions_table8[[#This Row],[market_code]],markets_table!$A:$B,2,0)</f>
        <v>Delhi NCR</v>
      </c>
      <c r="J255" t="str">
        <f>VLOOKUP(transactions_table8[[#This Row],[market_code]],markets_table!$A:$C,3,0)</f>
        <v>North</v>
      </c>
      <c r="K255" t="str">
        <f>VLOOKUP(transactions_table8[[#This Row],[customer_code]],customer_table!$A:$B,2,0)</f>
        <v>Info Stores</v>
      </c>
      <c r="L255" t="str">
        <f>VLOOKUP(transactions_table8[[#This Row],[customer_code]],customer_table!$A:$C,3,0)</f>
        <v>Brick &amp; Mortar</v>
      </c>
      <c r="M255">
        <f>IF(TRIM(CLEAN(transactions_table8[[#This Row],[currency]]))="USD",transactions_table8[[#This Row],[sales_amount]]*83,transactions_table8[[#This Row],[sales_amount]])</f>
        <v>796</v>
      </c>
    </row>
    <row r="256" spans="1:13" x14ac:dyDescent="0.3">
      <c r="A256" t="s">
        <v>185</v>
      </c>
      <c r="B256" t="s">
        <v>16</v>
      </c>
      <c r="C256" t="s">
        <v>144</v>
      </c>
      <c r="D256" s="1">
        <v>43763</v>
      </c>
      <c r="E256">
        <v>1</v>
      </c>
      <c r="F256">
        <v>796</v>
      </c>
      <c r="G256" t="s">
        <v>460</v>
      </c>
      <c r="H256" t="str">
        <f>VLOOKUP(A256, product_table!$A:$C, 3, 0)</f>
        <v>Own Brand</v>
      </c>
      <c r="I256" t="str">
        <f>VLOOKUP(transactions_table8[[#This Row],[market_code]],markets_table!$A:$B,2,0)</f>
        <v>Delhi NCR</v>
      </c>
      <c r="J256" t="str">
        <f>VLOOKUP(transactions_table8[[#This Row],[market_code]],markets_table!$A:$C,3,0)</f>
        <v>North</v>
      </c>
      <c r="K256" t="str">
        <f>VLOOKUP(transactions_table8[[#This Row],[customer_code]],customer_table!$A:$B,2,0)</f>
        <v>Info Stores</v>
      </c>
      <c r="L256" t="str">
        <f>VLOOKUP(transactions_table8[[#This Row],[customer_code]],customer_table!$A:$C,3,0)</f>
        <v>Brick &amp; Mortar</v>
      </c>
      <c r="M256">
        <f>IF(TRIM(CLEAN(transactions_table8[[#This Row],[currency]]))="USD",transactions_table8[[#This Row],[sales_amount]]*83,transactions_table8[[#This Row],[sales_amount]])</f>
        <v>796</v>
      </c>
    </row>
    <row r="257" spans="1:13" x14ac:dyDescent="0.3">
      <c r="A257" t="s">
        <v>185</v>
      </c>
      <c r="B257" t="s">
        <v>34</v>
      </c>
      <c r="C257" t="s">
        <v>138</v>
      </c>
      <c r="D257" s="1">
        <v>43770</v>
      </c>
      <c r="E257">
        <v>1</v>
      </c>
      <c r="F257">
        <v>514</v>
      </c>
      <c r="G257" t="s">
        <v>460</v>
      </c>
      <c r="H257" t="str">
        <f>VLOOKUP(A257, product_table!$A:$C, 3, 0)</f>
        <v>Own Brand</v>
      </c>
      <c r="I257" t="str">
        <f>VLOOKUP(transactions_table8[[#This Row],[market_code]],markets_table!$A:$B,2,0)</f>
        <v>Mumbai</v>
      </c>
      <c r="J257" t="str">
        <f>VLOOKUP(transactions_table8[[#This Row],[market_code]],markets_table!$A:$C,3,0)</f>
        <v>Central</v>
      </c>
      <c r="K257" t="str">
        <f>VLOOKUP(transactions_table8[[#This Row],[customer_code]],customer_table!$A:$B,2,0)</f>
        <v>Logic Stores</v>
      </c>
      <c r="L257" t="str">
        <f>VLOOKUP(transactions_table8[[#This Row],[customer_code]],customer_table!$A:$C,3,0)</f>
        <v>Brick &amp; Mortar</v>
      </c>
      <c r="M257">
        <f>IF(TRIM(CLEAN(transactions_table8[[#This Row],[currency]]))="USD",transactions_table8[[#This Row],[sales_amount]]*83,transactions_table8[[#This Row],[sales_amount]])</f>
        <v>514</v>
      </c>
    </row>
    <row r="258" spans="1:13" x14ac:dyDescent="0.3">
      <c r="A258" t="s">
        <v>185</v>
      </c>
      <c r="B258" t="s">
        <v>16</v>
      </c>
      <c r="C258" t="s">
        <v>144</v>
      </c>
      <c r="D258" s="1">
        <v>43773</v>
      </c>
      <c r="E258">
        <v>1</v>
      </c>
      <c r="F258">
        <v>796</v>
      </c>
      <c r="G258" t="s">
        <v>460</v>
      </c>
      <c r="H258" t="str">
        <f>VLOOKUP(A258, product_table!$A:$C, 3, 0)</f>
        <v>Own Brand</v>
      </c>
      <c r="I258" t="str">
        <f>VLOOKUP(transactions_table8[[#This Row],[market_code]],markets_table!$A:$B,2,0)</f>
        <v>Delhi NCR</v>
      </c>
      <c r="J258" t="str">
        <f>VLOOKUP(transactions_table8[[#This Row],[market_code]],markets_table!$A:$C,3,0)</f>
        <v>North</v>
      </c>
      <c r="K258" t="str">
        <f>VLOOKUP(transactions_table8[[#This Row],[customer_code]],customer_table!$A:$B,2,0)</f>
        <v>Info Stores</v>
      </c>
      <c r="L258" t="str">
        <f>VLOOKUP(transactions_table8[[#This Row],[customer_code]],customer_table!$A:$C,3,0)</f>
        <v>Brick &amp; Mortar</v>
      </c>
      <c r="M258">
        <f>IF(TRIM(CLEAN(transactions_table8[[#This Row],[currency]]))="USD",transactions_table8[[#This Row],[sales_amount]]*83,transactions_table8[[#This Row],[sales_amount]])</f>
        <v>796</v>
      </c>
    </row>
    <row r="259" spans="1:13" x14ac:dyDescent="0.3">
      <c r="A259" t="s">
        <v>185</v>
      </c>
      <c r="B259" t="s">
        <v>16</v>
      </c>
      <c r="C259" t="s">
        <v>144</v>
      </c>
      <c r="D259" s="1">
        <v>43777</v>
      </c>
      <c r="E259">
        <v>1</v>
      </c>
      <c r="F259">
        <v>1593</v>
      </c>
      <c r="G259" t="s">
        <v>460</v>
      </c>
      <c r="H259" t="str">
        <f>VLOOKUP(A259, product_table!$A:$C, 3, 0)</f>
        <v>Own Brand</v>
      </c>
      <c r="I259" t="str">
        <f>VLOOKUP(transactions_table8[[#This Row],[market_code]],markets_table!$A:$B,2,0)</f>
        <v>Delhi NCR</v>
      </c>
      <c r="J259" t="str">
        <f>VLOOKUP(transactions_table8[[#This Row],[market_code]],markets_table!$A:$C,3,0)</f>
        <v>North</v>
      </c>
      <c r="K259" t="str">
        <f>VLOOKUP(transactions_table8[[#This Row],[customer_code]],customer_table!$A:$B,2,0)</f>
        <v>Info Stores</v>
      </c>
      <c r="L259" t="str">
        <f>VLOOKUP(transactions_table8[[#This Row],[customer_code]],customer_table!$A:$C,3,0)</f>
        <v>Brick &amp; Mortar</v>
      </c>
      <c r="M259">
        <f>IF(TRIM(CLEAN(transactions_table8[[#This Row],[currency]]))="USD",transactions_table8[[#This Row],[sales_amount]]*83,transactions_table8[[#This Row],[sales_amount]])</f>
        <v>1593</v>
      </c>
    </row>
    <row r="260" spans="1:13" x14ac:dyDescent="0.3">
      <c r="A260" t="s">
        <v>185</v>
      </c>
      <c r="B260" t="s">
        <v>34</v>
      </c>
      <c r="C260" t="s">
        <v>138</v>
      </c>
      <c r="D260" s="1">
        <v>43777</v>
      </c>
      <c r="E260">
        <v>1</v>
      </c>
      <c r="F260">
        <v>514</v>
      </c>
      <c r="G260" t="s">
        <v>460</v>
      </c>
      <c r="H260" t="str">
        <f>VLOOKUP(A260, product_table!$A:$C, 3, 0)</f>
        <v>Own Brand</v>
      </c>
      <c r="I260" t="str">
        <f>VLOOKUP(transactions_table8[[#This Row],[market_code]],markets_table!$A:$B,2,0)</f>
        <v>Mumbai</v>
      </c>
      <c r="J260" t="str">
        <f>VLOOKUP(transactions_table8[[#This Row],[market_code]],markets_table!$A:$C,3,0)</f>
        <v>Central</v>
      </c>
      <c r="K260" t="str">
        <f>VLOOKUP(transactions_table8[[#This Row],[customer_code]],customer_table!$A:$B,2,0)</f>
        <v>Logic Stores</v>
      </c>
      <c r="L260" t="str">
        <f>VLOOKUP(transactions_table8[[#This Row],[customer_code]],customer_table!$A:$C,3,0)</f>
        <v>Brick &amp; Mortar</v>
      </c>
      <c r="M260">
        <f>IF(TRIM(CLEAN(transactions_table8[[#This Row],[currency]]))="USD",transactions_table8[[#This Row],[sales_amount]]*83,transactions_table8[[#This Row],[sales_amount]])</f>
        <v>514</v>
      </c>
    </row>
    <row r="261" spans="1:13" x14ac:dyDescent="0.3">
      <c r="A261" t="s">
        <v>185</v>
      </c>
      <c r="B261" t="s">
        <v>16</v>
      </c>
      <c r="C261" t="s">
        <v>144</v>
      </c>
      <c r="D261" s="1">
        <v>43784</v>
      </c>
      <c r="E261">
        <v>1</v>
      </c>
      <c r="F261">
        <v>3185</v>
      </c>
      <c r="G261" t="s">
        <v>460</v>
      </c>
      <c r="H261" t="str">
        <f>VLOOKUP(A261, product_table!$A:$C, 3, 0)</f>
        <v>Own Brand</v>
      </c>
      <c r="I261" t="str">
        <f>VLOOKUP(transactions_table8[[#This Row],[market_code]],markets_table!$A:$B,2,0)</f>
        <v>Delhi NCR</v>
      </c>
      <c r="J261" t="str">
        <f>VLOOKUP(transactions_table8[[#This Row],[market_code]],markets_table!$A:$C,3,0)</f>
        <v>North</v>
      </c>
      <c r="K261" t="str">
        <f>VLOOKUP(transactions_table8[[#This Row],[customer_code]],customer_table!$A:$B,2,0)</f>
        <v>Info Stores</v>
      </c>
      <c r="L261" t="str">
        <f>VLOOKUP(transactions_table8[[#This Row],[customer_code]],customer_table!$A:$C,3,0)</f>
        <v>Brick &amp; Mortar</v>
      </c>
      <c r="M261">
        <f>IF(TRIM(CLEAN(transactions_table8[[#This Row],[currency]]))="USD",transactions_table8[[#This Row],[sales_amount]]*83,transactions_table8[[#This Row],[sales_amount]])</f>
        <v>3185</v>
      </c>
    </row>
    <row r="262" spans="1:13" x14ac:dyDescent="0.3">
      <c r="A262" t="s">
        <v>185</v>
      </c>
      <c r="B262" t="s">
        <v>34</v>
      </c>
      <c r="C262" t="s">
        <v>138</v>
      </c>
      <c r="D262" s="1">
        <v>43784</v>
      </c>
      <c r="E262">
        <v>1</v>
      </c>
      <c r="F262">
        <v>514</v>
      </c>
      <c r="G262" t="s">
        <v>460</v>
      </c>
      <c r="H262" t="str">
        <f>VLOOKUP(A262, product_table!$A:$C, 3, 0)</f>
        <v>Own Brand</v>
      </c>
      <c r="I262" t="str">
        <f>VLOOKUP(transactions_table8[[#This Row],[market_code]],markets_table!$A:$B,2,0)</f>
        <v>Mumbai</v>
      </c>
      <c r="J262" t="str">
        <f>VLOOKUP(transactions_table8[[#This Row],[market_code]],markets_table!$A:$C,3,0)</f>
        <v>Central</v>
      </c>
      <c r="K262" t="str">
        <f>VLOOKUP(transactions_table8[[#This Row],[customer_code]],customer_table!$A:$B,2,0)</f>
        <v>Logic Stores</v>
      </c>
      <c r="L262" t="str">
        <f>VLOOKUP(transactions_table8[[#This Row],[customer_code]],customer_table!$A:$C,3,0)</f>
        <v>Brick &amp; Mortar</v>
      </c>
      <c r="M262">
        <f>IF(TRIM(CLEAN(transactions_table8[[#This Row],[currency]]))="USD",transactions_table8[[#This Row],[sales_amount]]*83,transactions_table8[[#This Row],[sales_amount]])</f>
        <v>514</v>
      </c>
    </row>
    <row r="263" spans="1:13" x14ac:dyDescent="0.3">
      <c r="A263" t="s">
        <v>185</v>
      </c>
      <c r="B263" t="s">
        <v>34</v>
      </c>
      <c r="C263" t="s">
        <v>138</v>
      </c>
      <c r="D263" s="1">
        <v>43787</v>
      </c>
      <c r="E263">
        <v>1</v>
      </c>
      <c r="F263">
        <v>514</v>
      </c>
      <c r="G263" t="s">
        <v>460</v>
      </c>
      <c r="H263" t="str">
        <f>VLOOKUP(A263, product_table!$A:$C, 3, 0)</f>
        <v>Own Brand</v>
      </c>
      <c r="I263" t="str">
        <f>VLOOKUP(transactions_table8[[#This Row],[market_code]],markets_table!$A:$B,2,0)</f>
        <v>Mumbai</v>
      </c>
      <c r="J263" t="str">
        <f>VLOOKUP(transactions_table8[[#This Row],[market_code]],markets_table!$A:$C,3,0)</f>
        <v>Central</v>
      </c>
      <c r="K263" t="str">
        <f>VLOOKUP(transactions_table8[[#This Row],[customer_code]],customer_table!$A:$B,2,0)</f>
        <v>Logic Stores</v>
      </c>
      <c r="L263" t="str">
        <f>VLOOKUP(transactions_table8[[#This Row],[customer_code]],customer_table!$A:$C,3,0)</f>
        <v>Brick &amp; Mortar</v>
      </c>
      <c r="M263">
        <f>IF(TRIM(CLEAN(transactions_table8[[#This Row],[currency]]))="USD",transactions_table8[[#This Row],[sales_amount]]*83,transactions_table8[[#This Row],[sales_amount]])</f>
        <v>514</v>
      </c>
    </row>
    <row r="264" spans="1:13" x14ac:dyDescent="0.3">
      <c r="A264" t="s">
        <v>185</v>
      </c>
      <c r="B264" t="s">
        <v>16</v>
      </c>
      <c r="C264" t="s">
        <v>144</v>
      </c>
      <c r="D264" s="1">
        <v>43805</v>
      </c>
      <c r="E264">
        <v>2</v>
      </c>
      <c r="F264">
        <v>4778</v>
      </c>
      <c r="G264" t="s">
        <v>460</v>
      </c>
      <c r="H264" t="str">
        <f>VLOOKUP(A264, product_table!$A:$C, 3, 0)</f>
        <v>Own Brand</v>
      </c>
      <c r="I264" t="str">
        <f>VLOOKUP(transactions_table8[[#This Row],[market_code]],markets_table!$A:$B,2,0)</f>
        <v>Delhi NCR</v>
      </c>
      <c r="J264" t="str">
        <f>VLOOKUP(transactions_table8[[#This Row],[market_code]],markets_table!$A:$C,3,0)</f>
        <v>North</v>
      </c>
      <c r="K264" t="str">
        <f>VLOOKUP(transactions_table8[[#This Row],[customer_code]],customer_table!$A:$B,2,0)</f>
        <v>Info Stores</v>
      </c>
      <c r="L264" t="str">
        <f>VLOOKUP(transactions_table8[[#This Row],[customer_code]],customer_table!$A:$C,3,0)</f>
        <v>Brick &amp; Mortar</v>
      </c>
      <c r="M264">
        <f>IF(TRIM(CLEAN(transactions_table8[[#This Row],[currency]]))="USD",transactions_table8[[#This Row],[sales_amount]]*83,transactions_table8[[#This Row],[sales_amount]])</f>
        <v>4778</v>
      </c>
    </row>
    <row r="265" spans="1:13" x14ac:dyDescent="0.3">
      <c r="A265" t="s">
        <v>185</v>
      </c>
      <c r="B265" t="s">
        <v>34</v>
      </c>
      <c r="C265" t="s">
        <v>138</v>
      </c>
      <c r="D265" s="1">
        <v>43805</v>
      </c>
      <c r="E265">
        <v>1</v>
      </c>
      <c r="F265">
        <v>514</v>
      </c>
      <c r="G265" t="s">
        <v>460</v>
      </c>
      <c r="H265" t="str">
        <f>VLOOKUP(A265, product_table!$A:$C, 3, 0)</f>
        <v>Own Brand</v>
      </c>
      <c r="I265" t="str">
        <f>VLOOKUP(transactions_table8[[#This Row],[market_code]],markets_table!$A:$B,2,0)</f>
        <v>Mumbai</v>
      </c>
      <c r="J265" t="str">
        <f>VLOOKUP(transactions_table8[[#This Row],[market_code]],markets_table!$A:$C,3,0)</f>
        <v>Central</v>
      </c>
      <c r="K265" t="str">
        <f>VLOOKUP(transactions_table8[[#This Row],[customer_code]],customer_table!$A:$B,2,0)</f>
        <v>Logic Stores</v>
      </c>
      <c r="L265" t="str">
        <f>VLOOKUP(transactions_table8[[#This Row],[customer_code]],customer_table!$A:$C,3,0)</f>
        <v>Brick &amp; Mortar</v>
      </c>
      <c r="M265">
        <f>IF(TRIM(CLEAN(transactions_table8[[#This Row],[currency]]))="USD",transactions_table8[[#This Row],[sales_amount]]*83,transactions_table8[[#This Row],[sales_amount]])</f>
        <v>514</v>
      </c>
    </row>
    <row r="266" spans="1:13" x14ac:dyDescent="0.3">
      <c r="A266" t="s">
        <v>185</v>
      </c>
      <c r="B266" t="s">
        <v>16</v>
      </c>
      <c r="C266" t="s">
        <v>144</v>
      </c>
      <c r="D266" s="1">
        <v>43812</v>
      </c>
      <c r="E266">
        <v>4</v>
      </c>
      <c r="F266">
        <v>10352</v>
      </c>
      <c r="G266" t="s">
        <v>460</v>
      </c>
      <c r="H266" t="str">
        <f>VLOOKUP(A266, product_table!$A:$C, 3, 0)</f>
        <v>Own Brand</v>
      </c>
      <c r="I266" t="str">
        <f>VLOOKUP(transactions_table8[[#This Row],[market_code]],markets_table!$A:$B,2,0)</f>
        <v>Delhi NCR</v>
      </c>
      <c r="J266" t="str">
        <f>VLOOKUP(transactions_table8[[#This Row],[market_code]],markets_table!$A:$C,3,0)</f>
        <v>North</v>
      </c>
      <c r="K266" t="str">
        <f>VLOOKUP(transactions_table8[[#This Row],[customer_code]],customer_table!$A:$B,2,0)</f>
        <v>Info Stores</v>
      </c>
      <c r="L266" t="str">
        <f>VLOOKUP(transactions_table8[[#This Row],[customer_code]],customer_table!$A:$C,3,0)</f>
        <v>Brick &amp; Mortar</v>
      </c>
      <c r="M266">
        <f>IF(TRIM(CLEAN(transactions_table8[[#This Row],[currency]]))="USD",transactions_table8[[#This Row],[sales_amount]]*83,transactions_table8[[#This Row],[sales_amount]])</f>
        <v>10352</v>
      </c>
    </row>
    <row r="267" spans="1:13" x14ac:dyDescent="0.3">
      <c r="A267" t="s">
        <v>185</v>
      </c>
      <c r="B267" t="s">
        <v>16</v>
      </c>
      <c r="C267" t="s">
        <v>144</v>
      </c>
      <c r="D267" s="1">
        <v>43819</v>
      </c>
      <c r="E267">
        <v>1</v>
      </c>
      <c r="F267">
        <v>796</v>
      </c>
      <c r="G267" t="s">
        <v>460</v>
      </c>
      <c r="H267" t="str">
        <f>VLOOKUP(A267, product_table!$A:$C, 3, 0)</f>
        <v>Own Brand</v>
      </c>
      <c r="I267" t="str">
        <f>VLOOKUP(transactions_table8[[#This Row],[market_code]],markets_table!$A:$B,2,0)</f>
        <v>Delhi NCR</v>
      </c>
      <c r="J267" t="str">
        <f>VLOOKUP(transactions_table8[[#This Row],[market_code]],markets_table!$A:$C,3,0)</f>
        <v>North</v>
      </c>
      <c r="K267" t="str">
        <f>VLOOKUP(transactions_table8[[#This Row],[customer_code]],customer_table!$A:$B,2,0)</f>
        <v>Info Stores</v>
      </c>
      <c r="L267" t="str">
        <f>VLOOKUP(transactions_table8[[#This Row],[customer_code]],customer_table!$A:$C,3,0)</f>
        <v>Brick &amp; Mortar</v>
      </c>
      <c r="M267">
        <f>IF(TRIM(CLEAN(transactions_table8[[#This Row],[currency]]))="USD",transactions_table8[[#This Row],[sales_amount]]*83,transactions_table8[[#This Row],[sales_amount]])</f>
        <v>796</v>
      </c>
    </row>
    <row r="268" spans="1:13" x14ac:dyDescent="0.3">
      <c r="A268" t="s">
        <v>185</v>
      </c>
      <c r="B268" t="s">
        <v>34</v>
      </c>
      <c r="C268" t="s">
        <v>138</v>
      </c>
      <c r="D268" s="1">
        <v>43994</v>
      </c>
      <c r="E268">
        <v>1</v>
      </c>
      <c r="F268">
        <v>1028</v>
      </c>
      <c r="G268" t="s">
        <v>460</v>
      </c>
      <c r="H268" t="str">
        <f>VLOOKUP(A268, product_table!$A:$C, 3, 0)</f>
        <v>Own Brand</v>
      </c>
      <c r="I268" t="str">
        <f>VLOOKUP(transactions_table8[[#This Row],[market_code]],markets_table!$A:$B,2,0)</f>
        <v>Mumbai</v>
      </c>
      <c r="J268" t="str">
        <f>VLOOKUP(transactions_table8[[#This Row],[market_code]],markets_table!$A:$C,3,0)</f>
        <v>Central</v>
      </c>
      <c r="K268" t="str">
        <f>VLOOKUP(transactions_table8[[#This Row],[customer_code]],customer_table!$A:$B,2,0)</f>
        <v>Logic Stores</v>
      </c>
      <c r="L268" t="str">
        <f>VLOOKUP(transactions_table8[[#This Row],[customer_code]],customer_table!$A:$C,3,0)</f>
        <v>Brick &amp; Mortar</v>
      </c>
      <c r="M268">
        <f>IF(TRIM(CLEAN(transactions_table8[[#This Row],[currency]]))="USD",transactions_table8[[#This Row],[sales_amount]]*83,transactions_table8[[#This Row],[sales_amount]])</f>
        <v>1028</v>
      </c>
    </row>
    <row r="269" spans="1:13" x14ac:dyDescent="0.3">
      <c r="A269" t="s">
        <v>185</v>
      </c>
      <c r="B269" t="s">
        <v>34</v>
      </c>
      <c r="C269" t="s">
        <v>138</v>
      </c>
      <c r="D269" s="1">
        <v>43998</v>
      </c>
      <c r="E269">
        <v>1</v>
      </c>
      <c r="F269">
        <v>514</v>
      </c>
      <c r="G269" t="s">
        <v>460</v>
      </c>
      <c r="H269" t="str">
        <f>VLOOKUP(A269, product_table!$A:$C, 3, 0)</f>
        <v>Own Brand</v>
      </c>
      <c r="I269" t="str">
        <f>VLOOKUP(transactions_table8[[#This Row],[market_code]],markets_table!$A:$B,2,0)</f>
        <v>Mumbai</v>
      </c>
      <c r="J269" t="str">
        <f>VLOOKUP(transactions_table8[[#This Row],[market_code]],markets_table!$A:$C,3,0)</f>
        <v>Central</v>
      </c>
      <c r="K269" t="str">
        <f>VLOOKUP(transactions_table8[[#This Row],[customer_code]],customer_table!$A:$B,2,0)</f>
        <v>Logic Stores</v>
      </c>
      <c r="L269" t="str">
        <f>VLOOKUP(transactions_table8[[#This Row],[customer_code]],customer_table!$A:$C,3,0)</f>
        <v>Brick &amp; Mortar</v>
      </c>
      <c r="M269">
        <f>IF(TRIM(CLEAN(transactions_table8[[#This Row],[currency]]))="USD",transactions_table8[[#This Row],[sales_amount]]*83,transactions_table8[[#This Row],[sales_amount]])</f>
        <v>514</v>
      </c>
    </row>
    <row r="270" spans="1:13" x14ac:dyDescent="0.3">
      <c r="A270" t="s">
        <v>186</v>
      </c>
      <c r="B270" t="s">
        <v>40</v>
      </c>
      <c r="C270" t="s">
        <v>138</v>
      </c>
      <c r="D270" s="1">
        <v>43256</v>
      </c>
      <c r="E270">
        <v>33</v>
      </c>
      <c r="F270">
        <v>29648</v>
      </c>
      <c r="G270" t="s">
        <v>460</v>
      </c>
      <c r="H270" t="str">
        <f>VLOOKUP(A270, product_table!$A:$C, 3, 0)</f>
        <v>Own Brand</v>
      </c>
      <c r="I270" t="str">
        <f>VLOOKUP(transactions_table8[[#This Row],[market_code]],markets_table!$A:$B,2,0)</f>
        <v>Mumbai</v>
      </c>
      <c r="J270" t="str">
        <f>VLOOKUP(transactions_table8[[#This Row],[market_code]],markets_table!$A:$C,3,0)</f>
        <v>Central</v>
      </c>
      <c r="K270" t="str">
        <f>VLOOKUP(transactions_table8[[#This Row],[customer_code]],customer_table!$A:$B,2,0)</f>
        <v>Electricalsopedia Stores</v>
      </c>
      <c r="L270" t="str">
        <f>VLOOKUP(transactions_table8[[#This Row],[customer_code]],customer_table!$A:$C,3,0)</f>
        <v>Brick &amp; Mortar</v>
      </c>
      <c r="M270">
        <f>IF(TRIM(CLEAN(transactions_table8[[#This Row],[currency]]))="USD",transactions_table8[[#This Row],[sales_amount]]*83,transactions_table8[[#This Row],[sales_amount]])</f>
        <v>29648</v>
      </c>
    </row>
    <row r="271" spans="1:13" x14ac:dyDescent="0.3">
      <c r="A271" t="s">
        <v>187</v>
      </c>
      <c r="B271" t="s">
        <v>3</v>
      </c>
      <c r="C271" t="s">
        <v>135</v>
      </c>
      <c r="D271" s="1">
        <v>43018</v>
      </c>
      <c r="E271">
        <v>240</v>
      </c>
      <c r="F271">
        <v>143560</v>
      </c>
      <c r="G271" t="s">
        <v>460</v>
      </c>
      <c r="H271" t="str">
        <f>VLOOKUP(A271, product_table!$A:$C, 3, 0)</f>
        <v>Own Brand</v>
      </c>
      <c r="I271" t="str">
        <f>VLOOKUP(transactions_table8[[#This Row],[market_code]],markets_table!$A:$B,2,0)</f>
        <v>Chennai</v>
      </c>
      <c r="J271" t="str">
        <f>VLOOKUP(transactions_table8[[#This Row],[market_code]],markets_table!$A:$C,3,0)</f>
        <v>South</v>
      </c>
      <c r="K271" t="str">
        <f>VLOOKUP(transactions_table8[[#This Row],[customer_code]],customer_table!$A:$B,2,0)</f>
        <v>Surge Stores</v>
      </c>
      <c r="L271" t="str">
        <f>VLOOKUP(transactions_table8[[#This Row],[customer_code]],customer_table!$A:$C,3,0)</f>
        <v>Brick &amp; Mortar</v>
      </c>
      <c r="M271">
        <f>IF(TRIM(CLEAN(transactions_table8[[#This Row],[currency]]))="USD",transactions_table8[[#This Row],[sales_amount]]*83,transactions_table8[[#This Row],[sales_amount]])</f>
        <v>143560</v>
      </c>
    </row>
    <row r="272" spans="1:13" x14ac:dyDescent="0.3">
      <c r="A272" t="s">
        <v>187</v>
      </c>
      <c r="B272" t="s">
        <v>12</v>
      </c>
      <c r="C272" t="s">
        <v>144</v>
      </c>
      <c r="D272" s="1">
        <v>43019</v>
      </c>
      <c r="E272">
        <v>7</v>
      </c>
      <c r="F272">
        <v>6204</v>
      </c>
      <c r="G272" t="s">
        <v>460</v>
      </c>
      <c r="H272" t="str">
        <f>VLOOKUP(A272, product_table!$A:$C, 3, 0)</f>
        <v>Own Brand</v>
      </c>
      <c r="I272" t="str">
        <f>VLOOKUP(transactions_table8[[#This Row],[market_code]],markets_table!$A:$B,2,0)</f>
        <v>Delhi NCR</v>
      </c>
      <c r="J272" t="str">
        <f>VLOOKUP(transactions_table8[[#This Row],[market_code]],markets_table!$A:$C,3,0)</f>
        <v>North</v>
      </c>
      <c r="K272" t="str">
        <f>VLOOKUP(transactions_table8[[#This Row],[customer_code]],customer_table!$A:$B,2,0)</f>
        <v>Premium Stores</v>
      </c>
      <c r="L272" t="str">
        <f>VLOOKUP(transactions_table8[[#This Row],[customer_code]],customer_table!$A:$C,3,0)</f>
        <v>Brick &amp; Mortar</v>
      </c>
      <c r="M272">
        <f>IF(TRIM(CLEAN(transactions_table8[[#This Row],[currency]]))="USD",transactions_table8[[#This Row],[sales_amount]]*83,transactions_table8[[#This Row],[sales_amount]])</f>
        <v>6204</v>
      </c>
    </row>
    <row r="273" spans="1:13" x14ac:dyDescent="0.3">
      <c r="A273" t="s">
        <v>187</v>
      </c>
      <c r="B273" t="s">
        <v>16</v>
      </c>
      <c r="C273" t="s">
        <v>144</v>
      </c>
      <c r="D273" s="1">
        <v>43024</v>
      </c>
      <c r="E273">
        <v>1</v>
      </c>
      <c r="F273">
        <v>495</v>
      </c>
      <c r="G273" t="s">
        <v>460</v>
      </c>
      <c r="H273" t="str">
        <f>VLOOKUP(A273, product_table!$A:$C, 3, 0)</f>
        <v>Own Brand</v>
      </c>
      <c r="I273" t="str">
        <f>VLOOKUP(transactions_table8[[#This Row],[market_code]],markets_table!$A:$B,2,0)</f>
        <v>Delhi NCR</v>
      </c>
      <c r="J273" t="str">
        <f>VLOOKUP(transactions_table8[[#This Row],[market_code]],markets_table!$A:$C,3,0)</f>
        <v>North</v>
      </c>
      <c r="K273" t="str">
        <f>VLOOKUP(transactions_table8[[#This Row],[customer_code]],customer_table!$A:$B,2,0)</f>
        <v>Info Stores</v>
      </c>
      <c r="L273" t="str">
        <f>VLOOKUP(transactions_table8[[#This Row],[customer_code]],customer_table!$A:$C,3,0)</f>
        <v>Brick &amp; Mortar</v>
      </c>
      <c r="M273">
        <f>IF(TRIM(CLEAN(transactions_table8[[#This Row],[currency]]))="USD",transactions_table8[[#This Row],[sales_amount]]*83,transactions_table8[[#This Row],[sales_amount]])</f>
        <v>495</v>
      </c>
    </row>
    <row r="274" spans="1:13" x14ac:dyDescent="0.3">
      <c r="A274" t="s">
        <v>187</v>
      </c>
      <c r="B274" t="s">
        <v>14</v>
      </c>
      <c r="C274" t="s">
        <v>144</v>
      </c>
      <c r="D274" s="1">
        <v>43031</v>
      </c>
      <c r="E274">
        <v>20</v>
      </c>
      <c r="F274">
        <v>25130</v>
      </c>
      <c r="G274" t="s">
        <v>460</v>
      </c>
      <c r="H274" t="str">
        <f>VLOOKUP(A274, product_table!$A:$C, 3, 0)</f>
        <v>Own Brand</v>
      </c>
      <c r="I274" t="str">
        <f>VLOOKUP(transactions_table8[[#This Row],[market_code]],markets_table!$A:$B,2,0)</f>
        <v>Delhi NCR</v>
      </c>
      <c r="J274" t="str">
        <f>VLOOKUP(transactions_table8[[#This Row],[market_code]],markets_table!$A:$C,3,0)</f>
        <v>North</v>
      </c>
      <c r="K274" t="str">
        <f>VLOOKUP(transactions_table8[[#This Row],[customer_code]],customer_table!$A:$B,2,0)</f>
        <v>Electricalsara Stores</v>
      </c>
      <c r="L274" t="str">
        <f>VLOOKUP(transactions_table8[[#This Row],[customer_code]],customer_table!$A:$C,3,0)</f>
        <v>Brick &amp; Mortar</v>
      </c>
      <c r="M274">
        <f>IF(TRIM(CLEAN(transactions_table8[[#This Row],[currency]]))="USD",transactions_table8[[#This Row],[sales_amount]]*83,transactions_table8[[#This Row],[sales_amount]])</f>
        <v>25130</v>
      </c>
    </row>
    <row r="275" spans="1:13" x14ac:dyDescent="0.3">
      <c r="A275" t="s">
        <v>187</v>
      </c>
      <c r="B275" t="s">
        <v>16</v>
      </c>
      <c r="C275" t="s">
        <v>144</v>
      </c>
      <c r="D275" s="1">
        <v>43033</v>
      </c>
      <c r="E275">
        <v>1</v>
      </c>
      <c r="F275">
        <v>986</v>
      </c>
      <c r="G275" t="s">
        <v>460</v>
      </c>
      <c r="H275" t="str">
        <f>VLOOKUP(A275, product_table!$A:$C, 3, 0)</f>
        <v>Own Brand</v>
      </c>
      <c r="I275" t="str">
        <f>VLOOKUP(transactions_table8[[#This Row],[market_code]],markets_table!$A:$B,2,0)</f>
        <v>Delhi NCR</v>
      </c>
      <c r="J275" t="str">
        <f>VLOOKUP(transactions_table8[[#This Row],[market_code]],markets_table!$A:$C,3,0)</f>
        <v>North</v>
      </c>
      <c r="K275" t="str">
        <f>VLOOKUP(transactions_table8[[#This Row],[customer_code]],customer_table!$A:$B,2,0)</f>
        <v>Info Stores</v>
      </c>
      <c r="L275" t="str">
        <f>VLOOKUP(transactions_table8[[#This Row],[customer_code]],customer_table!$A:$C,3,0)</f>
        <v>Brick &amp; Mortar</v>
      </c>
      <c r="M275">
        <f>IF(TRIM(CLEAN(transactions_table8[[#This Row],[currency]]))="USD",transactions_table8[[#This Row],[sales_amount]]*83,transactions_table8[[#This Row],[sales_amount]])</f>
        <v>986</v>
      </c>
    </row>
    <row r="276" spans="1:13" x14ac:dyDescent="0.3">
      <c r="A276" t="s">
        <v>187</v>
      </c>
      <c r="B276" t="s">
        <v>42</v>
      </c>
      <c r="C276" t="s">
        <v>144</v>
      </c>
      <c r="D276" s="1">
        <v>43041</v>
      </c>
      <c r="E276">
        <v>13</v>
      </c>
      <c r="F276">
        <v>23898</v>
      </c>
      <c r="G276" t="s">
        <v>460</v>
      </c>
      <c r="H276" t="str">
        <f>VLOOKUP(A276, product_table!$A:$C, 3, 0)</f>
        <v>Own Brand</v>
      </c>
      <c r="I276" t="str">
        <f>VLOOKUP(transactions_table8[[#This Row],[market_code]],markets_table!$A:$B,2,0)</f>
        <v>Delhi NCR</v>
      </c>
      <c r="J276" t="str">
        <f>VLOOKUP(transactions_table8[[#This Row],[market_code]],markets_table!$A:$C,3,0)</f>
        <v>North</v>
      </c>
      <c r="K276" t="str">
        <f>VLOOKUP(transactions_table8[[#This Row],[customer_code]],customer_table!$A:$B,2,0)</f>
        <v>Nixon</v>
      </c>
      <c r="L276" t="str">
        <f>VLOOKUP(transactions_table8[[#This Row],[customer_code]],customer_table!$A:$C,3,0)</f>
        <v>E-Commerce</v>
      </c>
      <c r="M276">
        <f>IF(TRIM(CLEAN(transactions_table8[[#This Row],[currency]]))="USD",transactions_table8[[#This Row],[sales_amount]]*83,transactions_table8[[#This Row],[sales_amount]])</f>
        <v>23898</v>
      </c>
    </row>
    <row r="277" spans="1:13" x14ac:dyDescent="0.3">
      <c r="A277" t="s">
        <v>187</v>
      </c>
      <c r="B277" t="s">
        <v>12</v>
      </c>
      <c r="C277" t="s">
        <v>144</v>
      </c>
      <c r="D277" s="1">
        <v>43042</v>
      </c>
      <c r="E277">
        <v>1</v>
      </c>
      <c r="F277">
        <v>296</v>
      </c>
      <c r="G277" t="s">
        <v>460</v>
      </c>
      <c r="H277" t="str">
        <f>VLOOKUP(A277, product_table!$A:$C, 3, 0)</f>
        <v>Own Brand</v>
      </c>
      <c r="I277" t="str">
        <f>VLOOKUP(transactions_table8[[#This Row],[market_code]],markets_table!$A:$B,2,0)</f>
        <v>Delhi NCR</v>
      </c>
      <c r="J277" t="str">
        <f>VLOOKUP(transactions_table8[[#This Row],[market_code]],markets_table!$A:$C,3,0)</f>
        <v>North</v>
      </c>
      <c r="K277" t="str">
        <f>VLOOKUP(transactions_table8[[#This Row],[customer_code]],customer_table!$A:$B,2,0)</f>
        <v>Premium Stores</v>
      </c>
      <c r="L277" t="str">
        <f>VLOOKUP(transactions_table8[[#This Row],[customer_code]],customer_table!$A:$C,3,0)</f>
        <v>Brick &amp; Mortar</v>
      </c>
      <c r="M277">
        <f>IF(TRIM(CLEAN(transactions_table8[[#This Row],[currency]]))="USD",transactions_table8[[#This Row],[sales_amount]]*83,transactions_table8[[#This Row],[sales_amount]])</f>
        <v>296</v>
      </c>
    </row>
    <row r="278" spans="1:13" x14ac:dyDescent="0.3">
      <c r="A278" t="s">
        <v>187</v>
      </c>
      <c r="B278" t="s">
        <v>14</v>
      </c>
      <c r="C278" t="s">
        <v>144</v>
      </c>
      <c r="D278" s="1">
        <v>43047</v>
      </c>
      <c r="E278">
        <v>1</v>
      </c>
      <c r="F278">
        <v>356</v>
      </c>
      <c r="G278" t="s">
        <v>460</v>
      </c>
      <c r="H278" t="str">
        <f>VLOOKUP(A278, product_table!$A:$C, 3, 0)</f>
        <v>Own Brand</v>
      </c>
      <c r="I278" t="str">
        <f>VLOOKUP(transactions_table8[[#This Row],[market_code]],markets_table!$A:$B,2,0)</f>
        <v>Delhi NCR</v>
      </c>
      <c r="J278" t="str">
        <f>VLOOKUP(transactions_table8[[#This Row],[market_code]],markets_table!$A:$C,3,0)</f>
        <v>North</v>
      </c>
      <c r="K278" t="str">
        <f>VLOOKUP(transactions_table8[[#This Row],[customer_code]],customer_table!$A:$B,2,0)</f>
        <v>Electricalsara Stores</v>
      </c>
      <c r="L278" t="str">
        <f>VLOOKUP(transactions_table8[[#This Row],[customer_code]],customer_table!$A:$C,3,0)</f>
        <v>Brick &amp; Mortar</v>
      </c>
      <c r="M278">
        <f>IF(TRIM(CLEAN(transactions_table8[[#This Row],[currency]]))="USD",transactions_table8[[#This Row],[sales_amount]]*83,transactions_table8[[#This Row],[sales_amount]])</f>
        <v>356</v>
      </c>
    </row>
    <row r="279" spans="1:13" x14ac:dyDescent="0.3">
      <c r="A279" t="s">
        <v>174</v>
      </c>
      <c r="B279" t="s">
        <v>3</v>
      </c>
      <c r="C279" t="s">
        <v>135</v>
      </c>
      <c r="D279" s="1">
        <v>43018</v>
      </c>
      <c r="E279">
        <v>100</v>
      </c>
      <c r="F279">
        <v>41241</v>
      </c>
      <c r="G279" t="s">
        <v>462</v>
      </c>
      <c r="H279" t="str">
        <f>VLOOKUP(A279, product_table!$A:$C, 3, 0)</f>
        <v>Own Brand</v>
      </c>
      <c r="I279" t="str">
        <f>VLOOKUP(transactions_table8[[#This Row],[market_code]],markets_table!$A:$B,2,0)</f>
        <v>Chennai</v>
      </c>
      <c r="J279" t="str">
        <f>VLOOKUP(transactions_table8[[#This Row],[market_code]],markets_table!$A:$C,3,0)</f>
        <v>South</v>
      </c>
      <c r="K279" t="str">
        <f>VLOOKUP(transactions_table8[[#This Row],[customer_code]],customer_table!$A:$B,2,0)</f>
        <v>Surge Stores</v>
      </c>
      <c r="L279" t="str">
        <f>VLOOKUP(transactions_table8[[#This Row],[customer_code]],customer_table!$A:$C,3,0)</f>
        <v>Brick &amp; Mortar</v>
      </c>
      <c r="M279">
        <f>IF(TRIM(CLEAN(transactions_table8[[#This Row],[currency]]))="USD",transactions_table8[[#This Row],[sales_amount]]*83,transactions_table8[[#This Row],[sales_amount]])</f>
        <v>41241</v>
      </c>
    </row>
    <row r="280" spans="1:13" x14ac:dyDescent="0.3">
      <c r="A280" t="s">
        <v>176</v>
      </c>
      <c r="B280" t="s">
        <v>8</v>
      </c>
      <c r="C280" t="s">
        <v>141</v>
      </c>
      <c r="D280" s="1">
        <v>43196</v>
      </c>
      <c r="E280">
        <v>1</v>
      </c>
      <c r="F280">
        <v>875</v>
      </c>
      <c r="G280" t="s">
        <v>462</v>
      </c>
      <c r="H280" t="str">
        <f>VLOOKUP(A280, product_table!$A:$C, 3, 0)</f>
        <v>Own Brand</v>
      </c>
      <c r="I280" t="str">
        <f>VLOOKUP(transactions_table8[[#This Row],[market_code]],markets_table!$A:$B,2,0)</f>
        <v>Ahmedabad</v>
      </c>
      <c r="J280" t="str">
        <f>VLOOKUP(transactions_table8[[#This Row],[market_code]],markets_table!$A:$C,3,0)</f>
        <v>North</v>
      </c>
      <c r="K280" t="str">
        <f>VLOOKUP(transactions_table8[[#This Row],[customer_code]],customer_table!$A:$B,2,0)</f>
        <v>Excel Stores</v>
      </c>
      <c r="L280" t="str">
        <f>VLOOKUP(transactions_table8[[#This Row],[customer_code]],customer_table!$A:$C,3,0)</f>
        <v>Brick &amp; Mortar</v>
      </c>
      <c r="M280">
        <f>IF(TRIM(CLEAN(transactions_table8[[#This Row],[currency]]))="USD",transactions_table8[[#This Row],[sales_amount]]*83,transactions_table8[[#This Row],[sales_amount]])</f>
        <v>875</v>
      </c>
    </row>
    <row r="281" spans="1:13" x14ac:dyDescent="0.3">
      <c r="A281" t="s">
        <v>176</v>
      </c>
      <c r="B281" t="s">
        <v>8</v>
      </c>
      <c r="C281" t="s">
        <v>141</v>
      </c>
      <c r="D281" s="1">
        <v>43201</v>
      </c>
      <c r="E281">
        <v>1</v>
      </c>
      <c r="F281">
        <v>583</v>
      </c>
      <c r="G281" t="s">
        <v>462</v>
      </c>
      <c r="H281" t="str">
        <f>VLOOKUP(A281, product_table!$A:$C, 3, 0)</f>
        <v>Own Brand</v>
      </c>
      <c r="I281" t="str">
        <f>VLOOKUP(transactions_table8[[#This Row],[market_code]],markets_table!$A:$B,2,0)</f>
        <v>Ahmedabad</v>
      </c>
      <c r="J281" t="str">
        <f>VLOOKUP(transactions_table8[[#This Row],[market_code]],markets_table!$A:$C,3,0)</f>
        <v>North</v>
      </c>
      <c r="K281" t="str">
        <f>VLOOKUP(transactions_table8[[#This Row],[customer_code]],customer_table!$A:$B,2,0)</f>
        <v>Excel Stores</v>
      </c>
      <c r="L281" t="str">
        <f>VLOOKUP(transactions_table8[[#This Row],[customer_code]],customer_table!$A:$C,3,0)</f>
        <v>Brick &amp; Mortar</v>
      </c>
      <c r="M281">
        <f>IF(TRIM(CLEAN(transactions_table8[[#This Row],[currency]]))="USD",transactions_table8[[#This Row],[sales_amount]]*83,transactions_table8[[#This Row],[sales_amount]])</f>
        <v>583</v>
      </c>
    </row>
    <row r="282" spans="1:13" x14ac:dyDescent="0.3">
      <c r="A282" t="s">
        <v>176</v>
      </c>
      <c r="B282" t="s">
        <v>10</v>
      </c>
      <c r="C282" t="s">
        <v>141</v>
      </c>
      <c r="D282" s="1">
        <v>43269</v>
      </c>
      <c r="E282">
        <v>6</v>
      </c>
      <c r="F282">
        <v>7176</v>
      </c>
      <c r="G282" t="s">
        <v>462</v>
      </c>
      <c r="H282" t="str">
        <f>VLOOKUP(A282, product_table!$A:$C, 3, 0)</f>
        <v>Own Brand</v>
      </c>
      <c r="I282" t="str">
        <f>VLOOKUP(transactions_table8[[#This Row],[market_code]],markets_table!$A:$B,2,0)</f>
        <v>Ahmedabad</v>
      </c>
      <c r="J282" t="str">
        <f>VLOOKUP(transactions_table8[[#This Row],[market_code]],markets_table!$A:$C,3,0)</f>
        <v>North</v>
      </c>
      <c r="K282" t="str">
        <f>VLOOKUP(transactions_table8[[#This Row],[customer_code]],customer_table!$A:$B,2,0)</f>
        <v>Surface Stores</v>
      </c>
      <c r="L282" t="str">
        <f>VLOOKUP(transactions_table8[[#This Row],[customer_code]],customer_table!$A:$C,3,0)</f>
        <v>Brick &amp; Mortar</v>
      </c>
      <c r="M282">
        <f>IF(TRIM(CLEAN(transactions_table8[[#This Row],[currency]]))="USD",transactions_table8[[#This Row],[sales_amount]]*83,transactions_table8[[#This Row],[sales_amount]])</f>
        <v>7176</v>
      </c>
    </row>
    <row r="283" spans="1:13" x14ac:dyDescent="0.3">
      <c r="A283" t="s">
        <v>177</v>
      </c>
      <c r="B283" t="s">
        <v>12</v>
      </c>
      <c r="C283" t="s">
        <v>144</v>
      </c>
      <c r="D283" s="1">
        <v>43059</v>
      </c>
      <c r="E283">
        <v>59</v>
      </c>
      <c r="F283">
        <v>500</v>
      </c>
      <c r="G283" t="s">
        <v>463</v>
      </c>
      <c r="H283" t="str">
        <f>VLOOKUP(A283, product_table!$A:$C, 3, 0)</f>
        <v>Own Brand</v>
      </c>
      <c r="I283" t="str">
        <f>VLOOKUP(transactions_table8[[#This Row],[market_code]],markets_table!$A:$B,2,0)</f>
        <v>Delhi NCR</v>
      </c>
      <c r="J283" t="str">
        <f>VLOOKUP(transactions_table8[[#This Row],[market_code]],markets_table!$A:$C,3,0)</f>
        <v>North</v>
      </c>
      <c r="K283" t="str">
        <f>VLOOKUP(transactions_table8[[#This Row],[customer_code]],customer_table!$A:$B,2,0)</f>
        <v>Premium Stores</v>
      </c>
      <c r="L283" t="str">
        <f>VLOOKUP(transactions_table8[[#This Row],[customer_code]],customer_table!$A:$C,3,0)</f>
        <v>Brick &amp; Mortar</v>
      </c>
      <c r="M283">
        <f>IF(TRIM(CLEAN(transactions_table8[[#This Row],[currency]]))="USD",transactions_table8[[#This Row],[sales_amount]]*83,transactions_table8[[#This Row],[sales_amount]])</f>
        <v>41500</v>
      </c>
    </row>
    <row r="284" spans="1:13" x14ac:dyDescent="0.3">
      <c r="A284" t="s">
        <v>177</v>
      </c>
      <c r="B284" t="s">
        <v>12</v>
      </c>
      <c r="C284" t="s">
        <v>144</v>
      </c>
      <c r="D284" s="1">
        <v>43061</v>
      </c>
      <c r="E284">
        <v>36</v>
      </c>
      <c r="F284">
        <v>250</v>
      </c>
      <c r="G284" t="s">
        <v>463</v>
      </c>
      <c r="H284" t="str">
        <f>VLOOKUP(A284, product_table!$A:$C, 3, 0)</f>
        <v>Own Brand</v>
      </c>
      <c r="I284" t="str">
        <f>VLOOKUP(transactions_table8[[#This Row],[market_code]],markets_table!$A:$B,2,0)</f>
        <v>Delhi NCR</v>
      </c>
      <c r="J284" t="str">
        <f>VLOOKUP(transactions_table8[[#This Row],[market_code]],markets_table!$A:$C,3,0)</f>
        <v>North</v>
      </c>
      <c r="K284" t="str">
        <f>VLOOKUP(transactions_table8[[#This Row],[customer_code]],customer_table!$A:$B,2,0)</f>
        <v>Premium Stores</v>
      </c>
      <c r="L284" t="str">
        <f>VLOOKUP(transactions_table8[[#This Row],[customer_code]],customer_table!$A:$C,3,0)</f>
        <v>Brick &amp; Mortar</v>
      </c>
      <c r="M284">
        <f>IF(TRIM(CLEAN(transactions_table8[[#This Row],[currency]]))="USD",transactions_table8[[#This Row],[sales_amount]]*83,transactions_table8[[#This Row],[sales_amount]])</f>
        <v>20750</v>
      </c>
    </row>
    <row r="285" spans="1:13" x14ac:dyDescent="0.3">
      <c r="A285" t="s">
        <v>177</v>
      </c>
      <c r="B285" t="s">
        <v>12</v>
      </c>
      <c r="C285" t="s">
        <v>144</v>
      </c>
      <c r="D285" s="1">
        <v>43062</v>
      </c>
      <c r="E285">
        <v>39</v>
      </c>
      <c r="F285">
        <v>21412</v>
      </c>
      <c r="G285" t="s">
        <v>462</v>
      </c>
      <c r="H285" t="str">
        <f>VLOOKUP(A285, product_table!$A:$C, 3, 0)</f>
        <v>Own Brand</v>
      </c>
      <c r="I285" t="str">
        <f>VLOOKUP(transactions_table8[[#This Row],[market_code]],markets_table!$A:$B,2,0)</f>
        <v>Delhi NCR</v>
      </c>
      <c r="J285" t="str">
        <f>VLOOKUP(transactions_table8[[#This Row],[market_code]],markets_table!$A:$C,3,0)</f>
        <v>North</v>
      </c>
      <c r="K285" t="str">
        <f>VLOOKUP(transactions_table8[[#This Row],[customer_code]],customer_table!$A:$B,2,0)</f>
        <v>Premium Stores</v>
      </c>
      <c r="L285" t="str">
        <f>VLOOKUP(transactions_table8[[#This Row],[customer_code]],customer_table!$A:$C,3,0)</f>
        <v>Brick &amp; Mortar</v>
      </c>
      <c r="M285">
        <f>IF(TRIM(CLEAN(transactions_table8[[#This Row],[currency]]))="USD",transactions_table8[[#This Row],[sales_amount]]*83,transactions_table8[[#This Row],[sales_amount]])</f>
        <v>21412</v>
      </c>
    </row>
    <row r="286" spans="1:13" x14ac:dyDescent="0.3">
      <c r="A286" t="s">
        <v>177</v>
      </c>
      <c r="B286" t="s">
        <v>12</v>
      </c>
      <c r="C286" t="s">
        <v>144</v>
      </c>
      <c r="D286" s="1">
        <v>43066</v>
      </c>
      <c r="E286">
        <v>35</v>
      </c>
      <c r="F286">
        <v>19213</v>
      </c>
      <c r="G286" t="s">
        <v>462</v>
      </c>
      <c r="H286" t="str">
        <f>VLOOKUP(A286, product_table!$A:$C, 3, 0)</f>
        <v>Own Brand</v>
      </c>
      <c r="I286" t="str">
        <f>VLOOKUP(transactions_table8[[#This Row],[market_code]],markets_table!$A:$B,2,0)</f>
        <v>Delhi NCR</v>
      </c>
      <c r="J286" t="str">
        <f>VLOOKUP(transactions_table8[[#This Row],[market_code]],markets_table!$A:$C,3,0)</f>
        <v>North</v>
      </c>
      <c r="K286" t="str">
        <f>VLOOKUP(transactions_table8[[#This Row],[customer_code]],customer_table!$A:$B,2,0)</f>
        <v>Premium Stores</v>
      </c>
      <c r="L286" t="str">
        <f>VLOOKUP(transactions_table8[[#This Row],[customer_code]],customer_table!$A:$C,3,0)</f>
        <v>Brick &amp; Mortar</v>
      </c>
      <c r="M286">
        <f>IF(TRIM(CLEAN(transactions_table8[[#This Row],[currency]]))="USD",transactions_table8[[#This Row],[sales_amount]]*83,transactions_table8[[#This Row],[sales_amount]])</f>
        <v>19213</v>
      </c>
    </row>
    <row r="287" spans="1:13" x14ac:dyDescent="0.3">
      <c r="A287" t="s">
        <v>177</v>
      </c>
      <c r="B287" t="s">
        <v>12</v>
      </c>
      <c r="C287" t="s">
        <v>144</v>
      </c>
      <c r="D287" s="1">
        <v>43067</v>
      </c>
      <c r="E287">
        <v>310</v>
      </c>
      <c r="F287">
        <v>170185</v>
      </c>
      <c r="G287" t="s">
        <v>462</v>
      </c>
      <c r="H287" t="str">
        <f>VLOOKUP(A287, product_table!$A:$C, 3, 0)</f>
        <v>Own Brand</v>
      </c>
      <c r="I287" t="str">
        <f>VLOOKUP(transactions_table8[[#This Row],[market_code]],markets_table!$A:$B,2,0)</f>
        <v>Delhi NCR</v>
      </c>
      <c r="J287" t="str">
        <f>VLOOKUP(transactions_table8[[#This Row],[market_code]],markets_table!$A:$C,3,0)</f>
        <v>North</v>
      </c>
      <c r="K287" t="str">
        <f>VLOOKUP(transactions_table8[[#This Row],[customer_code]],customer_table!$A:$B,2,0)</f>
        <v>Premium Stores</v>
      </c>
      <c r="L287" t="str">
        <f>VLOOKUP(transactions_table8[[#This Row],[customer_code]],customer_table!$A:$C,3,0)</f>
        <v>Brick &amp; Mortar</v>
      </c>
      <c r="M287">
        <f>IF(TRIM(CLEAN(transactions_table8[[#This Row],[currency]]))="USD",transactions_table8[[#This Row],[sales_amount]]*83,transactions_table8[[#This Row],[sales_amount]])</f>
        <v>170185</v>
      </c>
    </row>
    <row r="288" spans="1:13" x14ac:dyDescent="0.3">
      <c r="A288" t="s">
        <v>177</v>
      </c>
      <c r="B288" t="s">
        <v>12</v>
      </c>
      <c r="C288" t="s">
        <v>144</v>
      </c>
      <c r="D288" s="1">
        <v>43068</v>
      </c>
      <c r="E288">
        <v>184</v>
      </c>
      <c r="F288">
        <v>101194</v>
      </c>
      <c r="G288" t="s">
        <v>462</v>
      </c>
      <c r="H288" t="str">
        <f>VLOOKUP(A288, product_table!$A:$C, 3, 0)</f>
        <v>Own Brand</v>
      </c>
      <c r="I288" t="str">
        <f>VLOOKUP(transactions_table8[[#This Row],[market_code]],markets_table!$A:$B,2,0)</f>
        <v>Delhi NCR</v>
      </c>
      <c r="J288" t="str">
        <f>VLOOKUP(transactions_table8[[#This Row],[market_code]],markets_table!$A:$C,3,0)</f>
        <v>North</v>
      </c>
      <c r="K288" t="str">
        <f>VLOOKUP(transactions_table8[[#This Row],[customer_code]],customer_table!$A:$B,2,0)</f>
        <v>Premium Stores</v>
      </c>
      <c r="L288" t="str">
        <f>VLOOKUP(transactions_table8[[#This Row],[customer_code]],customer_table!$A:$C,3,0)</f>
        <v>Brick &amp; Mortar</v>
      </c>
      <c r="M288">
        <f>IF(TRIM(CLEAN(transactions_table8[[#This Row],[currency]]))="USD",transactions_table8[[#This Row],[sales_amount]]*83,transactions_table8[[#This Row],[sales_amount]])</f>
        <v>101194</v>
      </c>
    </row>
    <row r="289" spans="1:13" x14ac:dyDescent="0.3">
      <c r="A289" t="s">
        <v>177</v>
      </c>
      <c r="B289" t="s">
        <v>12</v>
      </c>
      <c r="C289" t="s">
        <v>144</v>
      </c>
      <c r="D289" s="1">
        <v>43069</v>
      </c>
      <c r="E289">
        <v>35</v>
      </c>
      <c r="F289">
        <v>19213</v>
      </c>
      <c r="G289" t="s">
        <v>462</v>
      </c>
      <c r="H289" t="str">
        <f>VLOOKUP(A289, product_table!$A:$C, 3, 0)</f>
        <v>Own Brand</v>
      </c>
      <c r="I289" t="str">
        <f>VLOOKUP(transactions_table8[[#This Row],[market_code]],markets_table!$A:$B,2,0)</f>
        <v>Delhi NCR</v>
      </c>
      <c r="J289" t="str">
        <f>VLOOKUP(transactions_table8[[#This Row],[market_code]],markets_table!$A:$C,3,0)</f>
        <v>North</v>
      </c>
      <c r="K289" t="str">
        <f>VLOOKUP(transactions_table8[[#This Row],[customer_code]],customer_table!$A:$B,2,0)</f>
        <v>Premium Stores</v>
      </c>
      <c r="L289" t="str">
        <f>VLOOKUP(transactions_table8[[#This Row],[customer_code]],customer_table!$A:$C,3,0)</f>
        <v>Brick &amp; Mortar</v>
      </c>
      <c r="M289">
        <f>IF(TRIM(CLEAN(transactions_table8[[#This Row],[currency]]))="USD",transactions_table8[[#This Row],[sales_amount]]*83,transactions_table8[[#This Row],[sales_amount]])</f>
        <v>19213</v>
      </c>
    </row>
    <row r="290" spans="1:13" x14ac:dyDescent="0.3">
      <c r="A290" t="s">
        <v>178</v>
      </c>
      <c r="B290" t="s">
        <v>12</v>
      </c>
      <c r="C290" t="s">
        <v>144</v>
      </c>
      <c r="D290" s="1">
        <v>43068</v>
      </c>
      <c r="E290">
        <v>17</v>
      </c>
      <c r="F290">
        <v>9426</v>
      </c>
      <c r="G290" t="s">
        <v>462</v>
      </c>
      <c r="H290" t="str">
        <f>VLOOKUP(A290, product_table!$A:$C, 3, 0)</f>
        <v>Own Brand</v>
      </c>
      <c r="I290" t="str">
        <f>VLOOKUP(transactions_table8[[#This Row],[market_code]],markets_table!$A:$B,2,0)</f>
        <v>Delhi NCR</v>
      </c>
      <c r="J290" t="str">
        <f>VLOOKUP(transactions_table8[[#This Row],[market_code]],markets_table!$A:$C,3,0)</f>
        <v>North</v>
      </c>
      <c r="K290" t="str">
        <f>VLOOKUP(transactions_table8[[#This Row],[customer_code]],customer_table!$A:$B,2,0)</f>
        <v>Premium Stores</v>
      </c>
      <c r="L290" t="str">
        <f>VLOOKUP(transactions_table8[[#This Row],[customer_code]],customer_table!$A:$C,3,0)</f>
        <v>Brick &amp; Mortar</v>
      </c>
      <c r="M290">
        <f>IF(TRIM(CLEAN(transactions_table8[[#This Row],[currency]]))="USD",transactions_table8[[#This Row],[sales_amount]]*83,transactions_table8[[#This Row],[sales_amount]])</f>
        <v>9426</v>
      </c>
    </row>
    <row r="291" spans="1:13" x14ac:dyDescent="0.3">
      <c r="A291" t="s">
        <v>178</v>
      </c>
      <c r="B291" t="s">
        <v>12</v>
      </c>
      <c r="C291" t="s">
        <v>144</v>
      </c>
      <c r="D291" s="1">
        <v>43088</v>
      </c>
      <c r="E291">
        <v>1</v>
      </c>
      <c r="F291">
        <v>218</v>
      </c>
      <c r="G291" t="s">
        <v>462</v>
      </c>
      <c r="H291" t="str">
        <f>VLOOKUP(A291, product_table!$A:$C, 3, 0)</f>
        <v>Own Brand</v>
      </c>
      <c r="I291" t="str">
        <f>VLOOKUP(transactions_table8[[#This Row],[market_code]],markets_table!$A:$B,2,0)</f>
        <v>Delhi NCR</v>
      </c>
      <c r="J291" t="str">
        <f>VLOOKUP(transactions_table8[[#This Row],[market_code]],markets_table!$A:$C,3,0)</f>
        <v>North</v>
      </c>
      <c r="K291" t="str">
        <f>VLOOKUP(transactions_table8[[#This Row],[customer_code]],customer_table!$A:$B,2,0)</f>
        <v>Premium Stores</v>
      </c>
      <c r="L291" t="str">
        <f>VLOOKUP(transactions_table8[[#This Row],[customer_code]],customer_table!$A:$C,3,0)</f>
        <v>Brick &amp; Mortar</v>
      </c>
      <c r="M291">
        <f>IF(TRIM(CLEAN(transactions_table8[[#This Row],[currency]]))="USD",transactions_table8[[#This Row],[sales_amount]]*83,transactions_table8[[#This Row],[sales_amount]])</f>
        <v>218</v>
      </c>
    </row>
    <row r="292" spans="1:13" x14ac:dyDescent="0.3">
      <c r="A292" t="s">
        <v>179</v>
      </c>
      <c r="B292" t="s">
        <v>12</v>
      </c>
      <c r="C292" t="s">
        <v>144</v>
      </c>
      <c r="D292" s="1">
        <v>43319</v>
      </c>
      <c r="E292">
        <v>5</v>
      </c>
      <c r="F292">
        <v>3093</v>
      </c>
      <c r="G292" t="s">
        <v>462</v>
      </c>
      <c r="H292" t="str">
        <f>VLOOKUP(A292, product_table!$A:$C, 3, 0)</f>
        <v>Own Brand</v>
      </c>
      <c r="I292" t="str">
        <f>VLOOKUP(transactions_table8[[#This Row],[market_code]],markets_table!$A:$B,2,0)</f>
        <v>Delhi NCR</v>
      </c>
      <c r="J292" t="str">
        <f>VLOOKUP(transactions_table8[[#This Row],[market_code]],markets_table!$A:$C,3,0)</f>
        <v>North</v>
      </c>
      <c r="K292" t="str">
        <f>VLOOKUP(transactions_table8[[#This Row],[customer_code]],customer_table!$A:$B,2,0)</f>
        <v>Premium Stores</v>
      </c>
      <c r="L292" t="str">
        <f>VLOOKUP(transactions_table8[[#This Row],[customer_code]],customer_table!$A:$C,3,0)</f>
        <v>Brick &amp; Mortar</v>
      </c>
      <c r="M292">
        <f>IF(TRIM(CLEAN(transactions_table8[[#This Row],[currency]]))="USD",transactions_table8[[#This Row],[sales_amount]]*83,transactions_table8[[#This Row],[sales_amount]])</f>
        <v>3093</v>
      </c>
    </row>
    <row r="293" spans="1:13" x14ac:dyDescent="0.3">
      <c r="A293" t="s">
        <v>177</v>
      </c>
      <c r="B293" t="s">
        <v>14</v>
      </c>
      <c r="C293" t="s">
        <v>144</v>
      </c>
      <c r="D293" s="1">
        <v>43073</v>
      </c>
      <c r="E293">
        <v>58</v>
      </c>
      <c r="F293">
        <v>30306</v>
      </c>
      <c r="G293" t="s">
        <v>462</v>
      </c>
      <c r="H293" t="str">
        <f>VLOOKUP(A293, product_table!$A:$C, 3, 0)</f>
        <v>Own Brand</v>
      </c>
      <c r="I293" t="str">
        <f>VLOOKUP(transactions_table8[[#This Row],[market_code]],markets_table!$A:$B,2,0)</f>
        <v>Delhi NCR</v>
      </c>
      <c r="J293" t="str">
        <f>VLOOKUP(transactions_table8[[#This Row],[market_code]],markets_table!$A:$C,3,0)</f>
        <v>North</v>
      </c>
      <c r="K293" t="str">
        <f>VLOOKUP(transactions_table8[[#This Row],[customer_code]],customer_table!$A:$B,2,0)</f>
        <v>Electricalsara Stores</v>
      </c>
      <c r="L293" t="str">
        <f>VLOOKUP(transactions_table8[[#This Row],[customer_code]],customer_table!$A:$C,3,0)</f>
        <v>Brick &amp; Mortar</v>
      </c>
      <c r="M293">
        <f>IF(TRIM(CLEAN(transactions_table8[[#This Row],[currency]]))="USD",transactions_table8[[#This Row],[sales_amount]]*83,transactions_table8[[#This Row],[sales_amount]])</f>
        <v>30306</v>
      </c>
    </row>
    <row r="294" spans="1:13" x14ac:dyDescent="0.3">
      <c r="A294" t="s">
        <v>179</v>
      </c>
      <c r="B294" t="s">
        <v>14</v>
      </c>
      <c r="C294" t="s">
        <v>144</v>
      </c>
      <c r="D294" s="1">
        <v>43280</v>
      </c>
      <c r="E294">
        <v>38</v>
      </c>
      <c r="F294">
        <v>52319</v>
      </c>
      <c r="G294" t="s">
        <v>462</v>
      </c>
      <c r="H294" t="str">
        <f>VLOOKUP(A294, product_table!$A:$C, 3, 0)</f>
        <v>Own Brand</v>
      </c>
      <c r="I294" t="str">
        <f>VLOOKUP(transactions_table8[[#This Row],[market_code]],markets_table!$A:$B,2,0)</f>
        <v>Delhi NCR</v>
      </c>
      <c r="J294" t="str">
        <f>VLOOKUP(transactions_table8[[#This Row],[market_code]],markets_table!$A:$C,3,0)</f>
        <v>North</v>
      </c>
      <c r="K294" t="str">
        <f>VLOOKUP(transactions_table8[[#This Row],[customer_code]],customer_table!$A:$B,2,0)</f>
        <v>Electricalsara Stores</v>
      </c>
      <c r="L294" t="str">
        <f>VLOOKUP(transactions_table8[[#This Row],[customer_code]],customer_table!$A:$C,3,0)</f>
        <v>Brick &amp; Mortar</v>
      </c>
      <c r="M294">
        <f>IF(TRIM(CLEAN(transactions_table8[[#This Row],[currency]]))="USD",transactions_table8[[#This Row],[sales_amount]]*83,transactions_table8[[#This Row],[sales_amount]])</f>
        <v>52319</v>
      </c>
    </row>
    <row r="295" spans="1:13" x14ac:dyDescent="0.3">
      <c r="A295" t="s">
        <v>179</v>
      </c>
      <c r="B295" t="s">
        <v>14</v>
      </c>
      <c r="C295" t="s">
        <v>144</v>
      </c>
      <c r="D295" s="1">
        <v>43283</v>
      </c>
      <c r="E295">
        <v>93</v>
      </c>
      <c r="F295">
        <v>126296</v>
      </c>
      <c r="G295" t="s">
        <v>462</v>
      </c>
      <c r="H295" t="str">
        <f>VLOOKUP(A295, product_table!$A:$C, 3, 0)</f>
        <v>Own Brand</v>
      </c>
      <c r="I295" t="str">
        <f>VLOOKUP(transactions_table8[[#This Row],[market_code]],markets_table!$A:$B,2,0)</f>
        <v>Delhi NCR</v>
      </c>
      <c r="J295" t="str">
        <f>VLOOKUP(transactions_table8[[#This Row],[market_code]],markets_table!$A:$C,3,0)</f>
        <v>North</v>
      </c>
      <c r="K295" t="str">
        <f>VLOOKUP(transactions_table8[[#This Row],[customer_code]],customer_table!$A:$B,2,0)</f>
        <v>Electricalsara Stores</v>
      </c>
      <c r="L295" t="str">
        <f>VLOOKUP(transactions_table8[[#This Row],[customer_code]],customer_table!$A:$C,3,0)</f>
        <v>Brick &amp; Mortar</v>
      </c>
      <c r="M295">
        <f>IF(TRIM(CLEAN(transactions_table8[[#This Row],[currency]]))="USD",transactions_table8[[#This Row],[sales_amount]]*83,transactions_table8[[#This Row],[sales_amount]])</f>
        <v>126296</v>
      </c>
    </row>
    <row r="296" spans="1:13" x14ac:dyDescent="0.3">
      <c r="A296" t="s">
        <v>179</v>
      </c>
      <c r="B296" t="s">
        <v>14</v>
      </c>
      <c r="C296" t="s">
        <v>144</v>
      </c>
      <c r="D296" s="1">
        <v>43284</v>
      </c>
      <c r="E296">
        <v>79</v>
      </c>
      <c r="F296">
        <v>107500</v>
      </c>
      <c r="G296" t="s">
        <v>462</v>
      </c>
      <c r="H296" t="str">
        <f>VLOOKUP(A296, product_table!$A:$C, 3, 0)</f>
        <v>Own Brand</v>
      </c>
      <c r="I296" t="str">
        <f>VLOOKUP(transactions_table8[[#This Row],[market_code]],markets_table!$A:$B,2,0)</f>
        <v>Delhi NCR</v>
      </c>
      <c r="J296" t="str">
        <f>VLOOKUP(transactions_table8[[#This Row],[market_code]],markets_table!$A:$C,3,0)</f>
        <v>North</v>
      </c>
      <c r="K296" t="str">
        <f>VLOOKUP(transactions_table8[[#This Row],[customer_code]],customer_table!$A:$B,2,0)</f>
        <v>Electricalsara Stores</v>
      </c>
      <c r="L296" t="str">
        <f>VLOOKUP(transactions_table8[[#This Row],[customer_code]],customer_table!$A:$C,3,0)</f>
        <v>Brick &amp; Mortar</v>
      </c>
      <c r="M296">
        <f>IF(TRIM(CLEAN(transactions_table8[[#This Row],[currency]]))="USD",transactions_table8[[#This Row],[sales_amount]]*83,transactions_table8[[#This Row],[sales_amount]])</f>
        <v>107500</v>
      </c>
    </row>
    <row r="297" spans="1:13" x14ac:dyDescent="0.3">
      <c r="A297" t="s">
        <v>179</v>
      </c>
      <c r="B297" t="s">
        <v>14</v>
      </c>
      <c r="C297" t="s">
        <v>144</v>
      </c>
      <c r="D297" s="1">
        <v>43285</v>
      </c>
      <c r="E297">
        <v>1</v>
      </c>
      <c r="F297">
        <v>273</v>
      </c>
      <c r="G297" t="s">
        <v>462</v>
      </c>
      <c r="H297" t="str">
        <f>VLOOKUP(A297, product_table!$A:$C, 3, 0)</f>
        <v>Own Brand</v>
      </c>
      <c r="I297" t="str">
        <f>VLOOKUP(transactions_table8[[#This Row],[market_code]],markets_table!$A:$B,2,0)</f>
        <v>Delhi NCR</v>
      </c>
      <c r="J297" t="str">
        <f>VLOOKUP(transactions_table8[[#This Row],[market_code]],markets_table!$A:$C,3,0)</f>
        <v>North</v>
      </c>
      <c r="K297" t="str">
        <f>VLOOKUP(transactions_table8[[#This Row],[customer_code]],customer_table!$A:$B,2,0)</f>
        <v>Electricalsara Stores</v>
      </c>
      <c r="L297" t="str">
        <f>VLOOKUP(transactions_table8[[#This Row],[customer_code]],customer_table!$A:$C,3,0)</f>
        <v>Brick &amp; Mortar</v>
      </c>
      <c r="M297">
        <f>IF(TRIM(CLEAN(transactions_table8[[#This Row],[currency]]))="USD",transactions_table8[[#This Row],[sales_amount]]*83,transactions_table8[[#This Row],[sales_amount]])</f>
        <v>273</v>
      </c>
    </row>
    <row r="298" spans="1:13" x14ac:dyDescent="0.3">
      <c r="A298" t="s">
        <v>179</v>
      </c>
      <c r="B298" t="s">
        <v>14</v>
      </c>
      <c r="C298" t="s">
        <v>144</v>
      </c>
      <c r="D298" s="1">
        <v>43287</v>
      </c>
      <c r="E298">
        <v>3</v>
      </c>
      <c r="F298">
        <v>3574</v>
      </c>
      <c r="G298" t="s">
        <v>462</v>
      </c>
      <c r="H298" t="str">
        <f>VLOOKUP(A298, product_table!$A:$C, 3, 0)</f>
        <v>Own Brand</v>
      </c>
      <c r="I298" t="str">
        <f>VLOOKUP(transactions_table8[[#This Row],[market_code]],markets_table!$A:$B,2,0)</f>
        <v>Delhi NCR</v>
      </c>
      <c r="J298" t="str">
        <f>VLOOKUP(transactions_table8[[#This Row],[market_code]],markets_table!$A:$C,3,0)</f>
        <v>North</v>
      </c>
      <c r="K298" t="str">
        <f>VLOOKUP(transactions_table8[[#This Row],[customer_code]],customer_table!$A:$B,2,0)</f>
        <v>Electricalsara Stores</v>
      </c>
      <c r="L298" t="str">
        <f>VLOOKUP(transactions_table8[[#This Row],[customer_code]],customer_table!$A:$C,3,0)</f>
        <v>Brick &amp; Mortar</v>
      </c>
      <c r="M298">
        <f>IF(TRIM(CLEAN(transactions_table8[[#This Row],[currency]]))="USD",transactions_table8[[#This Row],[sales_amount]]*83,transactions_table8[[#This Row],[sales_amount]])</f>
        <v>3574</v>
      </c>
    </row>
    <row r="299" spans="1:13" x14ac:dyDescent="0.3">
      <c r="A299" t="s">
        <v>179</v>
      </c>
      <c r="B299" t="s">
        <v>14</v>
      </c>
      <c r="C299" t="s">
        <v>144</v>
      </c>
      <c r="D299" s="1">
        <v>43294</v>
      </c>
      <c r="E299">
        <v>1</v>
      </c>
      <c r="F299">
        <v>273</v>
      </c>
      <c r="G299" t="s">
        <v>462</v>
      </c>
      <c r="H299" t="str">
        <f>VLOOKUP(A299, product_table!$A:$C, 3, 0)</f>
        <v>Own Brand</v>
      </c>
      <c r="I299" t="str">
        <f>VLOOKUP(transactions_table8[[#This Row],[market_code]],markets_table!$A:$B,2,0)</f>
        <v>Delhi NCR</v>
      </c>
      <c r="J299" t="str">
        <f>VLOOKUP(transactions_table8[[#This Row],[market_code]],markets_table!$A:$C,3,0)</f>
        <v>North</v>
      </c>
      <c r="K299" t="str">
        <f>VLOOKUP(transactions_table8[[#This Row],[customer_code]],customer_table!$A:$B,2,0)</f>
        <v>Electricalsara Stores</v>
      </c>
      <c r="L299" t="str">
        <f>VLOOKUP(transactions_table8[[#This Row],[customer_code]],customer_table!$A:$C,3,0)</f>
        <v>Brick &amp; Mortar</v>
      </c>
      <c r="M299">
        <f>IF(TRIM(CLEAN(transactions_table8[[#This Row],[currency]]))="USD",transactions_table8[[#This Row],[sales_amount]]*83,transactions_table8[[#This Row],[sales_amount]])</f>
        <v>273</v>
      </c>
    </row>
    <row r="300" spans="1:13" x14ac:dyDescent="0.3">
      <c r="A300" t="s">
        <v>179</v>
      </c>
      <c r="B300" t="s">
        <v>14</v>
      </c>
      <c r="C300" t="s">
        <v>144</v>
      </c>
      <c r="D300" s="1">
        <v>43623</v>
      </c>
      <c r="E300">
        <v>20</v>
      </c>
      <c r="F300">
        <v>23403</v>
      </c>
      <c r="G300" t="s">
        <v>462</v>
      </c>
      <c r="H300" t="str">
        <f>VLOOKUP(A300, product_table!$A:$C, 3, 0)</f>
        <v>Own Brand</v>
      </c>
      <c r="I300" t="str">
        <f>VLOOKUP(transactions_table8[[#This Row],[market_code]],markets_table!$A:$B,2,0)</f>
        <v>Delhi NCR</v>
      </c>
      <c r="J300" t="str">
        <f>VLOOKUP(transactions_table8[[#This Row],[market_code]],markets_table!$A:$C,3,0)</f>
        <v>North</v>
      </c>
      <c r="K300" t="str">
        <f>VLOOKUP(transactions_table8[[#This Row],[customer_code]],customer_table!$A:$B,2,0)</f>
        <v>Electricalsara Stores</v>
      </c>
      <c r="L300" t="str">
        <f>VLOOKUP(transactions_table8[[#This Row],[customer_code]],customer_table!$A:$C,3,0)</f>
        <v>Brick &amp; Mortar</v>
      </c>
      <c r="M300">
        <f>IF(TRIM(CLEAN(transactions_table8[[#This Row],[currency]]))="USD",transactions_table8[[#This Row],[sales_amount]]*83,transactions_table8[[#This Row],[sales_amount]])</f>
        <v>23403</v>
      </c>
    </row>
    <row r="301" spans="1:13" x14ac:dyDescent="0.3">
      <c r="A301" t="s">
        <v>179</v>
      </c>
      <c r="B301" t="s">
        <v>14</v>
      </c>
      <c r="C301" t="s">
        <v>144</v>
      </c>
      <c r="D301" s="1">
        <v>43675</v>
      </c>
      <c r="E301">
        <v>81</v>
      </c>
      <c r="F301">
        <v>76329</v>
      </c>
      <c r="G301" t="s">
        <v>462</v>
      </c>
      <c r="H301" t="str">
        <f>VLOOKUP(A301, product_table!$A:$C, 3, 0)</f>
        <v>Own Brand</v>
      </c>
      <c r="I301" t="str">
        <f>VLOOKUP(transactions_table8[[#This Row],[market_code]],markets_table!$A:$B,2,0)</f>
        <v>Delhi NCR</v>
      </c>
      <c r="J301" t="str">
        <f>VLOOKUP(transactions_table8[[#This Row],[market_code]],markets_table!$A:$C,3,0)</f>
        <v>North</v>
      </c>
      <c r="K301" t="str">
        <f>VLOOKUP(transactions_table8[[#This Row],[customer_code]],customer_table!$A:$B,2,0)</f>
        <v>Electricalsara Stores</v>
      </c>
      <c r="L301" t="str">
        <f>VLOOKUP(transactions_table8[[#This Row],[customer_code]],customer_table!$A:$C,3,0)</f>
        <v>Brick &amp; Mortar</v>
      </c>
      <c r="M301">
        <f>IF(TRIM(CLEAN(transactions_table8[[#This Row],[currency]]))="USD",transactions_table8[[#This Row],[sales_amount]]*83,transactions_table8[[#This Row],[sales_amount]])</f>
        <v>76329</v>
      </c>
    </row>
    <row r="302" spans="1:13" x14ac:dyDescent="0.3">
      <c r="A302" t="s">
        <v>179</v>
      </c>
      <c r="B302" t="s">
        <v>14</v>
      </c>
      <c r="C302" t="s">
        <v>144</v>
      </c>
      <c r="D302" s="1">
        <v>43678</v>
      </c>
      <c r="E302">
        <v>5</v>
      </c>
      <c r="F302">
        <v>4542</v>
      </c>
      <c r="G302" t="s">
        <v>462</v>
      </c>
      <c r="H302" t="str">
        <f>VLOOKUP(A302, product_table!$A:$C, 3, 0)</f>
        <v>Own Brand</v>
      </c>
      <c r="I302" t="str">
        <f>VLOOKUP(transactions_table8[[#This Row],[market_code]],markets_table!$A:$B,2,0)</f>
        <v>Delhi NCR</v>
      </c>
      <c r="J302" t="str">
        <f>VLOOKUP(transactions_table8[[#This Row],[market_code]],markets_table!$A:$C,3,0)</f>
        <v>North</v>
      </c>
      <c r="K302" t="str">
        <f>VLOOKUP(transactions_table8[[#This Row],[customer_code]],customer_table!$A:$B,2,0)</f>
        <v>Electricalsara Stores</v>
      </c>
      <c r="L302" t="str">
        <f>VLOOKUP(transactions_table8[[#This Row],[customer_code]],customer_table!$A:$C,3,0)</f>
        <v>Brick &amp; Mortar</v>
      </c>
      <c r="M302">
        <f>IF(TRIM(CLEAN(transactions_table8[[#This Row],[currency]]))="USD",transactions_table8[[#This Row],[sales_amount]]*83,transactions_table8[[#This Row],[sales_amount]])</f>
        <v>4542</v>
      </c>
    </row>
    <row r="303" spans="1:13" x14ac:dyDescent="0.3">
      <c r="A303" t="s">
        <v>179</v>
      </c>
      <c r="B303" t="s">
        <v>14</v>
      </c>
      <c r="C303" t="s">
        <v>144</v>
      </c>
      <c r="D303" s="1">
        <v>43727</v>
      </c>
      <c r="E303">
        <v>18</v>
      </c>
      <c r="F303">
        <v>16579</v>
      </c>
      <c r="G303" t="s">
        <v>462</v>
      </c>
      <c r="H303" t="str">
        <f>VLOOKUP(A303, product_table!$A:$C, 3, 0)</f>
        <v>Own Brand</v>
      </c>
      <c r="I303" t="str">
        <f>VLOOKUP(transactions_table8[[#This Row],[market_code]],markets_table!$A:$B,2,0)</f>
        <v>Delhi NCR</v>
      </c>
      <c r="J303" t="str">
        <f>VLOOKUP(transactions_table8[[#This Row],[market_code]],markets_table!$A:$C,3,0)</f>
        <v>North</v>
      </c>
      <c r="K303" t="str">
        <f>VLOOKUP(transactions_table8[[#This Row],[customer_code]],customer_table!$A:$B,2,0)</f>
        <v>Electricalsara Stores</v>
      </c>
      <c r="L303" t="str">
        <f>VLOOKUP(transactions_table8[[#This Row],[customer_code]],customer_table!$A:$C,3,0)</f>
        <v>Brick &amp; Mortar</v>
      </c>
      <c r="M303">
        <f>IF(TRIM(CLEAN(transactions_table8[[#This Row],[currency]]))="USD",transactions_table8[[#This Row],[sales_amount]]*83,transactions_table8[[#This Row],[sales_amount]])</f>
        <v>16579</v>
      </c>
    </row>
    <row r="304" spans="1:13" x14ac:dyDescent="0.3">
      <c r="A304" t="s">
        <v>179</v>
      </c>
      <c r="B304" t="s">
        <v>14</v>
      </c>
      <c r="C304" t="s">
        <v>144</v>
      </c>
      <c r="D304" s="1">
        <v>43735</v>
      </c>
      <c r="E304">
        <v>90</v>
      </c>
      <c r="F304">
        <v>105301</v>
      </c>
      <c r="G304" t="s">
        <v>462</v>
      </c>
      <c r="H304" t="str">
        <f>VLOOKUP(A304, product_table!$A:$C, 3, 0)</f>
        <v>Own Brand</v>
      </c>
      <c r="I304" t="str">
        <f>VLOOKUP(transactions_table8[[#This Row],[market_code]],markets_table!$A:$B,2,0)</f>
        <v>Delhi NCR</v>
      </c>
      <c r="J304" t="str">
        <f>VLOOKUP(transactions_table8[[#This Row],[market_code]],markets_table!$A:$C,3,0)</f>
        <v>North</v>
      </c>
      <c r="K304" t="str">
        <f>VLOOKUP(transactions_table8[[#This Row],[customer_code]],customer_table!$A:$B,2,0)</f>
        <v>Electricalsara Stores</v>
      </c>
      <c r="L304" t="str">
        <f>VLOOKUP(transactions_table8[[#This Row],[customer_code]],customer_table!$A:$C,3,0)</f>
        <v>Brick &amp; Mortar</v>
      </c>
      <c r="M304">
        <f>IF(TRIM(CLEAN(transactions_table8[[#This Row],[currency]]))="USD",transactions_table8[[#This Row],[sales_amount]]*83,transactions_table8[[#This Row],[sales_amount]])</f>
        <v>105301</v>
      </c>
    </row>
    <row r="305" spans="1:13" x14ac:dyDescent="0.3">
      <c r="A305" t="s">
        <v>178</v>
      </c>
      <c r="B305" t="s">
        <v>16</v>
      </c>
      <c r="C305" t="s">
        <v>144</v>
      </c>
      <c r="D305" s="1">
        <v>43017</v>
      </c>
      <c r="E305">
        <v>1</v>
      </c>
      <c r="F305">
        <v>185</v>
      </c>
      <c r="G305" t="s">
        <v>462</v>
      </c>
      <c r="H305" t="str">
        <f>VLOOKUP(A305, product_table!$A:$C, 3, 0)</f>
        <v>Own Brand</v>
      </c>
      <c r="I305" t="str">
        <f>VLOOKUP(transactions_table8[[#This Row],[market_code]],markets_table!$A:$B,2,0)</f>
        <v>Delhi NCR</v>
      </c>
      <c r="J305" t="str">
        <f>VLOOKUP(transactions_table8[[#This Row],[market_code]],markets_table!$A:$C,3,0)</f>
        <v>North</v>
      </c>
      <c r="K305" t="str">
        <f>VLOOKUP(transactions_table8[[#This Row],[customer_code]],customer_table!$A:$B,2,0)</f>
        <v>Info Stores</v>
      </c>
      <c r="L305" t="str">
        <f>VLOOKUP(transactions_table8[[#This Row],[customer_code]],customer_table!$A:$C,3,0)</f>
        <v>Brick &amp; Mortar</v>
      </c>
      <c r="M305">
        <f>IF(TRIM(CLEAN(transactions_table8[[#This Row],[currency]]))="USD",transactions_table8[[#This Row],[sales_amount]]*83,transactions_table8[[#This Row],[sales_amount]])</f>
        <v>185</v>
      </c>
    </row>
    <row r="306" spans="1:13" x14ac:dyDescent="0.3">
      <c r="A306" t="s">
        <v>178</v>
      </c>
      <c r="B306" t="s">
        <v>16</v>
      </c>
      <c r="C306" t="s">
        <v>144</v>
      </c>
      <c r="D306" s="1">
        <v>43021</v>
      </c>
      <c r="E306">
        <v>1</v>
      </c>
      <c r="F306">
        <v>556</v>
      </c>
      <c r="G306" t="s">
        <v>462</v>
      </c>
      <c r="H306" t="str">
        <f>VLOOKUP(A306, product_table!$A:$C, 3, 0)</f>
        <v>Own Brand</v>
      </c>
      <c r="I306" t="str">
        <f>VLOOKUP(transactions_table8[[#This Row],[market_code]],markets_table!$A:$B,2,0)</f>
        <v>Delhi NCR</v>
      </c>
      <c r="J306" t="str">
        <f>VLOOKUP(transactions_table8[[#This Row],[market_code]],markets_table!$A:$C,3,0)</f>
        <v>North</v>
      </c>
      <c r="K306" t="str">
        <f>VLOOKUP(transactions_table8[[#This Row],[customer_code]],customer_table!$A:$B,2,0)</f>
        <v>Info Stores</v>
      </c>
      <c r="L306" t="str">
        <f>VLOOKUP(transactions_table8[[#This Row],[customer_code]],customer_table!$A:$C,3,0)</f>
        <v>Brick &amp; Mortar</v>
      </c>
      <c r="M306">
        <f>IF(TRIM(CLEAN(transactions_table8[[#This Row],[currency]]))="USD",transactions_table8[[#This Row],[sales_amount]]*83,transactions_table8[[#This Row],[sales_amount]])</f>
        <v>556</v>
      </c>
    </row>
    <row r="307" spans="1:13" x14ac:dyDescent="0.3">
      <c r="A307" t="s">
        <v>178</v>
      </c>
      <c r="B307" t="s">
        <v>16</v>
      </c>
      <c r="C307" t="s">
        <v>144</v>
      </c>
      <c r="D307" s="1">
        <v>43035</v>
      </c>
      <c r="E307">
        <v>1</v>
      </c>
      <c r="F307">
        <v>551</v>
      </c>
      <c r="G307" t="s">
        <v>462</v>
      </c>
      <c r="H307" t="str">
        <f>VLOOKUP(A307, product_table!$A:$C, 3, 0)</f>
        <v>Own Brand</v>
      </c>
      <c r="I307" t="str">
        <f>VLOOKUP(transactions_table8[[#This Row],[market_code]],markets_table!$A:$B,2,0)</f>
        <v>Delhi NCR</v>
      </c>
      <c r="J307" t="str">
        <f>VLOOKUP(transactions_table8[[#This Row],[market_code]],markets_table!$A:$C,3,0)</f>
        <v>North</v>
      </c>
      <c r="K307" t="str">
        <f>VLOOKUP(transactions_table8[[#This Row],[customer_code]],customer_table!$A:$B,2,0)</f>
        <v>Info Stores</v>
      </c>
      <c r="L307" t="str">
        <f>VLOOKUP(transactions_table8[[#This Row],[customer_code]],customer_table!$A:$C,3,0)</f>
        <v>Brick &amp; Mortar</v>
      </c>
      <c r="M307">
        <f>IF(TRIM(CLEAN(transactions_table8[[#This Row],[currency]]))="USD",transactions_table8[[#This Row],[sales_amount]]*83,transactions_table8[[#This Row],[sales_amount]])</f>
        <v>551</v>
      </c>
    </row>
    <row r="308" spans="1:13" x14ac:dyDescent="0.3">
      <c r="A308" t="s">
        <v>178</v>
      </c>
      <c r="B308" t="s">
        <v>16</v>
      </c>
      <c r="C308" t="s">
        <v>144</v>
      </c>
      <c r="D308" s="1">
        <v>43042</v>
      </c>
      <c r="E308">
        <v>1</v>
      </c>
      <c r="F308">
        <v>167</v>
      </c>
      <c r="G308" t="s">
        <v>462</v>
      </c>
      <c r="H308" t="str">
        <f>VLOOKUP(A308, product_table!$A:$C, 3, 0)</f>
        <v>Own Brand</v>
      </c>
      <c r="I308" t="str">
        <f>VLOOKUP(transactions_table8[[#This Row],[market_code]],markets_table!$A:$B,2,0)</f>
        <v>Delhi NCR</v>
      </c>
      <c r="J308" t="str">
        <f>VLOOKUP(transactions_table8[[#This Row],[market_code]],markets_table!$A:$C,3,0)</f>
        <v>North</v>
      </c>
      <c r="K308" t="str">
        <f>VLOOKUP(transactions_table8[[#This Row],[customer_code]],customer_table!$A:$B,2,0)</f>
        <v>Info Stores</v>
      </c>
      <c r="L308" t="str">
        <f>VLOOKUP(transactions_table8[[#This Row],[customer_code]],customer_table!$A:$C,3,0)</f>
        <v>Brick &amp; Mortar</v>
      </c>
      <c r="M308">
        <f>IF(TRIM(CLEAN(transactions_table8[[#This Row],[currency]]))="USD",transactions_table8[[#This Row],[sales_amount]]*83,transactions_table8[[#This Row],[sales_amount]])</f>
        <v>167</v>
      </c>
    </row>
    <row r="309" spans="1:13" x14ac:dyDescent="0.3">
      <c r="A309" t="s">
        <v>178</v>
      </c>
      <c r="B309" t="s">
        <v>16</v>
      </c>
      <c r="C309" t="s">
        <v>144</v>
      </c>
      <c r="D309" s="1">
        <v>43045</v>
      </c>
      <c r="E309">
        <v>1</v>
      </c>
      <c r="F309">
        <v>333</v>
      </c>
      <c r="G309" t="s">
        <v>462</v>
      </c>
      <c r="H309" t="str">
        <f>VLOOKUP(A309, product_table!$A:$C, 3, 0)</f>
        <v>Own Brand</v>
      </c>
      <c r="I309" t="str">
        <f>VLOOKUP(transactions_table8[[#This Row],[market_code]],markets_table!$A:$B,2,0)</f>
        <v>Delhi NCR</v>
      </c>
      <c r="J309" t="str">
        <f>VLOOKUP(transactions_table8[[#This Row],[market_code]],markets_table!$A:$C,3,0)</f>
        <v>North</v>
      </c>
      <c r="K309" t="str">
        <f>VLOOKUP(transactions_table8[[#This Row],[customer_code]],customer_table!$A:$B,2,0)</f>
        <v>Info Stores</v>
      </c>
      <c r="L309" t="str">
        <f>VLOOKUP(transactions_table8[[#This Row],[customer_code]],customer_table!$A:$C,3,0)</f>
        <v>Brick &amp; Mortar</v>
      </c>
      <c r="M309">
        <f>IF(TRIM(CLEAN(transactions_table8[[#This Row],[currency]]))="USD",transactions_table8[[#This Row],[sales_amount]]*83,transactions_table8[[#This Row],[sales_amount]])</f>
        <v>333</v>
      </c>
    </row>
    <row r="310" spans="1:13" x14ac:dyDescent="0.3">
      <c r="A310" t="s">
        <v>178</v>
      </c>
      <c r="B310" t="s">
        <v>16</v>
      </c>
      <c r="C310" t="s">
        <v>144</v>
      </c>
      <c r="D310" s="1">
        <v>43049</v>
      </c>
      <c r="E310">
        <v>1</v>
      </c>
      <c r="F310">
        <v>500</v>
      </c>
      <c r="G310" t="s">
        <v>462</v>
      </c>
      <c r="H310" t="str">
        <f>VLOOKUP(A310, product_table!$A:$C, 3, 0)</f>
        <v>Own Brand</v>
      </c>
      <c r="I310" t="str">
        <f>VLOOKUP(transactions_table8[[#This Row],[market_code]],markets_table!$A:$B,2,0)</f>
        <v>Delhi NCR</v>
      </c>
      <c r="J310" t="str">
        <f>VLOOKUP(transactions_table8[[#This Row],[market_code]],markets_table!$A:$C,3,0)</f>
        <v>North</v>
      </c>
      <c r="K310" t="str">
        <f>VLOOKUP(transactions_table8[[#This Row],[customer_code]],customer_table!$A:$B,2,0)</f>
        <v>Info Stores</v>
      </c>
      <c r="L310" t="str">
        <f>VLOOKUP(transactions_table8[[#This Row],[customer_code]],customer_table!$A:$C,3,0)</f>
        <v>Brick &amp; Mortar</v>
      </c>
      <c r="M310">
        <f>IF(TRIM(CLEAN(transactions_table8[[#This Row],[currency]]))="USD",transactions_table8[[#This Row],[sales_amount]]*83,transactions_table8[[#This Row],[sales_amount]])</f>
        <v>500</v>
      </c>
    </row>
    <row r="311" spans="1:13" x14ac:dyDescent="0.3">
      <c r="A311" t="s">
        <v>178</v>
      </c>
      <c r="B311" t="s">
        <v>16</v>
      </c>
      <c r="C311" t="s">
        <v>144</v>
      </c>
      <c r="D311" s="1">
        <v>43055</v>
      </c>
      <c r="E311">
        <v>1</v>
      </c>
      <c r="F311">
        <v>333</v>
      </c>
      <c r="G311" t="s">
        <v>462</v>
      </c>
      <c r="H311" t="str">
        <f>VLOOKUP(A311, product_table!$A:$C, 3, 0)</f>
        <v>Own Brand</v>
      </c>
      <c r="I311" t="str">
        <f>VLOOKUP(transactions_table8[[#This Row],[market_code]],markets_table!$A:$B,2,0)</f>
        <v>Delhi NCR</v>
      </c>
      <c r="J311" t="str">
        <f>VLOOKUP(transactions_table8[[#This Row],[market_code]],markets_table!$A:$C,3,0)</f>
        <v>North</v>
      </c>
      <c r="K311" t="str">
        <f>VLOOKUP(transactions_table8[[#This Row],[customer_code]],customer_table!$A:$B,2,0)</f>
        <v>Info Stores</v>
      </c>
      <c r="L311" t="str">
        <f>VLOOKUP(transactions_table8[[#This Row],[customer_code]],customer_table!$A:$C,3,0)</f>
        <v>Brick &amp; Mortar</v>
      </c>
      <c r="M311">
        <f>IF(TRIM(CLEAN(transactions_table8[[#This Row],[currency]]))="USD",transactions_table8[[#This Row],[sales_amount]]*83,transactions_table8[[#This Row],[sales_amount]])</f>
        <v>333</v>
      </c>
    </row>
    <row r="312" spans="1:13" x14ac:dyDescent="0.3">
      <c r="A312" t="s">
        <v>178</v>
      </c>
      <c r="B312" t="s">
        <v>16</v>
      </c>
      <c r="C312" t="s">
        <v>144</v>
      </c>
      <c r="D312" s="1">
        <v>43056</v>
      </c>
      <c r="E312">
        <v>1</v>
      </c>
      <c r="F312">
        <v>333</v>
      </c>
      <c r="G312" t="s">
        <v>462</v>
      </c>
      <c r="H312" t="str">
        <f>VLOOKUP(A312, product_table!$A:$C, 3, 0)</f>
        <v>Own Brand</v>
      </c>
      <c r="I312" t="str">
        <f>VLOOKUP(transactions_table8[[#This Row],[market_code]],markets_table!$A:$B,2,0)</f>
        <v>Delhi NCR</v>
      </c>
      <c r="J312" t="str">
        <f>VLOOKUP(transactions_table8[[#This Row],[market_code]],markets_table!$A:$C,3,0)</f>
        <v>North</v>
      </c>
      <c r="K312" t="str">
        <f>VLOOKUP(transactions_table8[[#This Row],[customer_code]],customer_table!$A:$B,2,0)</f>
        <v>Info Stores</v>
      </c>
      <c r="L312" t="str">
        <f>VLOOKUP(transactions_table8[[#This Row],[customer_code]],customer_table!$A:$C,3,0)</f>
        <v>Brick &amp; Mortar</v>
      </c>
      <c r="M312">
        <f>IF(TRIM(CLEAN(transactions_table8[[#This Row],[currency]]))="USD",transactions_table8[[#This Row],[sales_amount]]*83,transactions_table8[[#This Row],[sales_amount]])</f>
        <v>333</v>
      </c>
    </row>
    <row r="313" spans="1:13" x14ac:dyDescent="0.3">
      <c r="A313" t="s">
        <v>178</v>
      </c>
      <c r="B313" t="s">
        <v>16</v>
      </c>
      <c r="C313" t="s">
        <v>144</v>
      </c>
      <c r="D313" s="1">
        <v>43066</v>
      </c>
      <c r="E313">
        <v>1</v>
      </c>
      <c r="F313">
        <v>500</v>
      </c>
      <c r="G313" t="s">
        <v>462</v>
      </c>
      <c r="H313" t="str">
        <f>VLOOKUP(A313, product_table!$A:$C, 3, 0)</f>
        <v>Own Brand</v>
      </c>
      <c r="I313" t="str">
        <f>VLOOKUP(transactions_table8[[#This Row],[market_code]],markets_table!$A:$B,2,0)</f>
        <v>Delhi NCR</v>
      </c>
      <c r="J313" t="str">
        <f>VLOOKUP(transactions_table8[[#This Row],[market_code]],markets_table!$A:$C,3,0)</f>
        <v>North</v>
      </c>
      <c r="K313" t="str">
        <f>VLOOKUP(transactions_table8[[#This Row],[customer_code]],customer_table!$A:$B,2,0)</f>
        <v>Info Stores</v>
      </c>
      <c r="L313" t="str">
        <f>VLOOKUP(transactions_table8[[#This Row],[customer_code]],customer_table!$A:$C,3,0)</f>
        <v>Brick &amp; Mortar</v>
      </c>
      <c r="M313">
        <f>IF(TRIM(CLEAN(transactions_table8[[#This Row],[currency]]))="USD",transactions_table8[[#This Row],[sales_amount]]*83,transactions_table8[[#This Row],[sales_amount]])</f>
        <v>500</v>
      </c>
    </row>
    <row r="314" spans="1:13" x14ac:dyDescent="0.3">
      <c r="A314" t="s">
        <v>178</v>
      </c>
      <c r="B314" t="s">
        <v>16</v>
      </c>
      <c r="C314" t="s">
        <v>144</v>
      </c>
      <c r="D314" s="1">
        <v>43073</v>
      </c>
      <c r="E314">
        <v>1</v>
      </c>
      <c r="F314">
        <v>833</v>
      </c>
      <c r="G314" t="s">
        <v>462</v>
      </c>
      <c r="H314" t="str">
        <f>VLOOKUP(A314, product_table!$A:$C, 3, 0)</f>
        <v>Own Brand</v>
      </c>
      <c r="I314" t="str">
        <f>VLOOKUP(transactions_table8[[#This Row],[market_code]],markets_table!$A:$B,2,0)</f>
        <v>Delhi NCR</v>
      </c>
      <c r="J314" t="str">
        <f>VLOOKUP(transactions_table8[[#This Row],[market_code]],markets_table!$A:$C,3,0)</f>
        <v>North</v>
      </c>
      <c r="K314" t="str">
        <f>VLOOKUP(transactions_table8[[#This Row],[customer_code]],customer_table!$A:$B,2,0)</f>
        <v>Info Stores</v>
      </c>
      <c r="L314" t="str">
        <f>VLOOKUP(transactions_table8[[#This Row],[customer_code]],customer_table!$A:$C,3,0)</f>
        <v>Brick &amp; Mortar</v>
      </c>
      <c r="M314">
        <f>IF(TRIM(CLEAN(transactions_table8[[#This Row],[currency]]))="USD",transactions_table8[[#This Row],[sales_amount]]*83,transactions_table8[[#This Row],[sales_amount]])</f>
        <v>833</v>
      </c>
    </row>
    <row r="315" spans="1:13" x14ac:dyDescent="0.3">
      <c r="A315" t="s">
        <v>178</v>
      </c>
      <c r="B315" t="s">
        <v>16</v>
      </c>
      <c r="C315" t="s">
        <v>144</v>
      </c>
      <c r="D315" s="1">
        <v>43077</v>
      </c>
      <c r="E315">
        <v>1</v>
      </c>
      <c r="F315">
        <v>167</v>
      </c>
      <c r="G315" t="s">
        <v>462</v>
      </c>
      <c r="H315" t="str">
        <f>VLOOKUP(A315, product_table!$A:$C, 3, 0)</f>
        <v>Own Brand</v>
      </c>
      <c r="I315" t="str">
        <f>VLOOKUP(transactions_table8[[#This Row],[market_code]],markets_table!$A:$B,2,0)</f>
        <v>Delhi NCR</v>
      </c>
      <c r="J315" t="str">
        <f>VLOOKUP(transactions_table8[[#This Row],[market_code]],markets_table!$A:$C,3,0)</f>
        <v>North</v>
      </c>
      <c r="K315" t="str">
        <f>VLOOKUP(transactions_table8[[#This Row],[customer_code]],customer_table!$A:$B,2,0)</f>
        <v>Info Stores</v>
      </c>
      <c r="L315" t="str">
        <f>VLOOKUP(transactions_table8[[#This Row],[customer_code]],customer_table!$A:$C,3,0)</f>
        <v>Brick &amp; Mortar</v>
      </c>
      <c r="M315">
        <f>IF(TRIM(CLEAN(transactions_table8[[#This Row],[currency]]))="USD",transactions_table8[[#This Row],[sales_amount]]*83,transactions_table8[[#This Row],[sales_amount]])</f>
        <v>167</v>
      </c>
    </row>
    <row r="316" spans="1:13" x14ac:dyDescent="0.3">
      <c r="A316" t="s">
        <v>178</v>
      </c>
      <c r="B316" t="s">
        <v>16</v>
      </c>
      <c r="C316" t="s">
        <v>144</v>
      </c>
      <c r="D316" s="1">
        <v>43080</v>
      </c>
      <c r="E316">
        <v>1</v>
      </c>
      <c r="F316">
        <v>833</v>
      </c>
      <c r="G316" t="s">
        <v>462</v>
      </c>
      <c r="H316" t="str">
        <f>VLOOKUP(A316, product_table!$A:$C, 3, 0)</f>
        <v>Own Brand</v>
      </c>
      <c r="I316" t="str">
        <f>VLOOKUP(transactions_table8[[#This Row],[market_code]],markets_table!$A:$B,2,0)</f>
        <v>Delhi NCR</v>
      </c>
      <c r="J316" t="str">
        <f>VLOOKUP(transactions_table8[[#This Row],[market_code]],markets_table!$A:$C,3,0)</f>
        <v>North</v>
      </c>
      <c r="K316" t="str">
        <f>VLOOKUP(transactions_table8[[#This Row],[customer_code]],customer_table!$A:$B,2,0)</f>
        <v>Info Stores</v>
      </c>
      <c r="L316" t="str">
        <f>VLOOKUP(transactions_table8[[#This Row],[customer_code]],customer_table!$A:$C,3,0)</f>
        <v>Brick &amp; Mortar</v>
      </c>
      <c r="M316">
        <f>IF(TRIM(CLEAN(transactions_table8[[#This Row],[currency]]))="USD",transactions_table8[[#This Row],[sales_amount]]*83,transactions_table8[[#This Row],[sales_amount]])</f>
        <v>833</v>
      </c>
    </row>
    <row r="317" spans="1:13" x14ac:dyDescent="0.3">
      <c r="A317" t="s">
        <v>178</v>
      </c>
      <c r="B317" t="s">
        <v>16</v>
      </c>
      <c r="C317" t="s">
        <v>144</v>
      </c>
      <c r="D317" s="1">
        <v>43087</v>
      </c>
      <c r="E317">
        <v>1</v>
      </c>
      <c r="F317">
        <v>1000</v>
      </c>
      <c r="G317" t="s">
        <v>462</v>
      </c>
      <c r="H317" t="str">
        <f>VLOOKUP(A317, product_table!$A:$C, 3, 0)</f>
        <v>Own Brand</v>
      </c>
      <c r="I317" t="str">
        <f>VLOOKUP(transactions_table8[[#This Row],[market_code]],markets_table!$A:$B,2,0)</f>
        <v>Delhi NCR</v>
      </c>
      <c r="J317" t="str">
        <f>VLOOKUP(transactions_table8[[#This Row],[market_code]],markets_table!$A:$C,3,0)</f>
        <v>North</v>
      </c>
      <c r="K317" t="str">
        <f>VLOOKUP(transactions_table8[[#This Row],[customer_code]],customer_table!$A:$B,2,0)</f>
        <v>Info Stores</v>
      </c>
      <c r="L317" t="str">
        <f>VLOOKUP(transactions_table8[[#This Row],[customer_code]],customer_table!$A:$C,3,0)</f>
        <v>Brick &amp; Mortar</v>
      </c>
      <c r="M317">
        <f>IF(TRIM(CLEAN(transactions_table8[[#This Row],[currency]]))="USD",transactions_table8[[#This Row],[sales_amount]]*83,transactions_table8[[#This Row],[sales_amount]])</f>
        <v>1000</v>
      </c>
    </row>
    <row r="318" spans="1:13" x14ac:dyDescent="0.3">
      <c r="A318" t="s">
        <v>178</v>
      </c>
      <c r="B318" t="s">
        <v>16</v>
      </c>
      <c r="C318" t="s">
        <v>144</v>
      </c>
      <c r="D318" s="1">
        <v>43096</v>
      </c>
      <c r="E318">
        <v>2</v>
      </c>
      <c r="F318">
        <v>1833</v>
      </c>
      <c r="G318" t="s">
        <v>462</v>
      </c>
      <c r="H318" t="str">
        <f>VLOOKUP(A318, product_table!$A:$C, 3, 0)</f>
        <v>Own Brand</v>
      </c>
      <c r="I318" t="str">
        <f>VLOOKUP(transactions_table8[[#This Row],[market_code]],markets_table!$A:$B,2,0)</f>
        <v>Delhi NCR</v>
      </c>
      <c r="J318" t="str">
        <f>VLOOKUP(transactions_table8[[#This Row],[market_code]],markets_table!$A:$C,3,0)</f>
        <v>North</v>
      </c>
      <c r="K318" t="str">
        <f>VLOOKUP(transactions_table8[[#This Row],[customer_code]],customer_table!$A:$B,2,0)</f>
        <v>Info Stores</v>
      </c>
      <c r="L318" t="str">
        <f>VLOOKUP(transactions_table8[[#This Row],[customer_code]],customer_table!$A:$C,3,0)</f>
        <v>Brick &amp; Mortar</v>
      </c>
      <c r="M318">
        <f>IF(TRIM(CLEAN(transactions_table8[[#This Row],[currency]]))="USD",transactions_table8[[#This Row],[sales_amount]]*83,transactions_table8[[#This Row],[sales_amount]])</f>
        <v>1833</v>
      </c>
    </row>
    <row r="319" spans="1:13" x14ac:dyDescent="0.3">
      <c r="A319" t="s">
        <v>178</v>
      </c>
      <c r="B319" t="s">
        <v>16</v>
      </c>
      <c r="C319" t="s">
        <v>144</v>
      </c>
      <c r="D319" s="1">
        <v>43097</v>
      </c>
      <c r="E319">
        <v>1</v>
      </c>
      <c r="F319">
        <v>167</v>
      </c>
      <c r="G319" t="s">
        <v>462</v>
      </c>
      <c r="H319" t="str">
        <f>VLOOKUP(A319, product_table!$A:$C, 3, 0)</f>
        <v>Own Brand</v>
      </c>
      <c r="I319" t="str">
        <f>VLOOKUP(transactions_table8[[#This Row],[market_code]],markets_table!$A:$B,2,0)</f>
        <v>Delhi NCR</v>
      </c>
      <c r="J319" t="str">
        <f>VLOOKUP(transactions_table8[[#This Row],[market_code]],markets_table!$A:$C,3,0)</f>
        <v>North</v>
      </c>
      <c r="K319" t="str">
        <f>VLOOKUP(transactions_table8[[#This Row],[customer_code]],customer_table!$A:$B,2,0)</f>
        <v>Info Stores</v>
      </c>
      <c r="L319" t="str">
        <f>VLOOKUP(transactions_table8[[#This Row],[customer_code]],customer_table!$A:$C,3,0)</f>
        <v>Brick &amp; Mortar</v>
      </c>
      <c r="M319">
        <f>IF(TRIM(CLEAN(transactions_table8[[#This Row],[currency]]))="USD",transactions_table8[[#This Row],[sales_amount]]*83,transactions_table8[[#This Row],[sales_amount]])</f>
        <v>167</v>
      </c>
    </row>
    <row r="320" spans="1:13" x14ac:dyDescent="0.3">
      <c r="A320" t="s">
        <v>178</v>
      </c>
      <c r="B320" t="s">
        <v>16</v>
      </c>
      <c r="C320" t="s">
        <v>144</v>
      </c>
      <c r="D320" s="1">
        <v>43105</v>
      </c>
      <c r="E320">
        <v>1</v>
      </c>
      <c r="F320">
        <v>167</v>
      </c>
      <c r="G320" t="s">
        <v>462</v>
      </c>
      <c r="H320" t="str">
        <f>VLOOKUP(A320, product_table!$A:$C, 3, 0)</f>
        <v>Own Brand</v>
      </c>
      <c r="I320" t="str">
        <f>VLOOKUP(transactions_table8[[#This Row],[market_code]],markets_table!$A:$B,2,0)</f>
        <v>Delhi NCR</v>
      </c>
      <c r="J320" t="str">
        <f>VLOOKUP(transactions_table8[[#This Row],[market_code]],markets_table!$A:$C,3,0)</f>
        <v>North</v>
      </c>
      <c r="K320" t="str">
        <f>VLOOKUP(transactions_table8[[#This Row],[customer_code]],customer_table!$A:$B,2,0)</f>
        <v>Info Stores</v>
      </c>
      <c r="L320" t="str">
        <f>VLOOKUP(transactions_table8[[#This Row],[customer_code]],customer_table!$A:$C,3,0)</f>
        <v>Brick &amp; Mortar</v>
      </c>
      <c r="M320">
        <f>IF(TRIM(CLEAN(transactions_table8[[#This Row],[currency]]))="USD",transactions_table8[[#This Row],[sales_amount]]*83,transactions_table8[[#This Row],[sales_amount]])</f>
        <v>167</v>
      </c>
    </row>
    <row r="321" spans="1:13" x14ac:dyDescent="0.3">
      <c r="A321" t="s">
        <v>178</v>
      </c>
      <c r="B321" t="s">
        <v>16</v>
      </c>
      <c r="C321" t="s">
        <v>144</v>
      </c>
      <c r="D321" s="1">
        <v>43108</v>
      </c>
      <c r="E321">
        <v>1</v>
      </c>
      <c r="F321">
        <v>833</v>
      </c>
      <c r="G321" t="s">
        <v>462</v>
      </c>
      <c r="H321" t="str">
        <f>VLOOKUP(A321, product_table!$A:$C, 3, 0)</f>
        <v>Own Brand</v>
      </c>
      <c r="I321" t="str">
        <f>VLOOKUP(transactions_table8[[#This Row],[market_code]],markets_table!$A:$B,2,0)</f>
        <v>Delhi NCR</v>
      </c>
      <c r="J321" t="str">
        <f>VLOOKUP(transactions_table8[[#This Row],[market_code]],markets_table!$A:$C,3,0)</f>
        <v>North</v>
      </c>
      <c r="K321" t="str">
        <f>VLOOKUP(transactions_table8[[#This Row],[customer_code]],customer_table!$A:$B,2,0)</f>
        <v>Info Stores</v>
      </c>
      <c r="L321" t="str">
        <f>VLOOKUP(transactions_table8[[#This Row],[customer_code]],customer_table!$A:$C,3,0)</f>
        <v>Brick &amp; Mortar</v>
      </c>
      <c r="M321">
        <f>IF(TRIM(CLEAN(transactions_table8[[#This Row],[currency]]))="USD",transactions_table8[[#This Row],[sales_amount]]*83,transactions_table8[[#This Row],[sales_amount]])</f>
        <v>833</v>
      </c>
    </row>
    <row r="322" spans="1:13" x14ac:dyDescent="0.3">
      <c r="A322" t="s">
        <v>178</v>
      </c>
      <c r="B322" t="s">
        <v>16</v>
      </c>
      <c r="C322" t="s">
        <v>144</v>
      </c>
      <c r="D322" s="1">
        <v>43122</v>
      </c>
      <c r="E322">
        <v>1</v>
      </c>
      <c r="F322">
        <v>167</v>
      </c>
      <c r="G322" t="s">
        <v>462</v>
      </c>
      <c r="H322" t="str">
        <f>VLOOKUP(A322, product_table!$A:$C, 3, 0)</f>
        <v>Own Brand</v>
      </c>
      <c r="I322" t="str">
        <f>VLOOKUP(transactions_table8[[#This Row],[market_code]],markets_table!$A:$B,2,0)</f>
        <v>Delhi NCR</v>
      </c>
      <c r="J322" t="str">
        <f>VLOOKUP(transactions_table8[[#This Row],[market_code]],markets_table!$A:$C,3,0)</f>
        <v>North</v>
      </c>
      <c r="K322" t="str">
        <f>VLOOKUP(transactions_table8[[#This Row],[customer_code]],customer_table!$A:$B,2,0)</f>
        <v>Info Stores</v>
      </c>
      <c r="L322" t="str">
        <f>VLOOKUP(transactions_table8[[#This Row],[customer_code]],customer_table!$A:$C,3,0)</f>
        <v>Brick &amp; Mortar</v>
      </c>
      <c r="M322">
        <f>IF(TRIM(CLEAN(transactions_table8[[#This Row],[currency]]))="USD",transactions_table8[[#This Row],[sales_amount]]*83,transactions_table8[[#This Row],[sales_amount]])</f>
        <v>167</v>
      </c>
    </row>
    <row r="323" spans="1:13" x14ac:dyDescent="0.3">
      <c r="A323" t="s">
        <v>178</v>
      </c>
      <c r="B323" t="s">
        <v>16</v>
      </c>
      <c r="C323" t="s">
        <v>144</v>
      </c>
      <c r="D323" s="1">
        <v>43152</v>
      </c>
      <c r="E323">
        <v>26</v>
      </c>
      <c r="F323">
        <v>10657</v>
      </c>
      <c r="G323" t="s">
        <v>462</v>
      </c>
      <c r="H323" t="str">
        <f>VLOOKUP(A323, product_table!$A:$C, 3, 0)</f>
        <v>Own Brand</v>
      </c>
      <c r="I323" t="str">
        <f>VLOOKUP(transactions_table8[[#This Row],[market_code]],markets_table!$A:$B,2,0)</f>
        <v>Delhi NCR</v>
      </c>
      <c r="J323" t="str">
        <f>VLOOKUP(transactions_table8[[#This Row],[market_code]],markets_table!$A:$C,3,0)</f>
        <v>North</v>
      </c>
      <c r="K323" t="str">
        <f>VLOOKUP(transactions_table8[[#This Row],[customer_code]],customer_table!$A:$B,2,0)</f>
        <v>Info Stores</v>
      </c>
      <c r="L323" t="str">
        <f>VLOOKUP(transactions_table8[[#This Row],[customer_code]],customer_table!$A:$C,3,0)</f>
        <v>Brick &amp; Mortar</v>
      </c>
      <c r="M323">
        <f>IF(TRIM(CLEAN(transactions_table8[[#This Row],[currency]]))="USD",transactions_table8[[#This Row],[sales_amount]]*83,transactions_table8[[#This Row],[sales_amount]])</f>
        <v>10657</v>
      </c>
    </row>
    <row r="324" spans="1:13" x14ac:dyDescent="0.3">
      <c r="A324" t="s">
        <v>178</v>
      </c>
      <c r="B324" t="s">
        <v>16</v>
      </c>
      <c r="C324" t="s">
        <v>144</v>
      </c>
      <c r="D324" s="1">
        <v>43154</v>
      </c>
      <c r="E324">
        <v>1</v>
      </c>
      <c r="F324">
        <v>167</v>
      </c>
      <c r="G324" t="s">
        <v>462</v>
      </c>
      <c r="H324" t="str">
        <f>VLOOKUP(A324, product_table!$A:$C, 3, 0)</f>
        <v>Own Brand</v>
      </c>
      <c r="I324" t="str">
        <f>VLOOKUP(transactions_table8[[#This Row],[market_code]],markets_table!$A:$B,2,0)</f>
        <v>Delhi NCR</v>
      </c>
      <c r="J324" t="str">
        <f>VLOOKUP(transactions_table8[[#This Row],[market_code]],markets_table!$A:$C,3,0)</f>
        <v>North</v>
      </c>
      <c r="K324" t="str">
        <f>VLOOKUP(transactions_table8[[#This Row],[customer_code]],customer_table!$A:$B,2,0)</f>
        <v>Info Stores</v>
      </c>
      <c r="L324" t="str">
        <f>VLOOKUP(transactions_table8[[#This Row],[customer_code]],customer_table!$A:$C,3,0)</f>
        <v>Brick &amp; Mortar</v>
      </c>
      <c r="M324">
        <f>IF(TRIM(CLEAN(transactions_table8[[#This Row],[currency]]))="USD",transactions_table8[[#This Row],[sales_amount]]*83,transactions_table8[[#This Row],[sales_amount]])</f>
        <v>167</v>
      </c>
    </row>
    <row r="325" spans="1:13" x14ac:dyDescent="0.3">
      <c r="A325" t="s">
        <v>179</v>
      </c>
      <c r="B325" t="s">
        <v>16</v>
      </c>
      <c r="C325" t="s">
        <v>144</v>
      </c>
      <c r="D325" s="1">
        <v>43315</v>
      </c>
      <c r="E325">
        <v>1</v>
      </c>
      <c r="F325">
        <v>157</v>
      </c>
      <c r="G325" t="s">
        <v>462</v>
      </c>
      <c r="H325" t="str">
        <f>VLOOKUP(A325, product_table!$A:$C, 3, 0)</f>
        <v>Own Brand</v>
      </c>
      <c r="I325" t="str">
        <f>VLOOKUP(transactions_table8[[#This Row],[market_code]],markets_table!$A:$B,2,0)</f>
        <v>Delhi NCR</v>
      </c>
      <c r="J325" t="str">
        <f>VLOOKUP(transactions_table8[[#This Row],[market_code]],markets_table!$A:$C,3,0)</f>
        <v>North</v>
      </c>
      <c r="K325" t="str">
        <f>VLOOKUP(transactions_table8[[#This Row],[customer_code]],customer_table!$A:$B,2,0)</f>
        <v>Info Stores</v>
      </c>
      <c r="L325" t="str">
        <f>VLOOKUP(transactions_table8[[#This Row],[customer_code]],customer_table!$A:$C,3,0)</f>
        <v>Brick &amp; Mortar</v>
      </c>
      <c r="M325">
        <f>IF(TRIM(CLEAN(transactions_table8[[#This Row],[currency]]))="USD",transactions_table8[[#This Row],[sales_amount]]*83,transactions_table8[[#This Row],[sales_amount]])</f>
        <v>157</v>
      </c>
    </row>
    <row r="326" spans="1:13" x14ac:dyDescent="0.3">
      <c r="A326" t="s">
        <v>179</v>
      </c>
      <c r="B326" t="s">
        <v>16</v>
      </c>
      <c r="C326" t="s">
        <v>144</v>
      </c>
      <c r="D326" s="1">
        <v>43336</v>
      </c>
      <c r="E326">
        <v>1</v>
      </c>
      <c r="F326">
        <v>315</v>
      </c>
      <c r="G326" t="s">
        <v>462</v>
      </c>
      <c r="H326" t="str">
        <f>VLOOKUP(A326, product_table!$A:$C, 3, 0)</f>
        <v>Own Brand</v>
      </c>
      <c r="I326" t="str">
        <f>VLOOKUP(transactions_table8[[#This Row],[market_code]],markets_table!$A:$B,2,0)</f>
        <v>Delhi NCR</v>
      </c>
      <c r="J326" t="str">
        <f>VLOOKUP(transactions_table8[[#This Row],[market_code]],markets_table!$A:$C,3,0)</f>
        <v>North</v>
      </c>
      <c r="K326" t="str">
        <f>VLOOKUP(transactions_table8[[#This Row],[customer_code]],customer_table!$A:$B,2,0)</f>
        <v>Info Stores</v>
      </c>
      <c r="L326" t="str">
        <f>VLOOKUP(transactions_table8[[#This Row],[customer_code]],customer_table!$A:$C,3,0)</f>
        <v>Brick &amp; Mortar</v>
      </c>
      <c r="M326">
        <f>IF(TRIM(CLEAN(transactions_table8[[#This Row],[currency]]))="USD",transactions_table8[[#This Row],[sales_amount]]*83,transactions_table8[[#This Row],[sales_amount]])</f>
        <v>315</v>
      </c>
    </row>
    <row r="327" spans="1:13" x14ac:dyDescent="0.3">
      <c r="A327" t="s">
        <v>179</v>
      </c>
      <c r="B327" t="s">
        <v>16</v>
      </c>
      <c r="C327" t="s">
        <v>144</v>
      </c>
      <c r="D327" s="1">
        <v>43364</v>
      </c>
      <c r="E327">
        <v>1</v>
      </c>
      <c r="F327">
        <v>630</v>
      </c>
      <c r="G327" t="s">
        <v>462</v>
      </c>
      <c r="H327" t="str">
        <f>VLOOKUP(A327, product_table!$A:$C, 3, 0)</f>
        <v>Own Brand</v>
      </c>
      <c r="I327" t="str">
        <f>VLOOKUP(transactions_table8[[#This Row],[market_code]],markets_table!$A:$B,2,0)</f>
        <v>Delhi NCR</v>
      </c>
      <c r="J327" t="str">
        <f>VLOOKUP(transactions_table8[[#This Row],[market_code]],markets_table!$A:$C,3,0)</f>
        <v>North</v>
      </c>
      <c r="K327" t="str">
        <f>VLOOKUP(transactions_table8[[#This Row],[customer_code]],customer_table!$A:$B,2,0)</f>
        <v>Info Stores</v>
      </c>
      <c r="L327" t="str">
        <f>VLOOKUP(transactions_table8[[#This Row],[customer_code]],customer_table!$A:$C,3,0)</f>
        <v>Brick &amp; Mortar</v>
      </c>
      <c r="M327">
        <f>IF(TRIM(CLEAN(transactions_table8[[#This Row],[currency]]))="USD",transactions_table8[[#This Row],[sales_amount]]*83,transactions_table8[[#This Row],[sales_amount]])</f>
        <v>630</v>
      </c>
    </row>
    <row r="328" spans="1:13" x14ac:dyDescent="0.3">
      <c r="A328" t="s">
        <v>179</v>
      </c>
      <c r="B328" t="s">
        <v>16</v>
      </c>
      <c r="C328" t="s">
        <v>144</v>
      </c>
      <c r="D328" s="1">
        <v>43371</v>
      </c>
      <c r="E328">
        <v>1</v>
      </c>
      <c r="F328">
        <v>315</v>
      </c>
      <c r="G328" t="s">
        <v>462</v>
      </c>
      <c r="H328" t="str">
        <f>VLOOKUP(A328, product_table!$A:$C, 3, 0)</f>
        <v>Own Brand</v>
      </c>
      <c r="I328" t="str">
        <f>VLOOKUP(transactions_table8[[#This Row],[market_code]],markets_table!$A:$B,2,0)</f>
        <v>Delhi NCR</v>
      </c>
      <c r="J328" t="str">
        <f>VLOOKUP(transactions_table8[[#This Row],[market_code]],markets_table!$A:$C,3,0)</f>
        <v>North</v>
      </c>
      <c r="K328" t="str">
        <f>VLOOKUP(transactions_table8[[#This Row],[customer_code]],customer_table!$A:$B,2,0)</f>
        <v>Info Stores</v>
      </c>
      <c r="L328" t="str">
        <f>VLOOKUP(transactions_table8[[#This Row],[customer_code]],customer_table!$A:$C,3,0)</f>
        <v>Brick &amp; Mortar</v>
      </c>
      <c r="M328">
        <f>IF(TRIM(CLEAN(transactions_table8[[#This Row],[currency]]))="USD",transactions_table8[[#This Row],[sales_amount]]*83,transactions_table8[[#This Row],[sales_amount]])</f>
        <v>315</v>
      </c>
    </row>
    <row r="329" spans="1:13" x14ac:dyDescent="0.3">
      <c r="A329" t="s">
        <v>179</v>
      </c>
      <c r="B329" t="s">
        <v>16</v>
      </c>
      <c r="C329" t="s">
        <v>144</v>
      </c>
      <c r="D329" s="1">
        <v>43413</v>
      </c>
      <c r="E329">
        <v>1</v>
      </c>
      <c r="F329">
        <v>157</v>
      </c>
      <c r="G329" t="s">
        <v>462</v>
      </c>
      <c r="H329" t="str">
        <f>VLOOKUP(A329, product_table!$A:$C, 3, 0)</f>
        <v>Own Brand</v>
      </c>
      <c r="I329" t="str">
        <f>VLOOKUP(transactions_table8[[#This Row],[market_code]],markets_table!$A:$B,2,0)</f>
        <v>Delhi NCR</v>
      </c>
      <c r="J329" t="str">
        <f>VLOOKUP(transactions_table8[[#This Row],[market_code]],markets_table!$A:$C,3,0)</f>
        <v>North</v>
      </c>
      <c r="K329" t="str">
        <f>VLOOKUP(transactions_table8[[#This Row],[customer_code]],customer_table!$A:$B,2,0)</f>
        <v>Info Stores</v>
      </c>
      <c r="L329" t="str">
        <f>VLOOKUP(transactions_table8[[#This Row],[customer_code]],customer_table!$A:$C,3,0)</f>
        <v>Brick &amp; Mortar</v>
      </c>
      <c r="M329">
        <f>IF(TRIM(CLEAN(transactions_table8[[#This Row],[currency]]))="USD",transactions_table8[[#This Row],[sales_amount]]*83,transactions_table8[[#This Row],[sales_amount]])</f>
        <v>157</v>
      </c>
    </row>
    <row r="330" spans="1:13" x14ac:dyDescent="0.3">
      <c r="A330" t="s">
        <v>179</v>
      </c>
      <c r="B330" t="s">
        <v>16</v>
      </c>
      <c r="C330" t="s">
        <v>144</v>
      </c>
      <c r="D330" s="1">
        <v>43420</v>
      </c>
      <c r="E330">
        <v>1</v>
      </c>
      <c r="F330">
        <v>472</v>
      </c>
      <c r="G330" t="s">
        <v>462</v>
      </c>
      <c r="H330" t="str">
        <f>VLOOKUP(A330, product_table!$A:$C, 3, 0)</f>
        <v>Own Brand</v>
      </c>
      <c r="I330" t="str">
        <f>VLOOKUP(transactions_table8[[#This Row],[market_code]],markets_table!$A:$B,2,0)</f>
        <v>Delhi NCR</v>
      </c>
      <c r="J330" t="str">
        <f>VLOOKUP(transactions_table8[[#This Row],[market_code]],markets_table!$A:$C,3,0)</f>
        <v>North</v>
      </c>
      <c r="K330" t="str">
        <f>VLOOKUP(transactions_table8[[#This Row],[customer_code]],customer_table!$A:$B,2,0)</f>
        <v>Info Stores</v>
      </c>
      <c r="L330" t="str">
        <f>VLOOKUP(transactions_table8[[#This Row],[customer_code]],customer_table!$A:$C,3,0)</f>
        <v>Brick &amp; Mortar</v>
      </c>
      <c r="M330">
        <f>IF(TRIM(CLEAN(transactions_table8[[#This Row],[currency]]))="USD",transactions_table8[[#This Row],[sales_amount]]*83,transactions_table8[[#This Row],[sales_amount]])</f>
        <v>472</v>
      </c>
    </row>
    <row r="331" spans="1:13" x14ac:dyDescent="0.3">
      <c r="A331" t="s">
        <v>179</v>
      </c>
      <c r="B331" t="s">
        <v>16</v>
      </c>
      <c r="C331" t="s">
        <v>144</v>
      </c>
      <c r="D331" s="1">
        <v>43441</v>
      </c>
      <c r="E331">
        <v>1</v>
      </c>
      <c r="F331">
        <v>157</v>
      </c>
      <c r="G331" t="s">
        <v>462</v>
      </c>
      <c r="H331" t="str">
        <f>VLOOKUP(A331, product_table!$A:$C, 3, 0)</f>
        <v>Own Brand</v>
      </c>
      <c r="I331" t="str">
        <f>VLOOKUP(transactions_table8[[#This Row],[market_code]],markets_table!$A:$B,2,0)</f>
        <v>Delhi NCR</v>
      </c>
      <c r="J331" t="str">
        <f>VLOOKUP(transactions_table8[[#This Row],[market_code]],markets_table!$A:$C,3,0)</f>
        <v>North</v>
      </c>
      <c r="K331" t="str">
        <f>VLOOKUP(transactions_table8[[#This Row],[customer_code]],customer_table!$A:$B,2,0)</f>
        <v>Info Stores</v>
      </c>
      <c r="L331" t="str">
        <f>VLOOKUP(transactions_table8[[#This Row],[customer_code]],customer_table!$A:$C,3,0)</f>
        <v>Brick &amp; Mortar</v>
      </c>
      <c r="M331">
        <f>IF(TRIM(CLEAN(transactions_table8[[#This Row],[currency]]))="USD",transactions_table8[[#This Row],[sales_amount]]*83,transactions_table8[[#This Row],[sales_amount]])</f>
        <v>157</v>
      </c>
    </row>
    <row r="332" spans="1:13" x14ac:dyDescent="0.3">
      <c r="A332" t="s">
        <v>179</v>
      </c>
      <c r="B332" t="s">
        <v>16</v>
      </c>
      <c r="C332" t="s">
        <v>144</v>
      </c>
      <c r="D332" s="1">
        <v>43448</v>
      </c>
      <c r="E332">
        <v>1</v>
      </c>
      <c r="F332">
        <v>157</v>
      </c>
      <c r="G332" t="s">
        <v>462</v>
      </c>
      <c r="H332" t="str">
        <f>VLOOKUP(A332, product_table!$A:$C, 3, 0)</f>
        <v>Own Brand</v>
      </c>
      <c r="I332" t="str">
        <f>VLOOKUP(transactions_table8[[#This Row],[market_code]],markets_table!$A:$B,2,0)</f>
        <v>Delhi NCR</v>
      </c>
      <c r="J332" t="str">
        <f>VLOOKUP(transactions_table8[[#This Row],[market_code]],markets_table!$A:$C,3,0)</f>
        <v>North</v>
      </c>
      <c r="K332" t="str">
        <f>VLOOKUP(transactions_table8[[#This Row],[customer_code]],customer_table!$A:$B,2,0)</f>
        <v>Info Stores</v>
      </c>
      <c r="L332" t="str">
        <f>VLOOKUP(transactions_table8[[#This Row],[customer_code]],customer_table!$A:$C,3,0)</f>
        <v>Brick &amp; Mortar</v>
      </c>
      <c r="M332">
        <f>IF(TRIM(CLEAN(transactions_table8[[#This Row],[currency]]))="USD",transactions_table8[[#This Row],[sales_amount]]*83,transactions_table8[[#This Row],[sales_amount]])</f>
        <v>157</v>
      </c>
    </row>
    <row r="333" spans="1:13" x14ac:dyDescent="0.3">
      <c r="A333" t="s">
        <v>179</v>
      </c>
      <c r="B333" t="s">
        <v>16</v>
      </c>
      <c r="C333" t="s">
        <v>144</v>
      </c>
      <c r="D333" s="1">
        <v>43490</v>
      </c>
      <c r="E333">
        <v>1</v>
      </c>
      <c r="F333">
        <v>315</v>
      </c>
      <c r="G333" t="s">
        <v>462</v>
      </c>
      <c r="H333" t="str">
        <f>VLOOKUP(A333, product_table!$A:$C, 3, 0)</f>
        <v>Own Brand</v>
      </c>
      <c r="I333" t="str">
        <f>VLOOKUP(transactions_table8[[#This Row],[market_code]],markets_table!$A:$B,2,0)</f>
        <v>Delhi NCR</v>
      </c>
      <c r="J333" t="str">
        <f>VLOOKUP(transactions_table8[[#This Row],[market_code]],markets_table!$A:$C,3,0)</f>
        <v>North</v>
      </c>
      <c r="K333" t="str">
        <f>VLOOKUP(transactions_table8[[#This Row],[customer_code]],customer_table!$A:$B,2,0)</f>
        <v>Info Stores</v>
      </c>
      <c r="L333" t="str">
        <f>VLOOKUP(transactions_table8[[#This Row],[customer_code]],customer_table!$A:$C,3,0)</f>
        <v>Brick &amp; Mortar</v>
      </c>
      <c r="M333">
        <f>IF(TRIM(CLEAN(transactions_table8[[#This Row],[currency]]))="USD",transactions_table8[[#This Row],[sales_amount]]*83,transactions_table8[[#This Row],[sales_amount]])</f>
        <v>315</v>
      </c>
    </row>
    <row r="334" spans="1:13" x14ac:dyDescent="0.3">
      <c r="A334" t="s">
        <v>179</v>
      </c>
      <c r="B334" t="s">
        <v>16</v>
      </c>
      <c r="C334" t="s">
        <v>144</v>
      </c>
      <c r="D334" s="1">
        <v>43497</v>
      </c>
      <c r="E334">
        <v>1</v>
      </c>
      <c r="F334">
        <v>157</v>
      </c>
      <c r="G334" t="s">
        <v>462</v>
      </c>
      <c r="H334" t="str">
        <f>VLOOKUP(A334, product_table!$A:$C, 3, 0)</f>
        <v>Own Brand</v>
      </c>
      <c r="I334" t="str">
        <f>VLOOKUP(transactions_table8[[#This Row],[market_code]],markets_table!$A:$B,2,0)</f>
        <v>Delhi NCR</v>
      </c>
      <c r="J334" t="str">
        <f>VLOOKUP(transactions_table8[[#This Row],[market_code]],markets_table!$A:$C,3,0)</f>
        <v>North</v>
      </c>
      <c r="K334" t="str">
        <f>VLOOKUP(transactions_table8[[#This Row],[customer_code]],customer_table!$A:$B,2,0)</f>
        <v>Info Stores</v>
      </c>
      <c r="L334" t="str">
        <f>VLOOKUP(transactions_table8[[#This Row],[customer_code]],customer_table!$A:$C,3,0)</f>
        <v>Brick &amp; Mortar</v>
      </c>
      <c r="M334">
        <f>IF(TRIM(CLEAN(transactions_table8[[#This Row],[currency]]))="USD",transactions_table8[[#This Row],[sales_amount]]*83,transactions_table8[[#This Row],[sales_amount]])</f>
        <v>157</v>
      </c>
    </row>
    <row r="335" spans="1:13" x14ac:dyDescent="0.3">
      <c r="A335" t="s">
        <v>179</v>
      </c>
      <c r="B335" t="s">
        <v>16</v>
      </c>
      <c r="C335" t="s">
        <v>144</v>
      </c>
      <c r="D335" s="1">
        <v>43504</v>
      </c>
      <c r="E335">
        <v>1</v>
      </c>
      <c r="F335">
        <v>472</v>
      </c>
      <c r="G335" t="s">
        <v>462</v>
      </c>
      <c r="H335" t="str">
        <f>VLOOKUP(A335, product_table!$A:$C, 3, 0)</f>
        <v>Own Brand</v>
      </c>
      <c r="I335" t="str">
        <f>VLOOKUP(transactions_table8[[#This Row],[market_code]],markets_table!$A:$B,2,0)</f>
        <v>Delhi NCR</v>
      </c>
      <c r="J335" t="str">
        <f>VLOOKUP(transactions_table8[[#This Row],[market_code]],markets_table!$A:$C,3,0)</f>
        <v>North</v>
      </c>
      <c r="K335" t="str">
        <f>VLOOKUP(transactions_table8[[#This Row],[customer_code]],customer_table!$A:$B,2,0)</f>
        <v>Info Stores</v>
      </c>
      <c r="L335" t="str">
        <f>VLOOKUP(transactions_table8[[#This Row],[customer_code]],customer_table!$A:$C,3,0)</f>
        <v>Brick &amp; Mortar</v>
      </c>
      <c r="M335">
        <f>IF(TRIM(CLEAN(transactions_table8[[#This Row],[currency]]))="USD",transactions_table8[[#This Row],[sales_amount]]*83,transactions_table8[[#This Row],[sales_amount]])</f>
        <v>472</v>
      </c>
    </row>
    <row r="336" spans="1:13" x14ac:dyDescent="0.3">
      <c r="A336" t="s">
        <v>179</v>
      </c>
      <c r="B336" t="s">
        <v>16</v>
      </c>
      <c r="C336" t="s">
        <v>144</v>
      </c>
      <c r="D336" s="1">
        <v>43511</v>
      </c>
      <c r="E336">
        <v>1</v>
      </c>
      <c r="F336">
        <v>472</v>
      </c>
      <c r="G336" t="s">
        <v>462</v>
      </c>
      <c r="H336" t="str">
        <f>VLOOKUP(A336, product_table!$A:$C, 3, 0)</f>
        <v>Own Brand</v>
      </c>
      <c r="I336" t="str">
        <f>VLOOKUP(transactions_table8[[#This Row],[market_code]],markets_table!$A:$B,2,0)</f>
        <v>Delhi NCR</v>
      </c>
      <c r="J336" t="str">
        <f>VLOOKUP(transactions_table8[[#This Row],[market_code]],markets_table!$A:$C,3,0)</f>
        <v>North</v>
      </c>
      <c r="K336" t="str">
        <f>VLOOKUP(transactions_table8[[#This Row],[customer_code]],customer_table!$A:$B,2,0)</f>
        <v>Info Stores</v>
      </c>
      <c r="L336" t="str">
        <f>VLOOKUP(transactions_table8[[#This Row],[customer_code]],customer_table!$A:$C,3,0)</f>
        <v>Brick &amp; Mortar</v>
      </c>
      <c r="M336">
        <f>IF(TRIM(CLEAN(transactions_table8[[#This Row],[currency]]))="USD",transactions_table8[[#This Row],[sales_amount]]*83,transactions_table8[[#This Row],[sales_amount]])</f>
        <v>472</v>
      </c>
    </row>
    <row r="337" spans="1:13" x14ac:dyDescent="0.3">
      <c r="A337" t="s">
        <v>179</v>
      </c>
      <c r="B337" t="s">
        <v>16</v>
      </c>
      <c r="C337" t="s">
        <v>144</v>
      </c>
      <c r="D337" s="1">
        <v>43518</v>
      </c>
      <c r="E337">
        <v>1</v>
      </c>
      <c r="F337">
        <v>315</v>
      </c>
      <c r="G337" t="s">
        <v>462</v>
      </c>
      <c r="H337" t="str">
        <f>VLOOKUP(A337, product_table!$A:$C, 3, 0)</f>
        <v>Own Brand</v>
      </c>
      <c r="I337" t="str">
        <f>VLOOKUP(transactions_table8[[#This Row],[market_code]],markets_table!$A:$B,2,0)</f>
        <v>Delhi NCR</v>
      </c>
      <c r="J337" t="str">
        <f>VLOOKUP(transactions_table8[[#This Row],[market_code]],markets_table!$A:$C,3,0)</f>
        <v>North</v>
      </c>
      <c r="K337" t="str">
        <f>VLOOKUP(transactions_table8[[#This Row],[customer_code]],customer_table!$A:$B,2,0)</f>
        <v>Info Stores</v>
      </c>
      <c r="L337" t="str">
        <f>VLOOKUP(transactions_table8[[#This Row],[customer_code]],customer_table!$A:$C,3,0)</f>
        <v>Brick &amp; Mortar</v>
      </c>
      <c r="M337">
        <f>IF(TRIM(CLEAN(transactions_table8[[#This Row],[currency]]))="USD",transactions_table8[[#This Row],[sales_amount]]*83,transactions_table8[[#This Row],[sales_amount]])</f>
        <v>315</v>
      </c>
    </row>
    <row r="338" spans="1:13" x14ac:dyDescent="0.3">
      <c r="A338" t="s">
        <v>179</v>
      </c>
      <c r="B338" t="s">
        <v>16</v>
      </c>
      <c r="C338" t="s">
        <v>144</v>
      </c>
      <c r="D338" s="1">
        <v>43525</v>
      </c>
      <c r="E338">
        <v>1</v>
      </c>
      <c r="F338">
        <v>472</v>
      </c>
      <c r="G338" t="s">
        <v>462</v>
      </c>
      <c r="H338" t="str">
        <f>VLOOKUP(A338, product_table!$A:$C, 3, 0)</f>
        <v>Own Brand</v>
      </c>
      <c r="I338" t="str">
        <f>VLOOKUP(transactions_table8[[#This Row],[market_code]],markets_table!$A:$B,2,0)</f>
        <v>Delhi NCR</v>
      </c>
      <c r="J338" t="str">
        <f>VLOOKUP(transactions_table8[[#This Row],[market_code]],markets_table!$A:$C,3,0)</f>
        <v>North</v>
      </c>
      <c r="K338" t="str">
        <f>VLOOKUP(transactions_table8[[#This Row],[customer_code]],customer_table!$A:$B,2,0)</f>
        <v>Info Stores</v>
      </c>
      <c r="L338" t="str">
        <f>VLOOKUP(transactions_table8[[#This Row],[customer_code]],customer_table!$A:$C,3,0)</f>
        <v>Brick &amp; Mortar</v>
      </c>
      <c r="M338">
        <f>IF(TRIM(CLEAN(transactions_table8[[#This Row],[currency]]))="USD",transactions_table8[[#This Row],[sales_amount]]*83,transactions_table8[[#This Row],[sales_amount]])</f>
        <v>472</v>
      </c>
    </row>
    <row r="339" spans="1:13" x14ac:dyDescent="0.3">
      <c r="A339" t="s">
        <v>179</v>
      </c>
      <c r="B339" t="s">
        <v>16</v>
      </c>
      <c r="C339" t="s">
        <v>144</v>
      </c>
      <c r="D339" s="1">
        <v>43532</v>
      </c>
      <c r="E339">
        <v>1</v>
      </c>
      <c r="F339">
        <v>315</v>
      </c>
      <c r="G339" t="s">
        <v>462</v>
      </c>
      <c r="H339" t="str">
        <f>VLOOKUP(A339, product_table!$A:$C, 3, 0)</f>
        <v>Own Brand</v>
      </c>
      <c r="I339" t="str">
        <f>VLOOKUP(transactions_table8[[#This Row],[market_code]],markets_table!$A:$B,2,0)</f>
        <v>Delhi NCR</v>
      </c>
      <c r="J339" t="str">
        <f>VLOOKUP(transactions_table8[[#This Row],[market_code]],markets_table!$A:$C,3,0)</f>
        <v>North</v>
      </c>
      <c r="K339" t="str">
        <f>VLOOKUP(transactions_table8[[#This Row],[customer_code]],customer_table!$A:$B,2,0)</f>
        <v>Info Stores</v>
      </c>
      <c r="L339" t="str">
        <f>VLOOKUP(transactions_table8[[#This Row],[customer_code]],customer_table!$A:$C,3,0)</f>
        <v>Brick &amp; Mortar</v>
      </c>
      <c r="M339">
        <f>IF(TRIM(CLEAN(transactions_table8[[#This Row],[currency]]))="USD",transactions_table8[[#This Row],[sales_amount]]*83,transactions_table8[[#This Row],[sales_amount]])</f>
        <v>315</v>
      </c>
    </row>
    <row r="340" spans="1:13" x14ac:dyDescent="0.3">
      <c r="A340" t="s">
        <v>179</v>
      </c>
      <c r="B340" t="s">
        <v>16</v>
      </c>
      <c r="C340" t="s">
        <v>144</v>
      </c>
      <c r="D340" s="1">
        <v>43539</v>
      </c>
      <c r="E340">
        <v>1</v>
      </c>
      <c r="F340">
        <v>157</v>
      </c>
      <c r="G340" t="s">
        <v>462</v>
      </c>
      <c r="H340" t="str">
        <f>VLOOKUP(A340, product_table!$A:$C, 3, 0)</f>
        <v>Own Brand</v>
      </c>
      <c r="I340" t="str">
        <f>VLOOKUP(transactions_table8[[#This Row],[market_code]],markets_table!$A:$B,2,0)</f>
        <v>Delhi NCR</v>
      </c>
      <c r="J340" t="str">
        <f>VLOOKUP(transactions_table8[[#This Row],[market_code]],markets_table!$A:$C,3,0)</f>
        <v>North</v>
      </c>
      <c r="K340" t="str">
        <f>VLOOKUP(transactions_table8[[#This Row],[customer_code]],customer_table!$A:$B,2,0)</f>
        <v>Info Stores</v>
      </c>
      <c r="L340" t="str">
        <f>VLOOKUP(transactions_table8[[#This Row],[customer_code]],customer_table!$A:$C,3,0)</f>
        <v>Brick &amp; Mortar</v>
      </c>
      <c r="M340">
        <f>IF(TRIM(CLEAN(transactions_table8[[#This Row],[currency]]))="USD",transactions_table8[[#This Row],[sales_amount]]*83,transactions_table8[[#This Row],[sales_amount]])</f>
        <v>157</v>
      </c>
    </row>
    <row r="341" spans="1:13" x14ac:dyDescent="0.3">
      <c r="A341" t="s">
        <v>179</v>
      </c>
      <c r="B341" t="s">
        <v>16</v>
      </c>
      <c r="C341" t="s">
        <v>144</v>
      </c>
      <c r="D341" s="1">
        <v>43546</v>
      </c>
      <c r="E341">
        <v>1</v>
      </c>
      <c r="F341">
        <v>315</v>
      </c>
      <c r="G341" t="s">
        <v>462</v>
      </c>
      <c r="H341" t="str">
        <f>VLOOKUP(A341, product_table!$A:$C, 3, 0)</f>
        <v>Own Brand</v>
      </c>
      <c r="I341" t="str">
        <f>VLOOKUP(transactions_table8[[#This Row],[market_code]],markets_table!$A:$B,2,0)</f>
        <v>Delhi NCR</v>
      </c>
      <c r="J341" t="str">
        <f>VLOOKUP(transactions_table8[[#This Row],[market_code]],markets_table!$A:$C,3,0)</f>
        <v>North</v>
      </c>
      <c r="K341" t="str">
        <f>VLOOKUP(transactions_table8[[#This Row],[customer_code]],customer_table!$A:$B,2,0)</f>
        <v>Info Stores</v>
      </c>
      <c r="L341" t="str">
        <f>VLOOKUP(transactions_table8[[#This Row],[customer_code]],customer_table!$A:$C,3,0)</f>
        <v>Brick &amp; Mortar</v>
      </c>
      <c r="M341">
        <f>IF(TRIM(CLEAN(transactions_table8[[#This Row],[currency]]))="USD",transactions_table8[[#This Row],[sales_amount]]*83,transactions_table8[[#This Row],[sales_amount]])</f>
        <v>315</v>
      </c>
    </row>
    <row r="342" spans="1:13" x14ac:dyDescent="0.3">
      <c r="A342" t="s">
        <v>179</v>
      </c>
      <c r="B342" t="s">
        <v>16</v>
      </c>
      <c r="C342" t="s">
        <v>144</v>
      </c>
      <c r="D342" s="1">
        <v>43553</v>
      </c>
      <c r="E342">
        <v>1</v>
      </c>
      <c r="F342">
        <v>315</v>
      </c>
      <c r="G342" t="s">
        <v>462</v>
      </c>
      <c r="H342" t="str">
        <f>VLOOKUP(A342, product_table!$A:$C, 3, 0)</f>
        <v>Own Brand</v>
      </c>
      <c r="I342" t="str">
        <f>VLOOKUP(transactions_table8[[#This Row],[market_code]],markets_table!$A:$B,2,0)</f>
        <v>Delhi NCR</v>
      </c>
      <c r="J342" t="str">
        <f>VLOOKUP(transactions_table8[[#This Row],[market_code]],markets_table!$A:$C,3,0)</f>
        <v>North</v>
      </c>
      <c r="K342" t="str">
        <f>VLOOKUP(transactions_table8[[#This Row],[customer_code]],customer_table!$A:$B,2,0)</f>
        <v>Info Stores</v>
      </c>
      <c r="L342" t="str">
        <f>VLOOKUP(transactions_table8[[#This Row],[customer_code]],customer_table!$A:$C,3,0)</f>
        <v>Brick &amp; Mortar</v>
      </c>
      <c r="M342">
        <f>IF(TRIM(CLEAN(transactions_table8[[#This Row],[currency]]))="USD",transactions_table8[[#This Row],[sales_amount]]*83,transactions_table8[[#This Row],[sales_amount]])</f>
        <v>315</v>
      </c>
    </row>
    <row r="343" spans="1:13" x14ac:dyDescent="0.3">
      <c r="A343" t="s">
        <v>179</v>
      </c>
      <c r="B343" t="s">
        <v>16</v>
      </c>
      <c r="C343" t="s">
        <v>144</v>
      </c>
      <c r="D343" s="1">
        <v>43560</v>
      </c>
      <c r="E343">
        <v>1</v>
      </c>
      <c r="F343">
        <v>315</v>
      </c>
      <c r="G343" t="s">
        <v>462</v>
      </c>
      <c r="H343" t="str">
        <f>VLOOKUP(A343, product_table!$A:$C, 3, 0)</f>
        <v>Own Brand</v>
      </c>
      <c r="I343" t="str">
        <f>VLOOKUP(transactions_table8[[#This Row],[market_code]],markets_table!$A:$B,2,0)</f>
        <v>Delhi NCR</v>
      </c>
      <c r="J343" t="str">
        <f>VLOOKUP(transactions_table8[[#This Row],[market_code]],markets_table!$A:$C,3,0)</f>
        <v>North</v>
      </c>
      <c r="K343" t="str">
        <f>VLOOKUP(transactions_table8[[#This Row],[customer_code]],customer_table!$A:$B,2,0)</f>
        <v>Info Stores</v>
      </c>
      <c r="L343" t="str">
        <f>VLOOKUP(transactions_table8[[#This Row],[customer_code]],customer_table!$A:$C,3,0)</f>
        <v>Brick &amp; Mortar</v>
      </c>
      <c r="M343">
        <f>IF(TRIM(CLEAN(transactions_table8[[#This Row],[currency]]))="USD",transactions_table8[[#This Row],[sales_amount]]*83,transactions_table8[[#This Row],[sales_amount]])</f>
        <v>315</v>
      </c>
    </row>
    <row r="344" spans="1:13" x14ac:dyDescent="0.3">
      <c r="A344" t="s">
        <v>179</v>
      </c>
      <c r="B344" t="s">
        <v>16</v>
      </c>
      <c r="C344" t="s">
        <v>144</v>
      </c>
      <c r="D344" s="1">
        <v>43567</v>
      </c>
      <c r="E344">
        <v>1</v>
      </c>
      <c r="F344">
        <v>787</v>
      </c>
      <c r="G344" t="s">
        <v>462</v>
      </c>
      <c r="H344" t="str">
        <f>VLOOKUP(A344, product_table!$A:$C, 3, 0)</f>
        <v>Own Brand</v>
      </c>
      <c r="I344" t="str">
        <f>VLOOKUP(transactions_table8[[#This Row],[market_code]],markets_table!$A:$B,2,0)</f>
        <v>Delhi NCR</v>
      </c>
      <c r="J344" t="str">
        <f>VLOOKUP(transactions_table8[[#This Row],[market_code]],markets_table!$A:$C,3,0)</f>
        <v>North</v>
      </c>
      <c r="K344" t="str">
        <f>VLOOKUP(transactions_table8[[#This Row],[customer_code]],customer_table!$A:$B,2,0)</f>
        <v>Info Stores</v>
      </c>
      <c r="L344" t="str">
        <f>VLOOKUP(transactions_table8[[#This Row],[customer_code]],customer_table!$A:$C,3,0)</f>
        <v>Brick &amp; Mortar</v>
      </c>
      <c r="M344">
        <f>IF(TRIM(CLEAN(transactions_table8[[#This Row],[currency]]))="USD",transactions_table8[[#This Row],[sales_amount]]*83,transactions_table8[[#This Row],[sales_amount]])</f>
        <v>787</v>
      </c>
    </row>
    <row r="345" spans="1:13" x14ac:dyDescent="0.3">
      <c r="A345" t="s">
        <v>179</v>
      </c>
      <c r="B345" t="s">
        <v>16</v>
      </c>
      <c r="C345" t="s">
        <v>144</v>
      </c>
      <c r="D345" s="1">
        <v>43578</v>
      </c>
      <c r="E345">
        <v>1</v>
      </c>
      <c r="F345">
        <v>630</v>
      </c>
      <c r="G345" t="s">
        <v>462</v>
      </c>
      <c r="H345" t="str">
        <f>VLOOKUP(A345, product_table!$A:$C, 3, 0)</f>
        <v>Own Brand</v>
      </c>
      <c r="I345" t="str">
        <f>VLOOKUP(transactions_table8[[#This Row],[market_code]],markets_table!$A:$B,2,0)</f>
        <v>Delhi NCR</v>
      </c>
      <c r="J345" t="str">
        <f>VLOOKUP(transactions_table8[[#This Row],[market_code]],markets_table!$A:$C,3,0)</f>
        <v>North</v>
      </c>
      <c r="K345" t="str">
        <f>VLOOKUP(transactions_table8[[#This Row],[customer_code]],customer_table!$A:$B,2,0)</f>
        <v>Info Stores</v>
      </c>
      <c r="L345" t="str">
        <f>VLOOKUP(transactions_table8[[#This Row],[customer_code]],customer_table!$A:$C,3,0)</f>
        <v>Brick &amp; Mortar</v>
      </c>
      <c r="M345">
        <f>IF(TRIM(CLEAN(transactions_table8[[#This Row],[currency]]))="USD",transactions_table8[[#This Row],[sales_amount]]*83,transactions_table8[[#This Row],[sales_amount]])</f>
        <v>630</v>
      </c>
    </row>
    <row r="346" spans="1:13" x14ac:dyDescent="0.3">
      <c r="A346" t="s">
        <v>179</v>
      </c>
      <c r="B346" t="s">
        <v>16</v>
      </c>
      <c r="C346" t="s">
        <v>144</v>
      </c>
      <c r="D346" s="1">
        <v>43584</v>
      </c>
      <c r="E346">
        <v>1</v>
      </c>
      <c r="F346">
        <v>472</v>
      </c>
      <c r="G346" t="s">
        <v>462</v>
      </c>
      <c r="H346" t="str">
        <f>VLOOKUP(A346, product_table!$A:$C, 3, 0)</f>
        <v>Own Brand</v>
      </c>
      <c r="I346" t="str">
        <f>VLOOKUP(transactions_table8[[#This Row],[market_code]],markets_table!$A:$B,2,0)</f>
        <v>Delhi NCR</v>
      </c>
      <c r="J346" t="str">
        <f>VLOOKUP(transactions_table8[[#This Row],[market_code]],markets_table!$A:$C,3,0)</f>
        <v>North</v>
      </c>
      <c r="K346" t="str">
        <f>VLOOKUP(transactions_table8[[#This Row],[customer_code]],customer_table!$A:$B,2,0)</f>
        <v>Info Stores</v>
      </c>
      <c r="L346" t="str">
        <f>VLOOKUP(transactions_table8[[#This Row],[customer_code]],customer_table!$A:$C,3,0)</f>
        <v>Brick &amp; Mortar</v>
      </c>
      <c r="M346">
        <f>IF(TRIM(CLEAN(transactions_table8[[#This Row],[currency]]))="USD",transactions_table8[[#This Row],[sales_amount]]*83,transactions_table8[[#This Row],[sales_amount]])</f>
        <v>472</v>
      </c>
    </row>
    <row r="347" spans="1:13" x14ac:dyDescent="0.3">
      <c r="A347" t="s">
        <v>179</v>
      </c>
      <c r="B347" t="s">
        <v>16</v>
      </c>
      <c r="C347" t="s">
        <v>144</v>
      </c>
      <c r="D347" s="1">
        <v>43591</v>
      </c>
      <c r="E347">
        <v>1</v>
      </c>
      <c r="F347">
        <v>315</v>
      </c>
      <c r="G347" t="s">
        <v>462</v>
      </c>
      <c r="H347" t="str">
        <f>VLOOKUP(A347, product_table!$A:$C, 3, 0)</f>
        <v>Own Brand</v>
      </c>
      <c r="I347" t="str">
        <f>VLOOKUP(transactions_table8[[#This Row],[market_code]],markets_table!$A:$B,2,0)</f>
        <v>Delhi NCR</v>
      </c>
      <c r="J347" t="str">
        <f>VLOOKUP(transactions_table8[[#This Row],[market_code]],markets_table!$A:$C,3,0)</f>
        <v>North</v>
      </c>
      <c r="K347" t="str">
        <f>VLOOKUP(transactions_table8[[#This Row],[customer_code]],customer_table!$A:$B,2,0)</f>
        <v>Info Stores</v>
      </c>
      <c r="L347" t="str">
        <f>VLOOKUP(transactions_table8[[#This Row],[customer_code]],customer_table!$A:$C,3,0)</f>
        <v>Brick &amp; Mortar</v>
      </c>
      <c r="M347">
        <f>IF(TRIM(CLEAN(transactions_table8[[#This Row],[currency]]))="USD",transactions_table8[[#This Row],[sales_amount]]*83,transactions_table8[[#This Row],[sales_amount]])</f>
        <v>315</v>
      </c>
    </row>
    <row r="348" spans="1:13" x14ac:dyDescent="0.3">
      <c r="A348" t="s">
        <v>179</v>
      </c>
      <c r="B348" t="s">
        <v>16</v>
      </c>
      <c r="C348" t="s">
        <v>144</v>
      </c>
      <c r="D348" s="1">
        <v>43595</v>
      </c>
      <c r="E348">
        <v>1</v>
      </c>
      <c r="F348">
        <v>787</v>
      </c>
      <c r="G348" t="s">
        <v>462</v>
      </c>
      <c r="H348" t="str">
        <f>VLOOKUP(A348, product_table!$A:$C, 3, 0)</f>
        <v>Own Brand</v>
      </c>
      <c r="I348" t="str">
        <f>VLOOKUP(transactions_table8[[#This Row],[market_code]],markets_table!$A:$B,2,0)</f>
        <v>Delhi NCR</v>
      </c>
      <c r="J348" t="str">
        <f>VLOOKUP(transactions_table8[[#This Row],[market_code]],markets_table!$A:$C,3,0)</f>
        <v>North</v>
      </c>
      <c r="K348" t="str">
        <f>VLOOKUP(transactions_table8[[#This Row],[customer_code]],customer_table!$A:$B,2,0)</f>
        <v>Info Stores</v>
      </c>
      <c r="L348" t="str">
        <f>VLOOKUP(transactions_table8[[#This Row],[customer_code]],customer_table!$A:$C,3,0)</f>
        <v>Brick &amp; Mortar</v>
      </c>
      <c r="M348">
        <f>IF(TRIM(CLEAN(transactions_table8[[#This Row],[currency]]))="USD",transactions_table8[[#This Row],[sales_amount]]*83,transactions_table8[[#This Row],[sales_amount]])</f>
        <v>787</v>
      </c>
    </row>
    <row r="349" spans="1:13" x14ac:dyDescent="0.3">
      <c r="A349" t="s">
        <v>179</v>
      </c>
      <c r="B349" t="s">
        <v>16</v>
      </c>
      <c r="C349" t="s">
        <v>144</v>
      </c>
      <c r="D349" s="1">
        <v>43602</v>
      </c>
      <c r="E349">
        <v>1</v>
      </c>
      <c r="F349">
        <v>1102</v>
      </c>
      <c r="G349" t="s">
        <v>462</v>
      </c>
      <c r="H349" t="str">
        <f>VLOOKUP(A349, product_table!$A:$C, 3, 0)</f>
        <v>Own Brand</v>
      </c>
      <c r="I349" t="str">
        <f>VLOOKUP(transactions_table8[[#This Row],[market_code]],markets_table!$A:$B,2,0)</f>
        <v>Delhi NCR</v>
      </c>
      <c r="J349" t="str">
        <f>VLOOKUP(transactions_table8[[#This Row],[market_code]],markets_table!$A:$C,3,0)</f>
        <v>North</v>
      </c>
      <c r="K349" t="str">
        <f>VLOOKUP(transactions_table8[[#This Row],[customer_code]],customer_table!$A:$B,2,0)</f>
        <v>Info Stores</v>
      </c>
      <c r="L349" t="str">
        <f>VLOOKUP(transactions_table8[[#This Row],[customer_code]],customer_table!$A:$C,3,0)</f>
        <v>Brick &amp; Mortar</v>
      </c>
      <c r="M349">
        <f>IF(TRIM(CLEAN(transactions_table8[[#This Row],[currency]]))="USD",transactions_table8[[#This Row],[sales_amount]]*83,transactions_table8[[#This Row],[sales_amount]])</f>
        <v>1102</v>
      </c>
    </row>
    <row r="350" spans="1:13" x14ac:dyDescent="0.3">
      <c r="A350" t="s">
        <v>179</v>
      </c>
      <c r="B350" t="s">
        <v>16</v>
      </c>
      <c r="C350" t="s">
        <v>144</v>
      </c>
      <c r="D350" s="1">
        <v>43619</v>
      </c>
      <c r="E350">
        <v>1</v>
      </c>
      <c r="F350">
        <v>787</v>
      </c>
      <c r="G350" t="s">
        <v>462</v>
      </c>
      <c r="H350" t="str">
        <f>VLOOKUP(A350, product_table!$A:$C, 3, 0)</f>
        <v>Own Brand</v>
      </c>
      <c r="I350" t="str">
        <f>VLOOKUP(transactions_table8[[#This Row],[market_code]],markets_table!$A:$B,2,0)</f>
        <v>Delhi NCR</v>
      </c>
      <c r="J350" t="str">
        <f>VLOOKUP(transactions_table8[[#This Row],[market_code]],markets_table!$A:$C,3,0)</f>
        <v>North</v>
      </c>
      <c r="K350" t="str">
        <f>VLOOKUP(transactions_table8[[#This Row],[customer_code]],customer_table!$A:$B,2,0)</f>
        <v>Info Stores</v>
      </c>
      <c r="L350" t="str">
        <f>VLOOKUP(transactions_table8[[#This Row],[customer_code]],customer_table!$A:$C,3,0)</f>
        <v>Brick &amp; Mortar</v>
      </c>
      <c r="M350">
        <f>IF(TRIM(CLEAN(transactions_table8[[#This Row],[currency]]))="USD",transactions_table8[[#This Row],[sales_amount]]*83,transactions_table8[[#This Row],[sales_amount]])</f>
        <v>787</v>
      </c>
    </row>
    <row r="351" spans="1:13" x14ac:dyDescent="0.3">
      <c r="A351" t="s">
        <v>179</v>
      </c>
      <c r="B351" t="s">
        <v>16</v>
      </c>
      <c r="C351" t="s">
        <v>144</v>
      </c>
      <c r="D351" s="1">
        <v>43623</v>
      </c>
      <c r="E351">
        <v>1</v>
      </c>
      <c r="F351">
        <v>157</v>
      </c>
      <c r="G351" t="s">
        <v>462</v>
      </c>
      <c r="H351" t="str">
        <f>VLOOKUP(A351, product_table!$A:$C, 3, 0)</f>
        <v>Own Brand</v>
      </c>
      <c r="I351" t="str">
        <f>VLOOKUP(transactions_table8[[#This Row],[market_code]],markets_table!$A:$B,2,0)</f>
        <v>Delhi NCR</v>
      </c>
      <c r="J351" t="str">
        <f>VLOOKUP(transactions_table8[[#This Row],[market_code]],markets_table!$A:$C,3,0)</f>
        <v>North</v>
      </c>
      <c r="K351" t="str">
        <f>VLOOKUP(transactions_table8[[#This Row],[customer_code]],customer_table!$A:$B,2,0)</f>
        <v>Info Stores</v>
      </c>
      <c r="L351" t="str">
        <f>VLOOKUP(transactions_table8[[#This Row],[customer_code]],customer_table!$A:$C,3,0)</f>
        <v>Brick &amp; Mortar</v>
      </c>
      <c r="M351">
        <f>IF(TRIM(CLEAN(transactions_table8[[#This Row],[currency]]))="USD",transactions_table8[[#This Row],[sales_amount]]*83,transactions_table8[[#This Row],[sales_amount]])</f>
        <v>157</v>
      </c>
    </row>
    <row r="352" spans="1:13" x14ac:dyDescent="0.3">
      <c r="A352" t="s">
        <v>179</v>
      </c>
      <c r="B352" t="s">
        <v>16</v>
      </c>
      <c r="C352" t="s">
        <v>144</v>
      </c>
      <c r="D352" s="1">
        <v>43633</v>
      </c>
      <c r="E352">
        <v>1</v>
      </c>
      <c r="F352">
        <v>315</v>
      </c>
      <c r="G352" t="s">
        <v>462</v>
      </c>
      <c r="H352" t="str">
        <f>VLOOKUP(A352, product_table!$A:$C, 3, 0)</f>
        <v>Own Brand</v>
      </c>
      <c r="I352" t="str">
        <f>VLOOKUP(transactions_table8[[#This Row],[market_code]],markets_table!$A:$B,2,0)</f>
        <v>Delhi NCR</v>
      </c>
      <c r="J352" t="str">
        <f>VLOOKUP(transactions_table8[[#This Row],[market_code]],markets_table!$A:$C,3,0)</f>
        <v>North</v>
      </c>
      <c r="K352" t="str">
        <f>VLOOKUP(transactions_table8[[#This Row],[customer_code]],customer_table!$A:$B,2,0)</f>
        <v>Info Stores</v>
      </c>
      <c r="L352" t="str">
        <f>VLOOKUP(transactions_table8[[#This Row],[customer_code]],customer_table!$A:$C,3,0)</f>
        <v>Brick &amp; Mortar</v>
      </c>
      <c r="M352">
        <f>IF(TRIM(CLEAN(transactions_table8[[#This Row],[currency]]))="USD",transactions_table8[[#This Row],[sales_amount]]*83,transactions_table8[[#This Row],[sales_amount]])</f>
        <v>315</v>
      </c>
    </row>
    <row r="353" spans="1:13" x14ac:dyDescent="0.3">
      <c r="A353" t="s">
        <v>179</v>
      </c>
      <c r="B353" t="s">
        <v>16</v>
      </c>
      <c r="C353" t="s">
        <v>144</v>
      </c>
      <c r="D353" s="1">
        <v>43640</v>
      </c>
      <c r="E353">
        <v>1</v>
      </c>
      <c r="F353">
        <v>315</v>
      </c>
      <c r="G353" t="s">
        <v>462</v>
      </c>
      <c r="H353" t="str">
        <f>VLOOKUP(A353, product_table!$A:$C, 3, 0)</f>
        <v>Own Brand</v>
      </c>
      <c r="I353" t="str">
        <f>VLOOKUP(transactions_table8[[#This Row],[market_code]],markets_table!$A:$B,2,0)</f>
        <v>Delhi NCR</v>
      </c>
      <c r="J353" t="str">
        <f>VLOOKUP(transactions_table8[[#This Row],[market_code]],markets_table!$A:$C,3,0)</f>
        <v>North</v>
      </c>
      <c r="K353" t="str">
        <f>VLOOKUP(transactions_table8[[#This Row],[customer_code]],customer_table!$A:$B,2,0)</f>
        <v>Info Stores</v>
      </c>
      <c r="L353" t="str">
        <f>VLOOKUP(transactions_table8[[#This Row],[customer_code]],customer_table!$A:$C,3,0)</f>
        <v>Brick &amp; Mortar</v>
      </c>
      <c r="M353">
        <f>IF(TRIM(CLEAN(transactions_table8[[#This Row],[currency]]))="USD",transactions_table8[[#This Row],[sales_amount]]*83,transactions_table8[[#This Row],[sales_amount]])</f>
        <v>315</v>
      </c>
    </row>
    <row r="354" spans="1:13" x14ac:dyDescent="0.3">
      <c r="A354" t="s">
        <v>179</v>
      </c>
      <c r="B354" t="s">
        <v>16</v>
      </c>
      <c r="C354" t="s">
        <v>144</v>
      </c>
      <c r="D354" s="1">
        <v>43644</v>
      </c>
      <c r="E354">
        <v>1</v>
      </c>
      <c r="F354">
        <v>315</v>
      </c>
      <c r="G354" t="s">
        <v>462</v>
      </c>
      <c r="H354" t="str">
        <f>VLOOKUP(A354, product_table!$A:$C, 3, 0)</f>
        <v>Own Brand</v>
      </c>
      <c r="I354" t="str">
        <f>VLOOKUP(transactions_table8[[#This Row],[market_code]],markets_table!$A:$B,2,0)</f>
        <v>Delhi NCR</v>
      </c>
      <c r="J354" t="str">
        <f>VLOOKUP(transactions_table8[[#This Row],[market_code]],markets_table!$A:$C,3,0)</f>
        <v>North</v>
      </c>
      <c r="K354" t="str">
        <f>VLOOKUP(transactions_table8[[#This Row],[customer_code]],customer_table!$A:$B,2,0)</f>
        <v>Info Stores</v>
      </c>
      <c r="L354" t="str">
        <f>VLOOKUP(transactions_table8[[#This Row],[customer_code]],customer_table!$A:$C,3,0)</f>
        <v>Brick &amp; Mortar</v>
      </c>
      <c r="M354">
        <f>IF(TRIM(CLEAN(transactions_table8[[#This Row],[currency]]))="USD",transactions_table8[[#This Row],[sales_amount]]*83,transactions_table8[[#This Row],[sales_amount]])</f>
        <v>315</v>
      </c>
    </row>
    <row r="355" spans="1:13" x14ac:dyDescent="0.3">
      <c r="A355" t="s">
        <v>179</v>
      </c>
      <c r="B355" t="s">
        <v>16</v>
      </c>
      <c r="C355" t="s">
        <v>144</v>
      </c>
      <c r="D355" s="1">
        <v>43651</v>
      </c>
      <c r="E355">
        <v>1</v>
      </c>
      <c r="F355">
        <v>472</v>
      </c>
      <c r="G355" t="s">
        <v>462</v>
      </c>
      <c r="H355" t="str">
        <f>VLOOKUP(A355, product_table!$A:$C, 3, 0)</f>
        <v>Own Brand</v>
      </c>
      <c r="I355" t="str">
        <f>VLOOKUP(transactions_table8[[#This Row],[market_code]],markets_table!$A:$B,2,0)</f>
        <v>Delhi NCR</v>
      </c>
      <c r="J355" t="str">
        <f>VLOOKUP(transactions_table8[[#This Row],[market_code]],markets_table!$A:$C,3,0)</f>
        <v>North</v>
      </c>
      <c r="K355" t="str">
        <f>VLOOKUP(transactions_table8[[#This Row],[customer_code]],customer_table!$A:$B,2,0)</f>
        <v>Info Stores</v>
      </c>
      <c r="L355" t="str">
        <f>VLOOKUP(transactions_table8[[#This Row],[customer_code]],customer_table!$A:$C,3,0)</f>
        <v>Brick &amp; Mortar</v>
      </c>
      <c r="M355">
        <f>IF(TRIM(CLEAN(transactions_table8[[#This Row],[currency]]))="USD",transactions_table8[[#This Row],[sales_amount]]*83,transactions_table8[[#This Row],[sales_amount]])</f>
        <v>472</v>
      </c>
    </row>
    <row r="356" spans="1:13" x14ac:dyDescent="0.3">
      <c r="A356" t="s">
        <v>179</v>
      </c>
      <c r="B356" t="s">
        <v>16</v>
      </c>
      <c r="C356" t="s">
        <v>144</v>
      </c>
      <c r="D356" s="1">
        <v>43658</v>
      </c>
      <c r="E356">
        <v>1</v>
      </c>
      <c r="F356">
        <v>630</v>
      </c>
      <c r="G356" t="s">
        <v>462</v>
      </c>
      <c r="H356" t="str">
        <f>VLOOKUP(A356, product_table!$A:$C, 3, 0)</f>
        <v>Own Brand</v>
      </c>
      <c r="I356" t="str">
        <f>VLOOKUP(transactions_table8[[#This Row],[market_code]],markets_table!$A:$B,2,0)</f>
        <v>Delhi NCR</v>
      </c>
      <c r="J356" t="str">
        <f>VLOOKUP(transactions_table8[[#This Row],[market_code]],markets_table!$A:$C,3,0)</f>
        <v>North</v>
      </c>
      <c r="K356" t="str">
        <f>VLOOKUP(transactions_table8[[#This Row],[customer_code]],customer_table!$A:$B,2,0)</f>
        <v>Info Stores</v>
      </c>
      <c r="L356" t="str">
        <f>VLOOKUP(transactions_table8[[#This Row],[customer_code]],customer_table!$A:$C,3,0)</f>
        <v>Brick &amp; Mortar</v>
      </c>
      <c r="M356">
        <f>IF(TRIM(CLEAN(transactions_table8[[#This Row],[currency]]))="USD",transactions_table8[[#This Row],[sales_amount]]*83,transactions_table8[[#This Row],[sales_amount]])</f>
        <v>630</v>
      </c>
    </row>
    <row r="357" spans="1:13" x14ac:dyDescent="0.3">
      <c r="A357" t="s">
        <v>179</v>
      </c>
      <c r="B357" t="s">
        <v>16</v>
      </c>
      <c r="C357" t="s">
        <v>144</v>
      </c>
      <c r="D357" s="1">
        <v>43665</v>
      </c>
      <c r="E357">
        <v>1</v>
      </c>
      <c r="F357">
        <v>944</v>
      </c>
      <c r="G357" t="s">
        <v>462</v>
      </c>
      <c r="H357" t="str">
        <f>VLOOKUP(A357, product_table!$A:$C, 3, 0)</f>
        <v>Own Brand</v>
      </c>
      <c r="I357" t="str">
        <f>VLOOKUP(transactions_table8[[#This Row],[market_code]],markets_table!$A:$B,2,0)</f>
        <v>Delhi NCR</v>
      </c>
      <c r="J357" t="str">
        <f>VLOOKUP(transactions_table8[[#This Row],[market_code]],markets_table!$A:$C,3,0)</f>
        <v>North</v>
      </c>
      <c r="K357" t="str">
        <f>VLOOKUP(transactions_table8[[#This Row],[customer_code]],customer_table!$A:$B,2,0)</f>
        <v>Info Stores</v>
      </c>
      <c r="L357" t="str">
        <f>VLOOKUP(transactions_table8[[#This Row],[customer_code]],customer_table!$A:$C,3,0)</f>
        <v>Brick &amp; Mortar</v>
      </c>
      <c r="M357">
        <f>IF(TRIM(CLEAN(transactions_table8[[#This Row],[currency]]))="USD",transactions_table8[[#This Row],[sales_amount]]*83,transactions_table8[[#This Row],[sales_amount]])</f>
        <v>944</v>
      </c>
    </row>
    <row r="358" spans="1:13" x14ac:dyDescent="0.3">
      <c r="A358" t="s">
        <v>179</v>
      </c>
      <c r="B358" t="s">
        <v>16</v>
      </c>
      <c r="C358" t="s">
        <v>144</v>
      </c>
      <c r="D358" s="1">
        <v>43672</v>
      </c>
      <c r="E358">
        <v>2</v>
      </c>
      <c r="F358">
        <v>1417</v>
      </c>
      <c r="G358" t="s">
        <v>462</v>
      </c>
      <c r="H358" t="str">
        <f>VLOOKUP(A358, product_table!$A:$C, 3, 0)</f>
        <v>Own Brand</v>
      </c>
      <c r="I358" t="str">
        <f>VLOOKUP(transactions_table8[[#This Row],[market_code]],markets_table!$A:$B,2,0)</f>
        <v>Delhi NCR</v>
      </c>
      <c r="J358" t="str">
        <f>VLOOKUP(transactions_table8[[#This Row],[market_code]],markets_table!$A:$C,3,0)</f>
        <v>North</v>
      </c>
      <c r="K358" t="str">
        <f>VLOOKUP(transactions_table8[[#This Row],[customer_code]],customer_table!$A:$B,2,0)</f>
        <v>Info Stores</v>
      </c>
      <c r="L358" t="str">
        <f>VLOOKUP(transactions_table8[[#This Row],[customer_code]],customer_table!$A:$C,3,0)</f>
        <v>Brick &amp; Mortar</v>
      </c>
      <c r="M358">
        <f>IF(TRIM(CLEAN(transactions_table8[[#This Row],[currency]]))="USD",transactions_table8[[#This Row],[sales_amount]]*83,transactions_table8[[#This Row],[sales_amount]])</f>
        <v>1417</v>
      </c>
    </row>
    <row r="359" spans="1:13" x14ac:dyDescent="0.3">
      <c r="A359" t="s">
        <v>179</v>
      </c>
      <c r="B359" t="s">
        <v>16</v>
      </c>
      <c r="C359" t="s">
        <v>144</v>
      </c>
      <c r="D359" s="1">
        <v>43679</v>
      </c>
      <c r="E359">
        <v>2</v>
      </c>
      <c r="F359">
        <v>1417</v>
      </c>
      <c r="G359" t="s">
        <v>462</v>
      </c>
      <c r="H359" t="str">
        <f>VLOOKUP(A359, product_table!$A:$C, 3, 0)</f>
        <v>Own Brand</v>
      </c>
      <c r="I359" t="str">
        <f>VLOOKUP(transactions_table8[[#This Row],[market_code]],markets_table!$A:$B,2,0)</f>
        <v>Delhi NCR</v>
      </c>
      <c r="J359" t="str">
        <f>VLOOKUP(transactions_table8[[#This Row],[market_code]],markets_table!$A:$C,3,0)</f>
        <v>North</v>
      </c>
      <c r="K359" t="str">
        <f>VLOOKUP(transactions_table8[[#This Row],[customer_code]],customer_table!$A:$B,2,0)</f>
        <v>Info Stores</v>
      </c>
      <c r="L359" t="str">
        <f>VLOOKUP(transactions_table8[[#This Row],[customer_code]],customer_table!$A:$C,3,0)</f>
        <v>Brick &amp; Mortar</v>
      </c>
      <c r="M359">
        <f>IF(TRIM(CLEAN(transactions_table8[[#This Row],[currency]]))="USD",transactions_table8[[#This Row],[sales_amount]]*83,transactions_table8[[#This Row],[sales_amount]])</f>
        <v>1417</v>
      </c>
    </row>
    <row r="360" spans="1:13" x14ac:dyDescent="0.3">
      <c r="A360" t="s">
        <v>179</v>
      </c>
      <c r="B360" t="s">
        <v>16</v>
      </c>
      <c r="C360" t="s">
        <v>144</v>
      </c>
      <c r="D360" s="1">
        <v>43686</v>
      </c>
      <c r="E360">
        <v>1</v>
      </c>
      <c r="F360">
        <v>787</v>
      </c>
      <c r="G360" t="s">
        <v>462</v>
      </c>
      <c r="H360" t="str">
        <f>VLOOKUP(A360, product_table!$A:$C, 3, 0)</f>
        <v>Own Brand</v>
      </c>
      <c r="I360" t="str">
        <f>VLOOKUP(transactions_table8[[#This Row],[market_code]],markets_table!$A:$B,2,0)</f>
        <v>Delhi NCR</v>
      </c>
      <c r="J360" t="str">
        <f>VLOOKUP(transactions_table8[[#This Row],[market_code]],markets_table!$A:$C,3,0)</f>
        <v>North</v>
      </c>
      <c r="K360" t="str">
        <f>VLOOKUP(transactions_table8[[#This Row],[customer_code]],customer_table!$A:$B,2,0)</f>
        <v>Info Stores</v>
      </c>
      <c r="L360" t="str">
        <f>VLOOKUP(transactions_table8[[#This Row],[customer_code]],customer_table!$A:$C,3,0)</f>
        <v>Brick &amp; Mortar</v>
      </c>
      <c r="M360">
        <f>IF(TRIM(CLEAN(transactions_table8[[#This Row],[currency]]))="USD",transactions_table8[[#This Row],[sales_amount]]*83,transactions_table8[[#This Row],[sales_amount]])</f>
        <v>787</v>
      </c>
    </row>
    <row r="361" spans="1:13" x14ac:dyDescent="0.3">
      <c r="A361" t="s">
        <v>179</v>
      </c>
      <c r="B361" t="s">
        <v>16</v>
      </c>
      <c r="C361" t="s">
        <v>144</v>
      </c>
      <c r="D361" s="1">
        <v>43693</v>
      </c>
      <c r="E361">
        <v>1</v>
      </c>
      <c r="F361">
        <v>1259</v>
      </c>
      <c r="G361" t="s">
        <v>462</v>
      </c>
      <c r="H361" t="str">
        <f>VLOOKUP(A361, product_table!$A:$C, 3, 0)</f>
        <v>Own Brand</v>
      </c>
      <c r="I361" t="str">
        <f>VLOOKUP(transactions_table8[[#This Row],[market_code]],markets_table!$A:$B,2,0)</f>
        <v>Delhi NCR</v>
      </c>
      <c r="J361" t="str">
        <f>VLOOKUP(transactions_table8[[#This Row],[market_code]],markets_table!$A:$C,3,0)</f>
        <v>North</v>
      </c>
      <c r="K361" t="str">
        <f>VLOOKUP(transactions_table8[[#This Row],[customer_code]],customer_table!$A:$B,2,0)</f>
        <v>Info Stores</v>
      </c>
      <c r="L361" t="str">
        <f>VLOOKUP(transactions_table8[[#This Row],[customer_code]],customer_table!$A:$C,3,0)</f>
        <v>Brick &amp; Mortar</v>
      </c>
      <c r="M361">
        <f>IF(TRIM(CLEAN(transactions_table8[[#This Row],[currency]]))="USD",transactions_table8[[#This Row],[sales_amount]]*83,transactions_table8[[#This Row],[sales_amount]])</f>
        <v>1259</v>
      </c>
    </row>
    <row r="362" spans="1:13" x14ac:dyDescent="0.3">
      <c r="A362" t="s">
        <v>179</v>
      </c>
      <c r="B362" t="s">
        <v>16</v>
      </c>
      <c r="C362" t="s">
        <v>144</v>
      </c>
      <c r="D362" s="1">
        <v>43710</v>
      </c>
      <c r="E362">
        <v>2</v>
      </c>
      <c r="F362">
        <v>1574</v>
      </c>
      <c r="G362" t="s">
        <v>462</v>
      </c>
      <c r="H362" t="str">
        <f>VLOOKUP(A362, product_table!$A:$C, 3, 0)</f>
        <v>Own Brand</v>
      </c>
      <c r="I362" t="str">
        <f>VLOOKUP(transactions_table8[[#This Row],[market_code]],markets_table!$A:$B,2,0)</f>
        <v>Delhi NCR</v>
      </c>
      <c r="J362" t="str">
        <f>VLOOKUP(transactions_table8[[#This Row],[market_code]],markets_table!$A:$C,3,0)</f>
        <v>North</v>
      </c>
      <c r="K362" t="str">
        <f>VLOOKUP(transactions_table8[[#This Row],[customer_code]],customer_table!$A:$B,2,0)</f>
        <v>Info Stores</v>
      </c>
      <c r="L362" t="str">
        <f>VLOOKUP(transactions_table8[[#This Row],[customer_code]],customer_table!$A:$C,3,0)</f>
        <v>Brick &amp; Mortar</v>
      </c>
      <c r="M362">
        <f>IF(TRIM(CLEAN(transactions_table8[[#This Row],[currency]]))="USD",transactions_table8[[#This Row],[sales_amount]]*83,transactions_table8[[#This Row],[sales_amount]])</f>
        <v>1574</v>
      </c>
    </row>
    <row r="363" spans="1:13" x14ac:dyDescent="0.3">
      <c r="A363" t="s">
        <v>179</v>
      </c>
      <c r="B363" t="s">
        <v>16</v>
      </c>
      <c r="C363" t="s">
        <v>144</v>
      </c>
      <c r="D363" s="1">
        <v>43711</v>
      </c>
      <c r="E363">
        <v>1</v>
      </c>
      <c r="F363">
        <v>630</v>
      </c>
      <c r="G363" t="s">
        <v>462</v>
      </c>
      <c r="H363" t="str">
        <f>VLOOKUP(A363, product_table!$A:$C, 3, 0)</f>
        <v>Own Brand</v>
      </c>
      <c r="I363" t="str">
        <f>VLOOKUP(transactions_table8[[#This Row],[market_code]],markets_table!$A:$B,2,0)</f>
        <v>Delhi NCR</v>
      </c>
      <c r="J363" t="str">
        <f>VLOOKUP(transactions_table8[[#This Row],[market_code]],markets_table!$A:$C,3,0)</f>
        <v>North</v>
      </c>
      <c r="K363" t="str">
        <f>VLOOKUP(transactions_table8[[#This Row],[customer_code]],customer_table!$A:$B,2,0)</f>
        <v>Info Stores</v>
      </c>
      <c r="L363" t="str">
        <f>VLOOKUP(transactions_table8[[#This Row],[customer_code]],customer_table!$A:$C,3,0)</f>
        <v>Brick &amp; Mortar</v>
      </c>
      <c r="M363">
        <f>IF(TRIM(CLEAN(transactions_table8[[#This Row],[currency]]))="USD",transactions_table8[[#This Row],[sales_amount]]*83,transactions_table8[[#This Row],[sales_amount]])</f>
        <v>630</v>
      </c>
    </row>
    <row r="364" spans="1:13" x14ac:dyDescent="0.3">
      <c r="A364" t="s">
        <v>179</v>
      </c>
      <c r="B364" t="s">
        <v>16</v>
      </c>
      <c r="C364" t="s">
        <v>144</v>
      </c>
      <c r="D364" s="1">
        <v>43714</v>
      </c>
      <c r="E364">
        <v>1</v>
      </c>
      <c r="F364">
        <v>157</v>
      </c>
      <c r="G364" t="s">
        <v>462</v>
      </c>
      <c r="H364" t="str">
        <f>VLOOKUP(A364, product_table!$A:$C, 3, 0)</f>
        <v>Own Brand</v>
      </c>
      <c r="I364" t="str">
        <f>VLOOKUP(transactions_table8[[#This Row],[market_code]],markets_table!$A:$B,2,0)</f>
        <v>Delhi NCR</v>
      </c>
      <c r="J364" t="str">
        <f>VLOOKUP(transactions_table8[[#This Row],[market_code]],markets_table!$A:$C,3,0)</f>
        <v>North</v>
      </c>
      <c r="K364" t="str">
        <f>VLOOKUP(transactions_table8[[#This Row],[customer_code]],customer_table!$A:$B,2,0)</f>
        <v>Info Stores</v>
      </c>
      <c r="L364" t="str">
        <f>VLOOKUP(transactions_table8[[#This Row],[customer_code]],customer_table!$A:$C,3,0)</f>
        <v>Brick &amp; Mortar</v>
      </c>
      <c r="M364">
        <f>IF(TRIM(CLEAN(transactions_table8[[#This Row],[currency]]))="USD",transactions_table8[[#This Row],[sales_amount]]*83,transactions_table8[[#This Row],[sales_amount]])</f>
        <v>157</v>
      </c>
    </row>
    <row r="365" spans="1:13" x14ac:dyDescent="0.3">
      <c r="A365" t="s">
        <v>179</v>
      </c>
      <c r="B365" t="s">
        <v>16</v>
      </c>
      <c r="C365" t="s">
        <v>144</v>
      </c>
      <c r="D365" s="1">
        <v>43721</v>
      </c>
      <c r="E365">
        <v>2</v>
      </c>
      <c r="F365">
        <v>1417</v>
      </c>
      <c r="G365" t="s">
        <v>462</v>
      </c>
      <c r="H365" t="str">
        <f>VLOOKUP(A365, product_table!$A:$C, 3, 0)</f>
        <v>Own Brand</v>
      </c>
      <c r="I365" t="str">
        <f>VLOOKUP(transactions_table8[[#This Row],[market_code]],markets_table!$A:$B,2,0)</f>
        <v>Delhi NCR</v>
      </c>
      <c r="J365" t="str">
        <f>VLOOKUP(transactions_table8[[#This Row],[market_code]],markets_table!$A:$C,3,0)</f>
        <v>North</v>
      </c>
      <c r="K365" t="str">
        <f>VLOOKUP(transactions_table8[[#This Row],[customer_code]],customer_table!$A:$B,2,0)</f>
        <v>Info Stores</v>
      </c>
      <c r="L365" t="str">
        <f>VLOOKUP(transactions_table8[[#This Row],[customer_code]],customer_table!$A:$C,3,0)</f>
        <v>Brick &amp; Mortar</v>
      </c>
      <c r="M365">
        <f>IF(TRIM(CLEAN(transactions_table8[[#This Row],[currency]]))="USD",transactions_table8[[#This Row],[sales_amount]]*83,transactions_table8[[#This Row],[sales_amount]])</f>
        <v>1417</v>
      </c>
    </row>
    <row r="366" spans="1:13" x14ac:dyDescent="0.3">
      <c r="A366" t="s">
        <v>179</v>
      </c>
      <c r="B366" t="s">
        <v>16</v>
      </c>
      <c r="C366" t="s">
        <v>144</v>
      </c>
      <c r="D366" s="1">
        <v>43728</v>
      </c>
      <c r="E366">
        <v>1</v>
      </c>
      <c r="F366">
        <v>630</v>
      </c>
      <c r="G366" t="s">
        <v>462</v>
      </c>
      <c r="H366" t="str">
        <f>VLOOKUP(A366, product_table!$A:$C, 3, 0)</f>
        <v>Own Brand</v>
      </c>
      <c r="I366" t="str">
        <f>VLOOKUP(transactions_table8[[#This Row],[market_code]],markets_table!$A:$B,2,0)</f>
        <v>Delhi NCR</v>
      </c>
      <c r="J366" t="str">
        <f>VLOOKUP(transactions_table8[[#This Row],[market_code]],markets_table!$A:$C,3,0)</f>
        <v>North</v>
      </c>
      <c r="K366" t="str">
        <f>VLOOKUP(transactions_table8[[#This Row],[customer_code]],customer_table!$A:$B,2,0)</f>
        <v>Info Stores</v>
      </c>
      <c r="L366" t="str">
        <f>VLOOKUP(transactions_table8[[#This Row],[customer_code]],customer_table!$A:$C,3,0)</f>
        <v>Brick &amp; Mortar</v>
      </c>
      <c r="M366">
        <f>IF(TRIM(CLEAN(transactions_table8[[#This Row],[currency]]))="USD",transactions_table8[[#This Row],[sales_amount]]*83,transactions_table8[[#This Row],[sales_amount]])</f>
        <v>630</v>
      </c>
    </row>
    <row r="367" spans="1:13" x14ac:dyDescent="0.3">
      <c r="A367" t="s">
        <v>179</v>
      </c>
      <c r="B367" t="s">
        <v>16</v>
      </c>
      <c r="C367" t="s">
        <v>144</v>
      </c>
      <c r="D367" s="1">
        <v>43731</v>
      </c>
      <c r="E367">
        <v>200</v>
      </c>
      <c r="F367">
        <v>66111</v>
      </c>
      <c r="G367" t="s">
        <v>462</v>
      </c>
      <c r="H367" t="str">
        <f>VLOOKUP(A367, product_table!$A:$C, 3, 0)</f>
        <v>Own Brand</v>
      </c>
      <c r="I367" t="str">
        <f>VLOOKUP(transactions_table8[[#This Row],[market_code]],markets_table!$A:$B,2,0)</f>
        <v>Delhi NCR</v>
      </c>
      <c r="J367" t="str">
        <f>VLOOKUP(transactions_table8[[#This Row],[market_code]],markets_table!$A:$C,3,0)</f>
        <v>North</v>
      </c>
      <c r="K367" t="str">
        <f>VLOOKUP(transactions_table8[[#This Row],[customer_code]],customer_table!$A:$B,2,0)</f>
        <v>Info Stores</v>
      </c>
      <c r="L367" t="str">
        <f>VLOOKUP(transactions_table8[[#This Row],[customer_code]],customer_table!$A:$C,3,0)</f>
        <v>Brick &amp; Mortar</v>
      </c>
      <c r="M367">
        <f>IF(TRIM(CLEAN(transactions_table8[[#This Row],[currency]]))="USD",transactions_table8[[#This Row],[sales_amount]]*83,transactions_table8[[#This Row],[sales_amount]])</f>
        <v>66111</v>
      </c>
    </row>
    <row r="368" spans="1:13" x14ac:dyDescent="0.3">
      <c r="A368" t="s">
        <v>179</v>
      </c>
      <c r="B368" t="s">
        <v>16</v>
      </c>
      <c r="C368" t="s">
        <v>144</v>
      </c>
      <c r="D368" s="1">
        <v>43735</v>
      </c>
      <c r="E368">
        <v>2</v>
      </c>
      <c r="F368">
        <v>1884</v>
      </c>
      <c r="G368" t="s">
        <v>462</v>
      </c>
      <c r="H368" t="str">
        <f>VLOOKUP(A368, product_table!$A:$C, 3, 0)</f>
        <v>Own Brand</v>
      </c>
      <c r="I368" t="str">
        <f>VLOOKUP(transactions_table8[[#This Row],[market_code]],markets_table!$A:$B,2,0)</f>
        <v>Delhi NCR</v>
      </c>
      <c r="J368" t="str">
        <f>VLOOKUP(transactions_table8[[#This Row],[market_code]],markets_table!$A:$C,3,0)</f>
        <v>North</v>
      </c>
      <c r="K368" t="str">
        <f>VLOOKUP(transactions_table8[[#This Row],[customer_code]],customer_table!$A:$B,2,0)</f>
        <v>Info Stores</v>
      </c>
      <c r="L368" t="str">
        <f>VLOOKUP(transactions_table8[[#This Row],[customer_code]],customer_table!$A:$C,3,0)</f>
        <v>Brick &amp; Mortar</v>
      </c>
      <c r="M368">
        <f>IF(TRIM(CLEAN(transactions_table8[[#This Row],[currency]]))="USD",transactions_table8[[#This Row],[sales_amount]]*83,transactions_table8[[#This Row],[sales_amount]])</f>
        <v>1884</v>
      </c>
    </row>
    <row r="369" spans="1:13" x14ac:dyDescent="0.3">
      <c r="A369" t="s">
        <v>179</v>
      </c>
      <c r="B369" t="s">
        <v>16</v>
      </c>
      <c r="C369" t="s">
        <v>144</v>
      </c>
      <c r="D369" s="1">
        <v>43745</v>
      </c>
      <c r="E369">
        <v>1</v>
      </c>
      <c r="F369">
        <v>944</v>
      </c>
      <c r="G369" t="s">
        <v>462</v>
      </c>
      <c r="H369" t="str">
        <f>VLOOKUP(A369, product_table!$A:$C, 3, 0)</f>
        <v>Own Brand</v>
      </c>
      <c r="I369" t="str">
        <f>VLOOKUP(transactions_table8[[#This Row],[market_code]],markets_table!$A:$B,2,0)</f>
        <v>Delhi NCR</v>
      </c>
      <c r="J369" t="str">
        <f>VLOOKUP(transactions_table8[[#This Row],[market_code]],markets_table!$A:$C,3,0)</f>
        <v>North</v>
      </c>
      <c r="K369" t="str">
        <f>VLOOKUP(transactions_table8[[#This Row],[customer_code]],customer_table!$A:$B,2,0)</f>
        <v>Info Stores</v>
      </c>
      <c r="L369" t="str">
        <f>VLOOKUP(transactions_table8[[#This Row],[customer_code]],customer_table!$A:$C,3,0)</f>
        <v>Brick &amp; Mortar</v>
      </c>
      <c r="M369">
        <f>IF(TRIM(CLEAN(transactions_table8[[#This Row],[currency]]))="USD",transactions_table8[[#This Row],[sales_amount]]*83,transactions_table8[[#This Row],[sales_amount]])</f>
        <v>944</v>
      </c>
    </row>
    <row r="370" spans="1:13" x14ac:dyDescent="0.3">
      <c r="A370" t="s">
        <v>179</v>
      </c>
      <c r="B370" t="s">
        <v>16</v>
      </c>
      <c r="C370" t="s">
        <v>144</v>
      </c>
      <c r="D370" s="1">
        <v>43766</v>
      </c>
      <c r="E370">
        <v>7</v>
      </c>
      <c r="F370">
        <v>2574</v>
      </c>
      <c r="G370" t="s">
        <v>462</v>
      </c>
      <c r="H370" t="str">
        <f>VLOOKUP(A370, product_table!$A:$C, 3, 0)</f>
        <v>Own Brand</v>
      </c>
      <c r="I370" t="str">
        <f>VLOOKUP(transactions_table8[[#This Row],[market_code]],markets_table!$A:$B,2,0)</f>
        <v>Delhi NCR</v>
      </c>
      <c r="J370" t="str">
        <f>VLOOKUP(transactions_table8[[#This Row],[market_code]],markets_table!$A:$C,3,0)</f>
        <v>North</v>
      </c>
      <c r="K370" t="str">
        <f>VLOOKUP(transactions_table8[[#This Row],[customer_code]],customer_table!$A:$B,2,0)</f>
        <v>Info Stores</v>
      </c>
      <c r="L370" t="str">
        <f>VLOOKUP(transactions_table8[[#This Row],[customer_code]],customer_table!$A:$C,3,0)</f>
        <v>Brick &amp; Mortar</v>
      </c>
      <c r="M370">
        <f>IF(TRIM(CLEAN(transactions_table8[[#This Row],[currency]]))="USD",transactions_table8[[#This Row],[sales_amount]]*83,transactions_table8[[#This Row],[sales_amount]])</f>
        <v>2574</v>
      </c>
    </row>
    <row r="371" spans="1:13" x14ac:dyDescent="0.3">
      <c r="A371" t="s">
        <v>179</v>
      </c>
      <c r="B371" t="s">
        <v>16</v>
      </c>
      <c r="C371" t="s">
        <v>144</v>
      </c>
      <c r="D371" s="1">
        <v>43777</v>
      </c>
      <c r="E371">
        <v>1</v>
      </c>
      <c r="F371">
        <v>630</v>
      </c>
      <c r="G371" t="s">
        <v>462</v>
      </c>
      <c r="H371" t="str">
        <f>VLOOKUP(A371, product_table!$A:$C, 3, 0)</f>
        <v>Own Brand</v>
      </c>
      <c r="I371" t="str">
        <f>VLOOKUP(transactions_table8[[#This Row],[market_code]],markets_table!$A:$B,2,0)</f>
        <v>Delhi NCR</v>
      </c>
      <c r="J371" t="str">
        <f>VLOOKUP(transactions_table8[[#This Row],[market_code]],markets_table!$A:$C,3,0)</f>
        <v>North</v>
      </c>
      <c r="K371" t="str">
        <f>VLOOKUP(transactions_table8[[#This Row],[customer_code]],customer_table!$A:$B,2,0)</f>
        <v>Info Stores</v>
      </c>
      <c r="L371" t="str">
        <f>VLOOKUP(transactions_table8[[#This Row],[customer_code]],customer_table!$A:$C,3,0)</f>
        <v>Brick &amp; Mortar</v>
      </c>
      <c r="M371">
        <f>IF(TRIM(CLEAN(transactions_table8[[#This Row],[currency]]))="USD",transactions_table8[[#This Row],[sales_amount]]*83,transactions_table8[[#This Row],[sales_amount]])</f>
        <v>630</v>
      </c>
    </row>
    <row r="372" spans="1:13" x14ac:dyDescent="0.3">
      <c r="A372" t="s">
        <v>179</v>
      </c>
      <c r="B372" t="s">
        <v>16</v>
      </c>
      <c r="C372" t="s">
        <v>144</v>
      </c>
      <c r="D372" s="1">
        <v>43784</v>
      </c>
      <c r="E372">
        <v>1</v>
      </c>
      <c r="F372">
        <v>472</v>
      </c>
      <c r="G372" t="s">
        <v>462</v>
      </c>
      <c r="H372" t="str">
        <f>VLOOKUP(A372, product_table!$A:$C, 3, 0)</f>
        <v>Own Brand</v>
      </c>
      <c r="I372" t="str">
        <f>VLOOKUP(transactions_table8[[#This Row],[market_code]],markets_table!$A:$B,2,0)</f>
        <v>Delhi NCR</v>
      </c>
      <c r="J372" t="str">
        <f>VLOOKUP(transactions_table8[[#This Row],[market_code]],markets_table!$A:$C,3,0)</f>
        <v>North</v>
      </c>
      <c r="K372" t="str">
        <f>VLOOKUP(transactions_table8[[#This Row],[customer_code]],customer_table!$A:$B,2,0)</f>
        <v>Info Stores</v>
      </c>
      <c r="L372" t="str">
        <f>VLOOKUP(transactions_table8[[#This Row],[customer_code]],customer_table!$A:$C,3,0)</f>
        <v>Brick &amp; Mortar</v>
      </c>
      <c r="M372">
        <f>IF(TRIM(CLEAN(transactions_table8[[#This Row],[currency]]))="USD",transactions_table8[[#This Row],[sales_amount]]*83,transactions_table8[[#This Row],[sales_amount]])</f>
        <v>472</v>
      </c>
    </row>
    <row r="373" spans="1:13" x14ac:dyDescent="0.3">
      <c r="A373" t="s">
        <v>179</v>
      </c>
      <c r="B373" t="s">
        <v>16</v>
      </c>
      <c r="C373" t="s">
        <v>144</v>
      </c>
      <c r="D373" s="1">
        <v>43791</v>
      </c>
      <c r="E373">
        <v>1</v>
      </c>
      <c r="F373">
        <v>944</v>
      </c>
      <c r="G373" t="s">
        <v>462</v>
      </c>
      <c r="H373" t="str">
        <f>VLOOKUP(A373, product_table!$A:$C, 3, 0)</f>
        <v>Own Brand</v>
      </c>
      <c r="I373" t="str">
        <f>VLOOKUP(transactions_table8[[#This Row],[market_code]],markets_table!$A:$B,2,0)</f>
        <v>Delhi NCR</v>
      </c>
      <c r="J373" t="str">
        <f>VLOOKUP(transactions_table8[[#This Row],[market_code]],markets_table!$A:$C,3,0)</f>
        <v>North</v>
      </c>
      <c r="K373" t="str">
        <f>VLOOKUP(transactions_table8[[#This Row],[customer_code]],customer_table!$A:$B,2,0)</f>
        <v>Info Stores</v>
      </c>
      <c r="L373" t="str">
        <f>VLOOKUP(transactions_table8[[#This Row],[customer_code]],customer_table!$A:$C,3,0)</f>
        <v>Brick &amp; Mortar</v>
      </c>
      <c r="M373">
        <f>IF(TRIM(CLEAN(transactions_table8[[#This Row],[currency]]))="USD",transactions_table8[[#This Row],[sales_amount]]*83,transactions_table8[[#This Row],[sales_amount]])</f>
        <v>944</v>
      </c>
    </row>
    <row r="374" spans="1:13" x14ac:dyDescent="0.3">
      <c r="A374" t="s">
        <v>179</v>
      </c>
      <c r="B374" t="s">
        <v>16</v>
      </c>
      <c r="C374" t="s">
        <v>144</v>
      </c>
      <c r="D374" s="1">
        <v>43798</v>
      </c>
      <c r="E374">
        <v>2</v>
      </c>
      <c r="F374">
        <v>1417</v>
      </c>
      <c r="G374" t="s">
        <v>462</v>
      </c>
      <c r="H374" t="str">
        <f>VLOOKUP(A374, product_table!$A:$C, 3, 0)</f>
        <v>Own Brand</v>
      </c>
      <c r="I374" t="str">
        <f>VLOOKUP(transactions_table8[[#This Row],[market_code]],markets_table!$A:$B,2,0)</f>
        <v>Delhi NCR</v>
      </c>
      <c r="J374" t="str">
        <f>VLOOKUP(transactions_table8[[#This Row],[market_code]],markets_table!$A:$C,3,0)</f>
        <v>North</v>
      </c>
      <c r="K374" t="str">
        <f>VLOOKUP(transactions_table8[[#This Row],[customer_code]],customer_table!$A:$B,2,0)</f>
        <v>Info Stores</v>
      </c>
      <c r="L374" t="str">
        <f>VLOOKUP(transactions_table8[[#This Row],[customer_code]],customer_table!$A:$C,3,0)</f>
        <v>Brick &amp; Mortar</v>
      </c>
      <c r="M374">
        <f>IF(TRIM(CLEAN(transactions_table8[[#This Row],[currency]]))="USD",transactions_table8[[#This Row],[sales_amount]]*83,transactions_table8[[#This Row],[sales_amount]])</f>
        <v>1417</v>
      </c>
    </row>
    <row r="375" spans="1:13" x14ac:dyDescent="0.3">
      <c r="A375" t="s">
        <v>179</v>
      </c>
      <c r="B375" t="s">
        <v>16</v>
      </c>
      <c r="C375" t="s">
        <v>144</v>
      </c>
      <c r="D375" s="1">
        <v>43805</v>
      </c>
      <c r="E375">
        <v>1</v>
      </c>
      <c r="F375">
        <v>1259</v>
      </c>
      <c r="G375" t="s">
        <v>462</v>
      </c>
      <c r="H375" t="str">
        <f>VLOOKUP(A375, product_table!$A:$C, 3, 0)</f>
        <v>Own Brand</v>
      </c>
      <c r="I375" t="str">
        <f>VLOOKUP(transactions_table8[[#This Row],[market_code]],markets_table!$A:$B,2,0)</f>
        <v>Delhi NCR</v>
      </c>
      <c r="J375" t="str">
        <f>VLOOKUP(transactions_table8[[#This Row],[market_code]],markets_table!$A:$C,3,0)</f>
        <v>North</v>
      </c>
      <c r="K375" t="str">
        <f>VLOOKUP(transactions_table8[[#This Row],[customer_code]],customer_table!$A:$B,2,0)</f>
        <v>Info Stores</v>
      </c>
      <c r="L375" t="str">
        <f>VLOOKUP(transactions_table8[[#This Row],[customer_code]],customer_table!$A:$C,3,0)</f>
        <v>Brick &amp; Mortar</v>
      </c>
      <c r="M375">
        <f>IF(TRIM(CLEAN(transactions_table8[[#This Row],[currency]]))="USD",transactions_table8[[#This Row],[sales_amount]]*83,transactions_table8[[#This Row],[sales_amount]])</f>
        <v>1259</v>
      </c>
    </row>
    <row r="376" spans="1:13" x14ac:dyDescent="0.3">
      <c r="A376" t="s">
        <v>179</v>
      </c>
      <c r="B376" t="s">
        <v>16</v>
      </c>
      <c r="C376" t="s">
        <v>144</v>
      </c>
      <c r="D376" s="1">
        <v>43812</v>
      </c>
      <c r="E376">
        <v>4</v>
      </c>
      <c r="F376">
        <v>3773</v>
      </c>
      <c r="G376" t="s">
        <v>462</v>
      </c>
      <c r="H376" t="str">
        <f>VLOOKUP(A376, product_table!$A:$C, 3, 0)</f>
        <v>Own Brand</v>
      </c>
      <c r="I376" t="str">
        <f>VLOOKUP(transactions_table8[[#This Row],[market_code]],markets_table!$A:$B,2,0)</f>
        <v>Delhi NCR</v>
      </c>
      <c r="J376" t="str">
        <f>VLOOKUP(transactions_table8[[#This Row],[market_code]],markets_table!$A:$C,3,0)</f>
        <v>North</v>
      </c>
      <c r="K376" t="str">
        <f>VLOOKUP(transactions_table8[[#This Row],[customer_code]],customer_table!$A:$B,2,0)</f>
        <v>Info Stores</v>
      </c>
      <c r="L376" t="str">
        <f>VLOOKUP(transactions_table8[[#This Row],[customer_code]],customer_table!$A:$C,3,0)</f>
        <v>Brick &amp; Mortar</v>
      </c>
      <c r="M376">
        <f>IF(TRIM(CLEAN(transactions_table8[[#This Row],[currency]]))="USD",transactions_table8[[#This Row],[sales_amount]]*83,transactions_table8[[#This Row],[sales_amount]])</f>
        <v>3773</v>
      </c>
    </row>
    <row r="377" spans="1:13" x14ac:dyDescent="0.3">
      <c r="A377" t="s">
        <v>179</v>
      </c>
      <c r="B377" t="s">
        <v>16</v>
      </c>
      <c r="C377" t="s">
        <v>144</v>
      </c>
      <c r="D377" s="1">
        <v>43819</v>
      </c>
      <c r="E377">
        <v>1</v>
      </c>
      <c r="F377">
        <v>315</v>
      </c>
      <c r="G377" t="s">
        <v>462</v>
      </c>
      <c r="H377" t="str">
        <f>VLOOKUP(A377, product_table!$A:$C, 3, 0)</f>
        <v>Own Brand</v>
      </c>
      <c r="I377" t="str">
        <f>VLOOKUP(transactions_table8[[#This Row],[market_code]],markets_table!$A:$B,2,0)</f>
        <v>Delhi NCR</v>
      </c>
      <c r="J377" t="str">
        <f>VLOOKUP(transactions_table8[[#This Row],[market_code]],markets_table!$A:$C,3,0)</f>
        <v>North</v>
      </c>
      <c r="K377" t="str">
        <f>VLOOKUP(transactions_table8[[#This Row],[customer_code]],customer_table!$A:$B,2,0)</f>
        <v>Info Stores</v>
      </c>
      <c r="L377" t="str">
        <f>VLOOKUP(transactions_table8[[#This Row],[customer_code]],customer_table!$A:$C,3,0)</f>
        <v>Brick &amp; Mortar</v>
      </c>
      <c r="M377">
        <f>IF(TRIM(CLEAN(transactions_table8[[#This Row],[currency]]))="USD",transactions_table8[[#This Row],[sales_amount]]*83,transactions_table8[[#This Row],[sales_amount]])</f>
        <v>315</v>
      </c>
    </row>
    <row r="378" spans="1:13" x14ac:dyDescent="0.3">
      <c r="A378" t="s">
        <v>179</v>
      </c>
      <c r="B378" t="s">
        <v>16</v>
      </c>
      <c r="C378" t="s">
        <v>144</v>
      </c>
      <c r="D378" s="1">
        <v>43839</v>
      </c>
      <c r="E378">
        <v>1</v>
      </c>
      <c r="F378">
        <v>630</v>
      </c>
      <c r="G378" t="s">
        <v>462</v>
      </c>
      <c r="H378" t="str">
        <f>VLOOKUP(A378, product_table!$A:$C, 3, 0)</f>
        <v>Own Brand</v>
      </c>
      <c r="I378" t="str">
        <f>VLOOKUP(transactions_table8[[#This Row],[market_code]],markets_table!$A:$B,2,0)</f>
        <v>Delhi NCR</v>
      </c>
      <c r="J378" t="str">
        <f>VLOOKUP(transactions_table8[[#This Row],[market_code]],markets_table!$A:$C,3,0)</f>
        <v>North</v>
      </c>
      <c r="K378" t="str">
        <f>VLOOKUP(transactions_table8[[#This Row],[customer_code]],customer_table!$A:$B,2,0)</f>
        <v>Info Stores</v>
      </c>
      <c r="L378" t="str">
        <f>VLOOKUP(transactions_table8[[#This Row],[customer_code]],customer_table!$A:$C,3,0)</f>
        <v>Brick &amp; Mortar</v>
      </c>
      <c r="M378">
        <f>IF(TRIM(CLEAN(transactions_table8[[#This Row],[currency]]))="USD",transactions_table8[[#This Row],[sales_amount]]*83,transactions_table8[[#This Row],[sales_amount]])</f>
        <v>630</v>
      </c>
    </row>
    <row r="379" spans="1:13" x14ac:dyDescent="0.3">
      <c r="A379" t="s">
        <v>179</v>
      </c>
      <c r="B379" t="s">
        <v>16</v>
      </c>
      <c r="C379" t="s">
        <v>144</v>
      </c>
      <c r="D379" s="1">
        <v>43840</v>
      </c>
      <c r="E379">
        <v>1</v>
      </c>
      <c r="F379">
        <v>472</v>
      </c>
      <c r="G379" t="s">
        <v>462</v>
      </c>
      <c r="H379" t="str">
        <f>VLOOKUP(A379, product_table!$A:$C, 3, 0)</f>
        <v>Own Brand</v>
      </c>
      <c r="I379" t="str">
        <f>VLOOKUP(transactions_table8[[#This Row],[market_code]],markets_table!$A:$B,2,0)</f>
        <v>Delhi NCR</v>
      </c>
      <c r="J379" t="str">
        <f>VLOOKUP(transactions_table8[[#This Row],[market_code]],markets_table!$A:$C,3,0)</f>
        <v>North</v>
      </c>
      <c r="K379" t="str">
        <f>VLOOKUP(transactions_table8[[#This Row],[customer_code]],customer_table!$A:$B,2,0)</f>
        <v>Info Stores</v>
      </c>
      <c r="L379" t="str">
        <f>VLOOKUP(transactions_table8[[#This Row],[customer_code]],customer_table!$A:$C,3,0)</f>
        <v>Brick &amp; Mortar</v>
      </c>
      <c r="M379">
        <f>IF(TRIM(CLEAN(transactions_table8[[#This Row],[currency]]))="USD",transactions_table8[[#This Row],[sales_amount]]*83,transactions_table8[[#This Row],[sales_amount]])</f>
        <v>472</v>
      </c>
    </row>
    <row r="380" spans="1:13" x14ac:dyDescent="0.3">
      <c r="A380" t="s">
        <v>179</v>
      </c>
      <c r="B380" t="s">
        <v>16</v>
      </c>
      <c r="C380" t="s">
        <v>144</v>
      </c>
      <c r="D380" s="1">
        <v>43847</v>
      </c>
      <c r="E380">
        <v>2</v>
      </c>
      <c r="F380">
        <v>2042</v>
      </c>
      <c r="G380" t="s">
        <v>462</v>
      </c>
      <c r="H380" t="str">
        <f>VLOOKUP(A380, product_table!$A:$C, 3, 0)</f>
        <v>Own Brand</v>
      </c>
      <c r="I380" t="str">
        <f>VLOOKUP(transactions_table8[[#This Row],[market_code]],markets_table!$A:$B,2,0)</f>
        <v>Delhi NCR</v>
      </c>
      <c r="J380" t="str">
        <f>VLOOKUP(transactions_table8[[#This Row],[market_code]],markets_table!$A:$C,3,0)</f>
        <v>North</v>
      </c>
      <c r="K380" t="str">
        <f>VLOOKUP(transactions_table8[[#This Row],[customer_code]],customer_table!$A:$B,2,0)</f>
        <v>Info Stores</v>
      </c>
      <c r="L380" t="str">
        <f>VLOOKUP(transactions_table8[[#This Row],[customer_code]],customer_table!$A:$C,3,0)</f>
        <v>Brick &amp; Mortar</v>
      </c>
      <c r="M380">
        <f>IF(TRIM(CLEAN(transactions_table8[[#This Row],[currency]]))="USD",transactions_table8[[#This Row],[sales_amount]]*83,transactions_table8[[#This Row],[sales_amount]])</f>
        <v>2042</v>
      </c>
    </row>
    <row r="381" spans="1:13" x14ac:dyDescent="0.3">
      <c r="A381" t="s">
        <v>179</v>
      </c>
      <c r="B381" t="s">
        <v>16</v>
      </c>
      <c r="C381" t="s">
        <v>144</v>
      </c>
      <c r="D381" s="1">
        <v>43868</v>
      </c>
      <c r="E381">
        <v>1</v>
      </c>
      <c r="F381">
        <v>417</v>
      </c>
      <c r="G381" t="s">
        <v>462</v>
      </c>
      <c r="H381" t="str">
        <f>VLOOKUP(A381, product_table!$A:$C, 3, 0)</f>
        <v>Own Brand</v>
      </c>
      <c r="I381" t="str">
        <f>VLOOKUP(transactions_table8[[#This Row],[market_code]],markets_table!$A:$B,2,0)</f>
        <v>Delhi NCR</v>
      </c>
      <c r="J381" t="str">
        <f>VLOOKUP(transactions_table8[[#This Row],[market_code]],markets_table!$A:$C,3,0)</f>
        <v>North</v>
      </c>
      <c r="K381" t="str">
        <f>VLOOKUP(transactions_table8[[#This Row],[customer_code]],customer_table!$A:$B,2,0)</f>
        <v>Info Stores</v>
      </c>
      <c r="L381" t="str">
        <f>VLOOKUP(transactions_table8[[#This Row],[customer_code]],customer_table!$A:$C,3,0)</f>
        <v>Brick &amp; Mortar</v>
      </c>
      <c r="M381">
        <f>IF(TRIM(CLEAN(transactions_table8[[#This Row],[currency]]))="USD",transactions_table8[[#This Row],[sales_amount]]*83,transactions_table8[[#This Row],[sales_amount]])</f>
        <v>417</v>
      </c>
    </row>
    <row r="382" spans="1:13" x14ac:dyDescent="0.3">
      <c r="A382" t="s">
        <v>179</v>
      </c>
      <c r="B382" t="s">
        <v>16</v>
      </c>
      <c r="C382" t="s">
        <v>144</v>
      </c>
      <c r="D382" s="1">
        <v>43875</v>
      </c>
      <c r="E382">
        <v>1</v>
      </c>
      <c r="F382">
        <v>310</v>
      </c>
      <c r="G382" t="s">
        <v>462</v>
      </c>
      <c r="H382" t="str">
        <f>VLOOKUP(A382, product_table!$A:$C, 3, 0)</f>
        <v>Own Brand</v>
      </c>
      <c r="I382" t="str">
        <f>VLOOKUP(transactions_table8[[#This Row],[market_code]],markets_table!$A:$B,2,0)</f>
        <v>Delhi NCR</v>
      </c>
      <c r="J382" t="str">
        <f>VLOOKUP(transactions_table8[[#This Row],[market_code]],markets_table!$A:$C,3,0)</f>
        <v>North</v>
      </c>
      <c r="K382" t="str">
        <f>VLOOKUP(transactions_table8[[#This Row],[customer_code]],customer_table!$A:$B,2,0)</f>
        <v>Info Stores</v>
      </c>
      <c r="L382" t="str">
        <f>VLOOKUP(transactions_table8[[#This Row],[customer_code]],customer_table!$A:$C,3,0)</f>
        <v>Brick &amp; Mortar</v>
      </c>
      <c r="M382">
        <f>IF(TRIM(CLEAN(transactions_table8[[#This Row],[currency]]))="USD",transactions_table8[[#This Row],[sales_amount]]*83,transactions_table8[[#This Row],[sales_amount]])</f>
        <v>310</v>
      </c>
    </row>
    <row r="383" spans="1:13" x14ac:dyDescent="0.3">
      <c r="A383" t="s">
        <v>179</v>
      </c>
      <c r="B383" t="s">
        <v>16</v>
      </c>
      <c r="C383" t="s">
        <v>144</v>
      </c>
      <c r="D383" s="1">
        <v>43889</v>
      </c>
      <c r="E383">
        <v>1</v>
      </c>
      <c r="F383">
        <v>208</v>
      </c>
      <c r="G383" t="s">
        <v>462</v>
      </c>
      <c r="H383" t="str">
        <f>VLOOKUP(A383, product_table!$A:$C, 3, 0)</f>
        <v>Own Brand</v>
      </c>
      <c r="I383" t="str">
        <f>VLOOKUP(transactions_table8[[#This Row],[market_code]],markets_table!$A:$B,2,0)</f>
        <v>Delhi NCR</v>
      </c>
      <c r="J383" t="str">
        <f>VLOOKUP(transactions_table8[[#This Row],[market_code]],markets_table!$A:$C,3,0)</f>
        <v>North</v>
      </c>
      <c r="K383" t="str">
        <f>VLOOKUP(transactions_table8[[#This Row],[customer_code]],customer_table!$A:$B,2,0)</f>
        <v>Info Stores</v>
      </c>
      <c r="L383" t="str">
        <f>VLOOKUP(transactions_table8[[#This Row],[customer_code]],customer_table!$A:$C,3,0)</f>
        <v>Brick &amp; Mortar</v>
      </c>
      <c r="M383">
        <f>IF(TRIM(CLEAN(transactions_table8[[#This Row],[currency]]))="USD",transactions_table8[[#This Row],[sales_amount]]*83,transactions_table8[[#This Row],[sales_amount]])</f>
        <v>208</v>
      </c>
    </row>
    <row r="384" spans="1:13" x14ac:dyDescent="0.3">
      <c r="A384" t="s">
        <v>179</v>
      </c>
      <c r="B384" t="s">
        <v>16</v>
      </c>
      <c r="C384" t="s">
        <v>144</v>
      </c>
      <c r="D384" s="1">
        <v>43896</v>
      </c>
      <c r="E384">
        <v>1</v>
      </c>
      <c r="F384">
        <v>620</v>
      </c>
      <c r="G384" t="s">
        <v>462</v>
      </c>
      <c r="H384" t="str">
        <f>VLOOKUP(A384, product_table!$A:$C, 3, 0)</f>
        <v>Own Brand</v>
      </c>
      <c r="I384" t="str">
        <f>VLOOKUP(transactions_table8[[#This Row],[market_code]],markets_table!$A:$B,2,0)</f>
        <v>Delhi NCR</v>
      </c>
      <c r="J384" t="str">
        <f>VLOOKUP(transactions_table8[[#This Row],[market_code]],markets_table!$A:$C,3,0)</f>
        <v>North</v>
      </c>
      <c r="K384" t="str">
        <f>VLOOKUP(transactions_table8[[#This Row],[customer_code]],customer_table!$A:$B,2,0)</f>
        <v>Info Stores</v>
      </c>
      <c r="L384" t="str">
        <f>VLOOKUP(transactions_table8[[#This Row],[customer_code]],customer_table!$A:$C,3,0)</f>
        <v>Brick &amp; Mortar</v>
      </c>
      <c r="M384">
        <f>IF(TRIM(CLEAN(transactions_table8[[#This Row],[currency]]))="USD",transactions_table8[[#This Row],[sales_amount]]*83,transactions_table8[[#This Row],[sales_amount]])</f>
        <v>620</v>
      </c>
    </row>
    <row r="385" spans="1:13" x14ac:dyDescent="0.3">
      <c r="A385" t="s">
        <v>179</v>
      </c>
      <c r="B385" t="s">
        <v>16</v>
      </c>
      <c r="C385" t="s">
        <v>144</v>
      </c>
      <c r="D385" s="1">
        <v>43903</v>
      </c>
      <c r="E385">
        <v>1</v>
      </c>
      <c r="F385">
        <v>620</v>
      </c>
      <c r="G385" t="s">
        <v>462</v>
      </c>
      <c r="H385" t="str">
        <f>VLOOKUP(A385, product_table!$A:$C, 3, 0)</f>
        <v>Own Brand</v>
      </c>
      <c r="I385" t="str">
        <f>VLOOKUP(transactions_table8[[#This Row],[market_code]],markets_table!$A:$B,2,0)</f>
        <v>Delhi NCR</v>
      </c>
      <c r="J385" t="str">
        <f>VLOOKUP(transactions_table8[[#This Row],[market_code]],markets_table!$A:$C,3,0)</f>
        <v>North</v>
      </c>
      <c r="K385" t="str">
        <f>VLOOKUP(transactions_table8[[#This Row],[customer_code]],customer_table!$A:$B,2,0)</f>
        <v>Info Stores</v>
      </c>
      <c r="L385" t="str">
        <f>VLOOKUP(transactions_table8[[#This Row],[customer_code]],customer_table!$A:$C,3,0)</f>
        <v>Brick &amp; Mortar</v>
      </c>
      <c r="M385">
        <f>IF(TRIM(CLEAN(transactions_table8[[#This Row],[currency]]))="USD",transactions_table8[[#This Row],[sales_amount]]*83,transactions_table8[[#This Row],[sales_amount]])</f>
        <v>620</v>
      </c>
    </row>
    <row r="386" spans="1:13" x14ac:dyDescent="0.3">
      <c r="A386" t="s">
        <v>179</v>
      </c>
      <c r="B386" t="s">
        <v>16</v>
      </c>
      <c r="C386" t="s">
        <v>144</v>
      </c>
      <c r="D386" s="1">
        <v>43924</v>
      </c>
      <c r="E386">
        <v>1</v>
      </c>
      <c r="F386">
        <v>829</v>
      </c>
      <c r="G386" t="s">
        <v>462</v>
      </c>
      <c r="H386" t="str">
        <f>VLOOKUP(A386, product_table!$A:$C, 3, 0)</f>
        <v>Own Brand</v>
      </c>
      <c r="I386" t="str">
        <f>VLOOKUP(transactions_table8[[#This Row],[market_code]],markets_table!$A:$B,2,0)</f>
        <v>Delhi NCR</v>
      </c>
      <c r="J386" t="str">
        <f>VLOOKUP(transactions_table8[[#This Row],[market_code]],markets_table!$A:$C,3,0)</f>
        <v>North</v>
      </c>
      <c r="K386" t="str">
        <f>VLOOKUP(transactions_table8[[#This Row],[customer_code]],customer_table!$A:$B,2,0)</f>
        <v>Info Stores</v>
      </c>
      <c r="L386" t="str">
        <f>VLOOKUP(transactions_table8[[#This Row],[customer_code]],customer_table!$A:$C,3,0)</f>
        <v>Brick &amp; Mortar</v>
      </c>
      <c r="M386">
        <f>IF(TRIM(CLEAN(transactions_table8[[#This Row],[currency]]))="USD",transactions_table8[[#This Row],[sales_amount]]*83,transactions_table8[[#This Row],[sales_amount]])</f>
        <v>829</v>
      </c>
    </row>
    <row r="387" spans="1:13" x14ac:dyDescent="0.3">
      <c r="A387" t="s">
        <v>179</v>
      </c>
      <c r="B387" t="s">
        <v>16</v>
      </c>
      <c r="C387" t="s">
        <v>144</v>
      </c>
      <c r="D387" s="1">
        <v>43935</v>
      </c>
      <c r="E387">
        <v>4</v>
      </c>
      <c r="F387">
        <v>2694</v>
      </c>
      <c r="G387" t="s">
        <v>462</v>
      </c>
      <c r="H387" t="str">
        <f>VLOOKUP(A387, product_table!$A:$C, 3, 0)</f>
        <v>Own Brand</v>
      </c>
      <c r="I387" t="str">
        <f>VLOOKUP(transactions_table8[[#This Row],[market_code]],markets_table!$A:$B,2,0)</f>
        <v>Delhi NCR</v>
      </c>
      <c r="J387" t="str">
        <f>VLOOKUP(transactions_table8[[#This Row],[market_code]],markets_table!$A:$C,3,0)</f>
        <v>North</v>
      </c>
      <c r="K387" t="str">
        <f>VLOOKUP(transactions_table8[[#This Row],[customer_code]],customer_table!$A:$B,2,0)</f>
        <v>Info Stores</v>
      </c>
      <c r="L387" t="str">
        <f>VLOOKUP(transactions_table8[[#This Row],[customer_code]],customer_table!$A:$C,3,0)</f>
        <v>Brick &amp; Mortar</v>
      </c>
      <c r="M387">
        <f>IF(TRIM(CLEAN(transactions_table8[[#This Row],[currency]]))="USD",transactions_table8[[#This Row],[sales_amount]]*83,transactions_table8[[#This Row],[sales_amount]])</f>
        <v>2694</v>
      </c>
    </row>
    <row r="388" spans="1:13" x14ac:dyDescent="0.3">
      <c r="A388" t="s">
        <v>179</v>
      </c>
      <c r="B388" t="s">
        <v>16</v>
      </c>
      <c r="C388" t="s">
        <v>144</v>
      </c>
      <c r="D388" s="1">
        <v>43941</v>
      </c>
      <c r="E388">
        <v>1</v>
      </c>
      <c r="F388">
        <v>102</v>
      </c>
      <c r="G388" t="s">
        <v>462</v>
      </c>
      <c r="H388" t="str">
        <f>VLOOKUP(A388, product_table!$A:$C, 3, 0)</f>
        <v>Own Brand</v>
      </c>
      <c r="I388" t="str">
        <f>VLOOKUP(transactions_table8[[#This Row],[market_code]],markets_table!$A:$B,2,0)</f>
        <v>Delhi NCR</v>
      </c>
      <c r="J388" t="str">
        <f>VLOOKUP(transactions_table8[[#This Row],[market_code]],markets_table!$A:$C,3,0)</f>
        <v>North</v>
      </c>
      <c r="K388" t="str">
        <f>VLOOKUP(transactions_table8[[#This Row],[customer_code]],customer_table!$A:$B,2,0)</f>
        <v>Info Stores</v>
      </c>
      <c r="L388" t="str">
        <f>VLOOKUP(transactions_table8[[#This Row],[customer_code]],customer_table!$A:$C,3,0)</f>
        <v>Brick &amp; Mortar</v>
      </c>
      <c r="M388">
        <f>IF(TRIM(CLEAN(transactions_table8[[#This Row],[currency]]))="USD",transactions_table8[[#This Row],[sales_amount]]*83,transactions_table8[[#This Row],[sales_amount]])</f>
        <v>102</v>
      </c>
    </row>
    <row r="389" spans="1:13" x14ac:dyDescent="0.3">
      <c r="A389" t="s">
        <v>179</v>
      </c>
      <c r="B389" t="s">
        <v>16</v>
      </c>
      <c r="C389" t="s">
        <v>144</v>
      </c>
      <c r="D389" s="1">
        <v>43966</v>
      </c>
      <c r="E389">
        <v>2</v>
      </c>
      <c r="F389">
        <v>528</v>
      </c>
      <c r="G389" t="s">
        <v>462</v>
      </c>
      <c r="H389" t="str">
        <f>VLOOKUP(A389, product_table!$A:$C, 3, 0)</f>
        <v>Own Brand</v>
      </c>
      <c r="I389" t="str">
        <f>VLOOKUP(transactions_table8[[#This Row],[market_code]],markets_table!$A:$B,2,0)</f>
        <v>Delhi NCR</v>
      </c>
      <c r="J389" t="str">
        <f>VLOOKUP(transactions_table8[[#This Row],[market_code]],markets_table!$A:$C,3,0)</f>
        <v>North</v>
      </c>
      <c r="K389" t="str">
        <f>VLOOKUP(transactions_table8[[#This Row],[customer_code]],customer_table!$A:$B,2,0)</f>
        <v>Info Stores</v>
      </c>
      <c r="L389" t="str">
        <f>VLOOKUP(transactions_table8[[#This Row],[customer_code]],customer_table!$A:$C,3,0)</f>
        <v>Brick &amp; Mortar</v>
      </c>
      <c r="M389">
        <f>IF(TRIM(CLEAN(transactions_table8[[#This Row],[currency]]))="USD",transactions_table8[[#This Row],[sales_amount]]*83,transactions_table8[[#This Row],[sales_amount]])</f>
        <v>528</v>
      </c>
    </row>
    <row r="390" spans="1:13" x14ac:dyDescent="0.3">
      <c r="A390" t="s">
        <v>180</v>
      </c>
      <c r="B390" t="s">
        <v>12</v>
      </c>
      <c r="C390" t="s">
        <v>144</v>
      </c>
      <c r="D390" s="1">
        <v>43032</v>
      </c>
      <c r="E390">
        <v>1</v>
      </c>
      <c r="F390">
        <v>380</v>
      </c>
      <c r="G390" t="s">
        <v>462</v>
      </c>
      <c r="H390" t="str">
        <f>VLOOKUP(A390, product_table!$A:$C, 3, 0)</f>
        <v>Own Brand</v>
      </c>
      <c r="I390" t="str">
        <f>VLOOKUP(transactions_table8[[#This Row],[market_code]],markets_table!$A:$B,2,0)</f>
        <v>Delhi NCR</v>
      </c>
      <c r="J390" t="str">
        <f>VLOOKUP(transactions_table8[[#This Row],[market_code]],markets_table!$A:$C,3,0)</f>
        <v>North</v>
      </c>
      <c r="K390" t="str">
        <f>VLOOKUP(transactions_table8[[#This Row],[customer_code]],customer_table!$A:$B,2,0)</f>
        <v>Premium Stores</v>
      </c>
      <c r="L390" t="str">
        <f>VLOOKUP(transactions_table8[[#This Row],[customer_code]],customer_table!$A:$C,3,0)</f>
        <v>Brick &amp; Mortar</v>
      </c>
      <c r="M390">
        <f>IF(TRIM(CLEAN(transactions_table8[[#This Row],[currency]]))="USD",transactions_table8[[#This Row],[sales_amount]]*83,transactions_table8[[#This Row],[sales_amount]])</f>
        <v>380</v>
      </c>
    </row>
    <row r="391" spans="1:13" x14ac:dyDescent="0.3">
      <c r="A391" t="s">
        <v>180</v>
      </c>
      <c r="B391" t="s">
        <v>16</v>
      </c>
      <c r="C391" t="s">
        <v>144</v>
      </c>
      <c r="D391" s="1">
        <v>43033</v>
      </c>
      <c r="E391">
        <v>1</v>
      </c>
      <c r="F391">
        <v>560</v>
      </c>
      <c r="G391" t="s">
        <v>462</v>
      </c>
      <c r="H391" t="str">
        <f>VLOOKUP(A391, product_table!$A:$C, 3, 0)</f>
        <v>Own Brand</v>
      </c>
      <c r="I391" t="str">
        <f>VLOOKUP(transactions_table8[[#This Row],[market_code]],markets_table!$A:$B,2,0)</f>
        <v>Delhi NCR</v>
      </c>
      <c r="J391" t="str">
        <f>VLOOKUP(transactions_table8[[#This Row],[market_code]],markets_table!$A:$C,3,0)</f>
        <v>North</v>
      </c>
      <c r="K391" t="str">
        <f>VLOOKUP(transactions_table8[[#This Row],[customer_code]],customer_table!$A:$B,2,0)</f>
        <v>Info Stores</v>
      </c>
      <c r="L391" t="str">
        <f>VLOOKUP(transactions_table8[[#This Row],[customer_code]],customer_table!$A:$C,3,0)</f>
        <v>Brick &amp; Mortar</v>
      </c>
      <c r="M391">
        <f>IF(TRIM(CLEAN(transactions_table8[[#This Row],[currency]]))="USD",transactions_table8[[#This Row],[sales_amount]]*83,transactions_table8[[#This Row],[sales_amount]])</f>
        <v>560</v>
      </c>
    </row>
    <row r="392" spans="1:13" x14ac:dyDescent="0.3">
      <c r="A392" t="s">
        <v>180</v>
      </c>
      <c r="B392" t="s">
        <v>16</v>
      </c>
      <c r="C392" t="s">
        <v>144</v>
      </c>
      <c r="D392" s="1">
        <v>43038</v>
      </c>
      <c r="E392">
        <v>1</v>
      </c>
      <c r="F392">
        <v>560</v>
      </c>
      <c r="G392" t="s">
        <v>462</v>
      </c>
      <c r="H392" t="str">
        <f>VLOOKUP(A392, product_table!$A:$C, 3, 0)</f>
        <v>Own Brand</v>
      </c>
      <c r="I392" t="str">
        <f>VLOOKUP(transactions_table8[[#This Row],[market_code]],markets_table!$A:$B,2,0)</f>
        <v>Delhi NCR</v>
      </c>
      <c r="J392" t="str">
        <f>VLOOKUP(transactions_table8[[#This Row],[market_code]],markets_table!$A:$C,3,0)</f>
        <v>North</v>
      </c>
      <c r="K392" t="str">
        <f>VLOOKUP(transactions_table8[[#This Row],[customer_code]],customer_table!$A:$B,2,0)</f>
        <v>Info Stores</v>
      </c>
      <c r="L392" t="str">
        <f>VLOOKUP(transactions_table8[[#This Row],[customer_code]],customer_table!$A:$C,3,0)</f>
        <v>Brick &amp; Mortar</v>
      </c>
      <c r="M392">
        <f>IF(TRIM(CLEAN(transactions_table8[[#This Row],[currency]]))="USD",transactions_table8[[#This Row],[sales_amount]]*83,transactions_table8[[#This Row],[sales_amount]])</f>
        <v>560</v>
      </c>
    </row>
    <row r="393" spans="1:13" x14ac:dyDescent="0.3">
      <c r="A393" t="s">
        <v>180</v>
      </c>
      <c r="B393" t="s">
        <v>16</v>
      </c>
      <c r="C393" t="s">
        <v>144</v>
      </c>
      <c r="D393" s="1">
        <v>43066</v>
      </c>
      <c r="E393">
        <v>1</v>
      </c>
      <c r="F393">
        <v>1116</v>
      </c>
      <c r="G393" t="s">
        <v>462</v>
      </c>
      <c r="H393" t="str">
        <f>VLOOKUP(A393, product_table!$A:$C, 3, 0)</f>
        <v>Own Brand</v>
      </c>
      <c r="I393" t="str">
        <f>VLOOKUP(transactions_table8[[#This Row],[market_code]],markets_table!$A:$B,2,0)</f>
        <v>Delhi NCR</v>
      </c>
      <c r="J393" t="str">
        <f>VLOOKUP(transactions_table8[[#This Row],[market_code]],markets_table!$A:$C,3,0)</f>
        <v>North</v>
      </c>
      <c r="K393" t="str">
        <f>VLOOKUP(transactions_table8[[#This Row],[customer_code]],customer_table!$A:$B,2,0)</f>
        <v>Info Stores</v>
      </c>
      <c r="L393" t="str">
        <f>VLOOKUP(transactions_table8[[#This Row],[customer_code]],customer_table!$A:$C,3,0)</f>
        <v>Brick &amp; Mortar</v>
      </c>
      <c r="M393">
        <f>IF(TRIM(CLEAN(transactions_table8[[#This Row],[currency]]))="USD",transactions_table8[[#This Row],[sales_amount]]*83,transactions_table8[[#This Row],[sales_amount]])</f>
        <v>1116</v>
      </c>
    </row>
    <row r="394" spans="1:13" x14ac:dyDescent="0.3">
      <c r="A394" t="s">
        <v>180</v>
      </c>
      <c r="B394" t="s">
        <v>18</v>
      </c>
      <c r="C394" t="s">
        <v>146</v>
      </c>
      <c r="D394" s="1">
        <v>43080</v>
      </c>
      <c r="E394">
        <v>1</v>
      </c>
      <c r="F394">
        <v>657</v>
      </c>
      <c r="G394" t="s">
        <v>462</v>
      </c>
      <c r="H394" t="str">
        <f>VLOOKUP(A394, product_table!$A:$C, 3, 0)</f>
        <v>Own Brand</v>
      </c>
      <c r="I394" t="str">
        <f>VLOOKUP(transactions_table8[[#This Row],[market_code]],markets_table!$A:$B,2,0)</f>
        <v>Kanpur</v>
      </c>
      <c r="J394" t="str">
        <f>VLOOKUP(transactions_table8[[#This Row],[market_code]],markets_table!$A:$C,3,0)</f>
        <v>North</v>
      </c>
      <c r="K394" t="str">
        <f>VLOOKUP(transactions_table8[[#This Row],[customer_code]],customer_table!$A:$B,2,0)</f>
        <v>Acclaimed Stores</v>
      </c>
      <c r="L394" t="str">
        <f>VLOOKUP(transactions_table8[[#This Row],[customer_code]],customer_table!$A:$C,3,0)</f>
        <v>Brick &amp; Mortar</v>
      </c>
      <c r="M394">
        <f>IF(TRIM(CLEAN(transactions_table8[[#This Row],[currency]]))="USD",transactions_table8[[#This Row],[sales_amount]]*83,transactions_table8[[#This Row],[sales_amount]])</f>
        <v>657</v>
      </c>
    </row>
    <row r="395" spans="1:13" x14ac:dyDescent="0.3">
      <c r="A395" t="s">
        <v>180</v>
      </c>
      <c r="B395" t="s">
        <v>16</v>
      </c>
      <c r="C395" t="s">
        <v>144</v>
      </c>
      <c r="D395" s="1">
        <v>43081</v>
      </c>
      <c r="E395">
        <v>1</v>
      </c>
      <c r="F395">
        <v>560</v>
      </c>
      <c r="G395" t="s">
        <v>462</v>
      </c>
      <c r="H395" t="str">
        <f>VLOOKUP(A395, product_table!$A:$C, 3, 0)</f>
        <v>Own Brand</v>
      </c>
      <c r="I395" t="str">
        <f>VLOOKUP(transactions_table8[[#This Row],[market_code]],markets_table!$A:$B,2,0)</f>
        <v>Delhi NCR</v>
      </c>
      <c r="J395" t="str">
        <f>VLOOKUP(transactions_table8[[#This Row],[market_code]],markets_table!$A:$C,3,0)</f>
        <v>North</v>
      </c>
      <c r="K395" t="str">
        <f>VLOOKUP(transactions_table8[[#This Row],[customer_code]],customer_table!$A:$B,2,0)</f>
        <v>Info Stores</v>
      </c>
      <c r="L395" t="str">
        <f>VLOOKUP(transactions_table8[[#This Row],[customer_code]],customer_table!$A:$C,3,0)</f>
        <v>Brick &amp; Mortar</v>
      </c>
      <c r="M395">
        <f>IF(TRIM(CLEAN(transactions_table8[[#This Row],[currency]]))="USD",transactions_table8[[#This Row],[sales_amount]]*83,transactions_table8[[#This Row],[sales_amount]])</f>
        <v>560</v>
      </c>
    </row>
    <row r="396" spans="1:13" x14ac:dyDescent="0.3">
      <c r="A396" t="s">
        <v>180</v>
      </c>
      <c r="B396" t="s">
        <v>18</v>
      </c>
      <c r="C396" t="s">
        <v>146</v>
      </c>
      <c r="D396" s="1">
        <v>43088</v>
      </c>
      <c r="E396">
        <v>1</v>
      </c>
      <c r="F396">
        <v>657</v>
      </c>
      <c r="G396" t="s">
        <v>462</v>
      </c>
      <c r="H396" t="str">
        <f>VLOOKUP(A396, product_table!$A:$C, 3, 0)</f>
        <v>Own Brand</v>
      </c>
      <c r="I396" t="str">
        <f>VLOOKUP(transactions_table8[[#This Row],[market_code]],markets_table!$A:$B,2,0)</f>
        <v>Kanpur</v>
      </c>
      <c r="J396" t="str">
        <f>VLOOKUP(transactions_table8[[#This Row],[market_code]],markets_table!$A:$C,3,0)</f>
        <v>North</v>
      </c>
      <c r="K396" t="str">
        <f>VLOOKUP(transactions_table8[[#This Row],[customer_code]],customer_table!$A:$B,2,0)</f>
        <v>Acclaimed Stores</v>
      </c>
      <c r="L396" t="str">
        <f>VLOOKUP(transactions_table8[[#This Row],[customer_code]],customer_table!$A:$C,3,0)</f>
        <v>Brick &amp; Mortar</v>
      </c>
      <c r="M396">
        <f>IF(TRIM(CLEAN(transactions_table8[[#This Row],[currency]]))="USD",transactions_table8[[#This Row],[sales_amount]]*83,transactions_table8[[#This Row],[sales_amount]])</f>
        <v>657</v>
      </c>
    </row>
    <row r="397" spans="1:13" x14ac:dyDescent="0.3">
      <c r="A397" t="s">
        <v>180</v>
      </c>
      <c r="B397" t="s">
        <v>16</v>
      </c>
      <c r="C397" t="s">
        <v>144</v>
      </c>
      <c r="D397" s="1">
        <v>43143</v>
      </c>
      <c r="E397">
        <v>1</v>
      </c>
      <c r="F397">
        <v>560</v>
      </c>
      <c r="G397" t="s">
        <v>462</v>
      </c>
      <c r="H397" t="str">
        <f>VLOOKUP(A397, product_table!$A:$C, 3, 0)</f>
        <v>Own Brand</v>
      </c>
      <c r="I397" t="str">
        <f>VLOOKUP(transactions_table8[[#This Row],[market_code]],markets_table!$A:$B,2,0)</f>
        <v>Delhi NCR</v>
      </c>
      <c r="J397" t="str">
        <f>VLOOKUP(transactions_table8[[#This Row],[market_code]],markets_table!$A:$C,3,0)</f>
        <v>North</v>
      </c>
      <c r="K397" t="str">
        <f>VLOOKUP(transactions_table8[[#This Row],[customer_code]],customer_table!$A:$B,2,0)</f>
        <v>Info Stores</v>
      </c>
      <c r="L397" t="str">
        <f>VLOOKUP(transactions_table8[[#This Row],[customer_code]],customer_table!$A:$C,3,0)</f>
        <v>Brick &amp; Mortar</v>
      </c>
      <c r="M397">
        <f>IF(TRIM(CLEAN(transactions_table8[[#This Row],[currency]]))="USD",transactions_table8[[#This Row],[sales_amount]]*83,transactions_table8[[#This Row],[sales_amount]])</f>
        <v>560</v>
      </c>
    </row>
    <row r="398" spans="1:13" x14ac:dyDescent="0.3">
      <c r="A398" t="s">
        <v>181</v>
      </c>
      <c r="B398" t="s">
        <v>16</v>
      </c>
      <c r="C398" t="s">
        <v>144</v>
      </c>
      <c r="D398" s="1">
        <v>43392</v>
      </c>
      <c r="E398">
        <v>11</v>
      </c>
      <c r="F398">
        <v>6218</v>
      </c>
      <c r="G398" t="s">
        <v>462</v>
      </c>
      <c r="H398" t="str">
        <f>VLOOKUP(A398, product_table!$A:$C, 3, 0)</f>
        <v>Own Brand</v>
      </c>
      <c r="I398" t="str">
        <f>VLOOKUP(transactions_table8[[#This Row],[market_code]],markets_table!$A:$B,2,0)</f>
        <v>Delhi NCR</v>
      </c>
      <c r="J398" t="str">
        <f>VLOOKUP(transactions_table8[[#This Row],[market_code]],markets_table!$A:$C,3,0)</f>
        <v>North</v>
      </c>
      <c r="K398" t="str">
        <f>VLOOKUP(transactions_table8[[#This Row],[customer_code]],customer_table!$A:$B,2,0)</f>
        <v>Info Stores</v>
      </c>
      <c r="L398" t="str">
        <f>VLOOKUP(transactions_table8[[#This Row],[customer_code]],customer_table!$A:$C,3,0)</f>
        <v>Brick &amp; Mortar</v>
      </c>
      <c r="M398">
        <f>IF(TRIM(CLEAN(transactions_table8[[#This Row],[currency]]))="USD",transactions_table8[[#This Row],[sales_amount]]*83,transactions_table8[[#This Row],[sales_amount]])</f>
        <v>6218</v>
      </c>
    </row>
    <row r="399" spans="1:13" x14ac:dyDescent="0.3">
      <c r="A399" t="s">
        <v>182</v>
      </c>
      <c r="B399" t="s">
        <v>16</v>
      </c>
      <c r="C399" t="s">
        <v>144</v>
      </c>
      <c r="D399" s="1">
        <v>43059</v>
      </c>
      <c r="E399">
        <v>7</v>
      </c>
      <c r="F399">
        <v>2426</v>
      </c>
      <c r="G399" t="s">
        <v>462</v>
      </c>
      <c r="H399" t="str">
        <f>VLOOKUP(A399, product_table!$A:$C, 3, 0)</f>
        <v>Own Brand</v>
      </c>
      <c r="I399" t="str">
        <f>VLOOKUP(transactions_table8[[#This Row],[market_code]],markets_table!$A:$B,2,0)</f>
        <v>Delhi NCR</v>
      </c>
      <c r="J399" t="str">
        <f>VLOOKUP(transactions_table8[[#This Row],[market_code]],markets_table!$A:$C,3,0)</f>
        <v>North</v>
      </c>
      <c r="K399" t="str">
        <f>VLOOKUP(transactions_table8[[#This Row],[customer_code]],customer_table!$A:$B,2,0)</f>
        <v>Info Stores</v>
      </c>
      <c r="L399" t="str">
        <f>VLOOKUP(transactions_table8[[#This Row],[customer_code]],customer_table!$A:$C,3,0)</f>
        <v>Brick &amp; Mortar</v>
      </c>
      <c r="M399">
        <f>IF(TRIM(CLEAN(transactions_table8[[#This Row],[currency]]))="USD",transactions_table8[[#This Row],[sales_amount]]*83,transactions_table8[[#This Row],[sales_amount]])</f>
        <v>2426</v>
      </c>
    </row>
    <row r="400" spans="1:13" x14ac:dyDescent="0.3">
      <c r="A400" t="s">
        <v>182</v>
      </c>
      <c r="B400" t="s">
        <v>16</v>
      </c>
      <c r="C400" t="s">
        <v>144</v>
      </c>
      <c r="D400" s="1">
        <v>43063</v>
      </c>
      <c r="E400">
        <v>33</v>
      </c>
      <c r="F400">
        <v>15278</v>
      </c>
      <c r="G400" t="s">
        <v>462</v>
      </c>
      <c r="H400" t="str">
        <f>VLOOKUP(A400, product_table!$A:$C, 3, 0)</f>
        <v>Own Brand</v>
      </c>
      <c r="I400" t="str">
        <f>VLOOKUP(transactions_table8[[#This Row],[market_code]],markets_table!$A:$B,2,0)</f>
        <v>Delhi NCR</v>
      </c>
      <c r="J400" t="str">
        <f>VLOOKUP(transactions_table8[[#This Row],[market_code]],markets_table!$A:$C,3,0)</f>
        <v>North</v>
      </c>
      <c r="K400" t="str">
        <f>VLOOKUP(transactions_table8[[#This Row],[customer_code]],customer_table!$A:$B,2,0)</f>
        <v>Info Stores</v>
      </c>
      <c r="L400" t="str">
        <f>VLOOKUP(transactions_table8[[#This Row],[customer_code]],customer_table!$A:$C,3,0)</f>
        <v>Brick &amp; Mortar</v>
      </c>
      <c r="M400">
        <f>IF(TRIM(CLEAN(transactions_table8[[#This Row],[currency]]))="USD",transactions_table8[[#This Row],[sales_amount]]*83,transactions_table8[[#This Row],[sales_amount]])</f>
        <v>15278</v>
      </c>
    </row>
    <row r="401" spans="1:13" x14ac:dyDescent="0.3">
      <c r="A401" t="s">
        <v>183</v>
      </c>
      <c r="B401" t="s">
        <v>20</v>
      </c>
      <c r="C401" t="s">
        <v>138</v>
      </c>
      <c r="D401" s="1">
        <v>43418</v>
      </c>
      <c r="E401">
        <v>3</v>
      </c>
      <c r="F401">
        <v>3032</v>
      </c>
      <c r="G401" t="s">
        <v>462</v>
      </c>
      <c r="H401" t="str">
        <f>VLOOKUP(A401, product_table!$A:$C, 3, 0)</f>
        <v>Own Brand</v>
      </c>
      <c r="I401" t="str">
        <f>VLOOKUP(transactions_table8[[#This Row],[market_code]],markets_table!$A:$B,2,0)</f>
        <v>Mumbai</v>
      </c>
      <c r="J401" t="str">
        <f>VLOOKUP(transactions_table8[[#This Row],[market_code]],markets_table!$A:$C,3,0)</f>
        <v>Central</v>
      </c>
      <c r="K401" t="str">
        <f>VLOOKUP(transactions_table8[[#This Row],[customer_code]],customer_table!$A:$B,2,0)</f>
        <v>Electricalsquipo Stores</v>
      </c>
      <c r="L401" t="str">
        <f>VLOOKUP(transactions_table8[[#This Row],[customer_code]],customer_table!$A:$C,3,0)</f>
        <v>Brick &amp; Mortar</v>
      </c>
      <c r="M401">
        <f>IF(TRIM(CLEAN(transactions_table8[[#This Row],[currency]]))="USD",transactions_table8[[#This Row],[sales_amount]]*83,transactions_table8[[#This Row],[sales_amount]])</f>
        <v>3032</v>
      </c>
    </row>
    <row r="402" spans="1:13" x14ac:dyDescent="0.3">
      <c r="A402" t="s">
        <v>183</v>
      </c>
      <c r="B402" t="s">
        <v>22</v>
      </c>
      <c r="C402" t="s">
        <v>141</v>
      </c>
      <c r="D402" s="1">
        <v>43607</v>
      </c>
      <c r="E402">
        <v>2</v>
      </c>
      <c r="F402">
        <v>3194</v>
      </c>
      <c r="G402" t="s">
        <v>462</v>
      </c>
      <c r="H402" t="str">
        <f>VLOOKUP(A402, product_table!$A:$C, 3, 0)</f>
        <v>Own Brand</v>
      </c>
      <c r="I402" t="str">
        <f>VLOOKUP(transactions_table8[[#This Row],[market_code]],markets_table!$A:$B,2,0)</f>
        <v>Ahmedabad</v>
      </c>
      <c r="J402" t="str">
        <f>VLOOKUP(transactions_table8[[#This Row],[market_code]],markets_table!$A:$C,3,0)</f>
        <v>North</v>
      </c>
      <c r="K402" t="str">
        <f>VLOOKUP(transactions_table8[[#This Row],[customer_code]],customer_table!$A:$B,2,0)</f>
        <v>Atlas Stores</v>
      </c>
      <c r="L402" t="str">
        <f>VLOOKUP(transactions_table8[[#This Row],[customer_code]],customer_table!$A:$C,3,0)</f>
        <v>Brick &amp; Mortar</v>
      </c>
      <c r="M402">
        <f>IF(TRIM(CLEAN(transactions_table8[[#This Row],[currency]]))="USD",transactions_table8[[#This Row],[sales_amount]]*83,transactions_table8[[#This Row],[sales_amount]])</f>
        <v>3194</v>
      </c>
    </row>
    <row r="403" spans="1:13" x14ac:dyDescent="0.3">
      <c r="A403" t="s">
        <v>183</v>
      </c>
      <c r="B403" t="s">
        <v>22</v>
      </c>
      <c r="C403" t="s">
        <v>141</v>
      </c>
      <c r="D403" s="1">
        <v>43608</v>
      </c>
      <c r="E403">
        <v>1</v>
      </c>
      <c r="F403">
        <v>912</v>
      </c>
      <c r="G403" t="s">
        <v>462</v>
      </c>
      <c r="H403" t="str">
        <f>VLOOKUP(A403, product_table!$A:$C, 3, 0)</f>
        <v>Own Brand</v>
      </c>
      <c r="I403" t="str">
        <f>VLOOKUP(transactions_table8[[#This Row],[market_code]],markets_table!$A:$B,2,0)</f>
        <v>Ahmedabad</v>
      </c>
      <c r="J403" t="str">
        <f>VLOOKUP(transactions_table8[[#This Row],[market_code]],markets_table!$A:$C,3,0)</f>
        <v>North</v>
      </c>
      <c r="K403" t="str">
        <f>VLOOKUP(transactions_table8[[#This Row],[customer_code]],customer_table!$A:$B,2,0)</f>
        <v>Atlas Stores</v>
      </c>
      <c r="L403" t="str">
        <f>VLOOKUP(transactions_table8[[#This Row],[customer_code]],customer_table!$A:$C,3,0)</f>
        <v>Brick &amp; Mortar</v>
      </c>
      <c r="M403">
        <f>IF(TRIM(CLEAN(transactions_table8[[#This Row],[currency]]))="USD",transactions_table8[[#This Row],[sales_amount]]*83,transactions_table8[[#This Row],[sales_amount]])</f>
        <v>912</v>
      </c>
    </row>
    <row r="404" spans="1:13" x14ac:dyDescent="0.3">
      <c r="A404" t="s">
        <v>183</v>
      </c>
      <c r="B404" t="s">
        <v>22</v>
      </c>
      <c r="C404" t="s">
        <v>141</v>
      </c>
      <c r="D404" s="1">
        <v>43613</v>
      </c>
      <c r="E404">
        <v>1</v>
      </c>
      <c r="F404">
        <v>1824</v>
      </c>
      <c r="G404" t="s">
        <v>462</v>
      </c>
      <c r="H404" t="str">
        <f>VLOOKUP(A404, product_table!$A:$C, 3, 0)</f>
        <v>Own Brand</v>
      </c>
      <c r="I404" t="str">
        <f>VLOOKUP(transactions_table8[[#This Row],[market_code]],markets_table!$A:$B,2,0)</f>
        <v>Ahmedabad</v>
      </c>
      <c r="J404" t="str">
        <f>VLOOKUP(transactions_table8[[#This Row],[market_code]],markets_table!$A:$C,3,0)</f>
        <v>North</v>
      </c>
      <c r="K404" t="str">
        <f>VLOOKUP(transactions_table8[[#This Row],[customer_code]],customer_table!$A:$B,2,0)</f>
        <v>Atlas Stores</v>
      </c>
      <c r="L404" t="str">
        <f>VLOOKUP(transactions_table8[[#This Row],[customer_code]],customer_table!$A:$C,3,0)</f>
        <v>Brick &amp; Mortar</v>
      </c>
      <c r="M404">
        <f>IF(TRIM(CLEAN(transactions_table8[[#This Row],[currency]]))="USD",transactions_table8[[#This Row],[sales_amount]]*83,transactions_table8[[#This Row],[sales_amount]])</f>
        <v>1824</v>
      </c>
    </row>
    <row r="405" spans="1:13" x14ac:dyDescent="0.3">
      <c r="A405" t="s">
        <v>183</v>
      </c>
      <c r="B405" t="s">
        <v>22</v>
      </c>
      <c r="C405" t="s">
        <v>141</v>
      </c>
      <c r="D405" s="1">
        <v>43614</v>
      </c>
      <c r="E405">
        <v>1</v>
      </c>
      <c r="F405">
        <v>458</v>
      </c>
      <c r="G405" t="s">
        <v>462</v>
      </c>
      <c r="H405" t="str">
        <f>VLOOKUP(A405, product_table!$A:$C, 3, 0)</f>
        <v>Own Brand</v>
      </c>
      <c r="I405" t="str">
        <f>VLOOKUP(transactions_table8[[#This Row],[market_code]],markets_table!$A:$B,2,0)</f>
        <v>Ahmedabad</v>
      </c>
      <c r="J405" t="str">
        <f>VLOOKUP(transactions_table8[[#This Row],[market_code]],markets_table!$A:$C,3,0)</f>
        <v>North</v>
      </c>
      <c r="K405" t="str">
        <f>VLOOKUP(transactions_table8[[#This Row],[customer_code]],customer_table!$A:$B,2,0)</f>
        <v>Atlas Stores</v>
      </c>
      <c r="L405" t="str">
        <f>VLOOKUP(transactions_table8[[#This Row],[customer_code]],customer_table!$A:$C,3,0)</f>
        <v>Brick &amp; Mortar</v>
      </c>
      <c r="M405">
        <f>IF(TRIM(CLEAN(transactions_table8[[#This Row],[currency]]))="USD",transactions_table8[[#This Row],[sales_amount]]*83,transactions_table8[[#This Row],[sales_amount]])</f>
        <v>458</v>
      </c>
    </row>
    <row r="406" spans="1:13" x14ac:dyDescent="0.3">
      <c r="A406" t="s">
        <v>183</v>
      </c>
      <c r="B406" t="s">
        <v>8</v>
      </c>
      <c r="C406" t="s">
        <v>141</v>
      </c>
      <c r="D406" s="1">
        <v>43616</v>
      </c>
      <c r="E406">
        <v>3</v>
      </c>
      <c r="F406">
        <v>4444</v>
      </c>
      <c r="G406" t="s">
        <v>462</v>
      </c>
      <c r="H406" t="str">
        <f>VLOOKUP(A406, product_table!$A:$C, 3, 0)</f>
        <v>Own Brand</v>
      </c>
      <c r="I406" t="str">
        <f>VLOOKUP(transactions_table8[[#This Row],[market_code]],markets_table!$A:$B,2,0)</f>
        <v>Ahmedabad</v>
      </c>
      <c r="J406" t="str">
        <f>VLOOKUP(transactions_table8[[#This Row],[market_code]],markets_table!$A:$C,3,0)</f>
        <v>North</v>
      </c>
      <c r="K406" t="str">
        <f>VLOOKUP(transactions_table8[[#This Row],[customer_code]],customer_table!$A:$B,2,0)</f>
        <v>Excel Stores</v>
      </c>
      <c r="L406" t="str">
        <f>VLOOKUP(transactions_table8[[#This Row],[customer_code]],customer_table!$A:$C,3,0)</f>
        <v>Brick &amp; Mortar</v>
      </c>
      <c r="M406">
        <f>IF(TRIM(CLEAN(transactions_table8[[#This Row],[currency]]))="USD",transactions_table8[[#This Row],[sales_amount]]*83,transactions_table8[[#This Row],[sales_amount]])</f>
        <v>4444</v>
      </c>
    </row>
    <row r="407" spans="1:13" x14ac:dyDescent="0.3">
      <c r="A407" t="s">
        <v>183</v>
      </c>
      <c r="B407" t="s">
        <v>22</v>
      </c>
      <c r="C407" t="s">
        <v>141</v>
      </c>
      <c r="D407" s="1">
        <v>43619</v>
      </c>
      <c r="E407">
        <v>1</v>
      </c>
      <c r="F407">
        <v>458</v>
      </c>
      <c r="G407" t="s">
        <v>462</v>
      </c>
      <c r="H407" t="str">
        <f>VLOOKUP(A407, product_table!$A:$C, 3, 0)</f>
        <v>Own Brand</v>
      </c>
      <c r="I407" t="str">
        <f>VLOOKUP(transactions_table8[[#This Row],[market_code]],markets_table!$A:$B,2,0)</f>
        <v>Ahmedabad</v>
      </c>
      <c r="J407" t="str">
        <f>VLOOKUP(transactions_table8[[#This Row],[market_code]],markets_table!$A:$C,3,0)</f>
        <v>North</v>
      </c>
      <c r="K407" t="str">
        <f>VLOOKUP(transactions_table8[[#This Row],[customer_code]],customer_table!$A:$B,2,0)</f>
        <v>Atlas Stores</v>
      </c>
      <c r="L407" t="str">
        <f>VLOOKUP(transactions_table8[[#This Row],[customer_code]],customer_table!$A:$C,3,0)</f>
        <v>Brick &amp; Mortar</v>
      </c>
      <c r="M407">
        <f>IF(TRIM(CLEAN(transactions_table8[[#This Row],[currency]]))="USD",transactions_table8[[#This Row],[sales_amount]]*83,transactions_table8[[#This Row],[sales_amount]])</f>
        <v>458</v>
      </c>
    </row>
    <row r="408" spans="1:13" x14ac:dyDescent="0.3">
      <c r="A408" t="s">
        <v>183</v>
      </c>
      <c r="B408" t="s">
        <v>22</v>
      </c>
      <c r="C408" t="s">
        <v>141</v>
      </c>
      <c r="D408" s="1">
        <v>43620</v>
      </c>
      <c r="E408">
        <v>1</v>
      </c>
      <c r="F408">
        <v>458</v>
      </c>
      <c r="G408" t="s">
        <v>462</v>
      </c>
      <c r="H408" t="str">
        <f>VLOOKUP(A408, product_table!$A:$C, 3, 0)</f>
        <v>Own Brand</v>
      </c>
      <c r="I408" t="str">
        <f>VLOOKUP(transactions_table8[[#This Row],[market_code]],markets_table!$A:$B,2,0)</f>
        <v>Ahmedabad</v>
      </c>
      <c r="J408" t="str">
        <f>VLOOKUP(transactions_table8[[#This Row],[market_code]],markets_table!$A:$C,3,0)</f>
        <v>North</v>
      </c>
      <c r="K408" t="str">
        <f>VLOOKUP(transactions_table8[[#This Row],[customer_code]],customer_table!$A:$B,2,0)</f>
        <v>Atlas Stores</v>
      </c>
      <c r="L408" t="str">
        <f>VLOOKUP(transactions_table8[[#This Row],[customer_code]],customer_table!$A:$C,3,0)</f>
        <v>Brick &amp; Mortar</v>
      </c>
      <c r="M408">
        <f>IF(TRIM(CLEAN(transactions_table8[[#This Row],[currency]]))="USD",transactions_table8[[#This Row],[sales_amount]]*83,transactions_table8[[#This Row],[sales_amount]])</f>
        <v>458</v>
      </c>
    </row>
    <row r="409" spans="1:13" x14ac:dyDescent="0.3">
      <c r="A409" t="s">
        <v>183</v>
      </c>
      <c r="B409" t="s">
        <v>22</v>
      </c>
      <c r="C409" t="s">
        <v>141</v>
      </c>
      <c r="D409" s="1">
        <v>43621</v>
      </c>
      <c r="E409">
        <v>1</v>
      </c>
      <c r="F409">
        <v>1824</v>
      </c>
      <c r="G409" t="s">
        <v>462</v>
      </c>
      <c r="H409" t="str">
        <f>VLOOKUP(A409, product_table!$A:$C, 3, 0)</f>
        <v>Own Brand</v>
      </c>
      <c r="I409" t="str">
        <f>VLOOKUP(transactions_table8[[#This Row],[market_code]],markets_table!$A:$B,2,0)</f>
        <v>Ahmedabad</v>
      </c>
      <c r="J409" t="str">
        <f>VLOOKUP(transactions_table8[[#This Row],[market_code]],markets_table!$A:$C,3,0)</f>
        <v>North</v>
      </c>
      <c r="K409" t="str">
        <f>VLOOKUP(transactions_table8[[#This Row],[customer_code]],customer_table!$A:$B,2,0)</f>
        <v>Atlas Stores</v>
      </c>
      <c r="L409" t="str">
        <f>VLOOKUP(transactions_table8[[#This Row],[customer_code]],customer_table!$A:$C,3,0)</f>
        <v>Brick &amp; Mortar</v>
      </c>
      <c r="M409">
        <f>IF(TRIM(CLEAN(transactions_table8[[#This Row],[currency]]))="USD",transactions_table8[[#This Row],[sales_amount]]*83,transactions_table8[[#This Row],[sales_amount]])</f>
        <v>1824</v>
      </c>
    </row>
    <row r="410" spans="1:13" x14ac:dyDescent="0.3">
      <c r="A410" t="s">
        <v>183</v>
      </c>
      <c r="B410" t="s">
        <v>8</v>
      </c>
      <c r="C410" t="s">
        <v>141</v>
      </c>
      <c r="D410" s="1">
        <v>43621</v>
      </c>
      <c r="E410">
        <v>2</v>
      </c>
      <c r="F410">
        <v>2667</v>
      </c>
      <c r="G410" t="s">
        <v>462</v>
      </c>
      <c r="H410" t="str">
        <f>VLOOKUP(A410, product_table!$A:$C, 3, 0)</f>
        <v>Own Brand</v>
      </c>
      <c r="I410" t="str">
        <f>VLOOKUP(transactions_table8[[#This Row],[market_code]],markets_table!$A:$B,2,0)</f>
        <v>Ahmedabad</v>
      </c>
      <c r="J410" t="str">
        <f>VLOOKUP(transactions_table8[[#This Row],[market_code]],markets_table!$A:$C,3,0)</f>
        <v>North</v>
      </c>
      <c r="K410" t="str">
        <f>VLOOKUP(transactions_table8[[#This Row],[customer_code]],customer_table!$A:$B,2,0)</f>
        <v>Excel Stores</v>
      </c>
      <c r="L410" t="str">
        <f>VLOOKUP(transactions_table8[[#This Row],[customer_code]],customer_table!$A:$C,3,0)</f>
        <v>Brick &amp; Mortar</v>
      </c>
      <c r="M410">
        <f>IF(TRIM(CLEAN(transactions_table8[[#This Row],[currency]]))="USD",transactions_table8[[#This Row],[sales_amount]]*83,transactions_table8[[#This Row],[sales_amount]])</f>
        <v>2667</v>
      </c>
    </row>
    <row r="411" spans="1:13" x14ac:dyDescent="0.3">
      <c r="A411" t="s">
        <v>183</v>
      </c>
      <c r="B411" t="s">
        <v>22</v>
      </c>
      <c r="C411" t="s">
        <v>141</v>
      </c>
      <c r="D411" s="1">
        <v>43622</v>
      </c>
      <c r="E411">
        <v>14</v>
      </c>
      <c r="F411">
        <v>19171</v>
      </c>
      <c r="G411" t="s">
        <v>462</v>
      </c>
      <c r="H411" t="str">
        <f>VLOOKUP(A411, product_table!$A:$C, 3, 0)</f>
        <v>Own Brand</v>
      </c>
      <c r="I411" t="str">
        <f>VLOOKUP(transactions_table8[[#This Row],[market_code]],markets_table!$A:$B,2,0)</f>
        <v>Ahmedabad</v>
      </c>
      <c r="J411" t="str">
        <f>VLOOKUP(transactions_table8[[#This Row],[market_code]],markets_table!$A:$C,3,0)</f>
        <v>North</v>
      </c>
      <c r="K411" t="str">
        <f>VLOOKUP(transactions_table8[[#This Row],[customer_code]],customer_table!$A:$B,2,0)</f>
        <v>Atlas Stores</v>
      </c>
      <c r="L411" t="str">
        <f>VLOOKUP(transactions_table8[[#This Row],[customer_code]],customer_table!$A:$C,3,0)</f>
        <v>Brick &amp; Mortar</v>
      </c>
      <c r="M411">
        <f>IF(TRIM(CLEAN(transactions_table8[[#This Row],[currency]]))="USD",transactions_table8[[#This Row],[sales_amount]]*83,transactions_table8[[#This Row],[sales_amount]])</f>
        <v>19171</v>
      </c>
    </row>
    <row r="412" spans="1:13" x14ac:dyDescent="0.3">
      <c r="A412" t="s">
        <v>183</v>
      </c>
      <c r="B412" t="s">
        <v>22</v>
      </c>
      <c r="C412" t="s">
        <v>141</v>
      </c>
      <c r="D412" s="1">
        <v>43623</v>
      </c>
      <c r="E412">
        <v>1</v>
      </c>
      <c r="F412">
        <v>458</v>
      </c>
      <c r="G412" t="s">
        <v>462</v>
      </c>
      <c r="H412" t="str">
        <f>VLOOKUP(A412, product_table!$A:$C, 3, 0)</f>
        <v>Own Brand</v>
      </c>
      <c r="I412" t="str">
        <f>VLOOKUP(transactions_table8[[#This Row],[market_code]],markets_table!$A:$B,2,0)</f>
        <v>Ahmedabad</v>
      </c>
      <c r="J412" t="str">
        <f>VLOOKUP(transactions_table8[[#This Row],[market_code]],markets_table!$A:$C,3,0)</f>
        <v>North</v>
      </c>
      <c r="K412" t="str">
        <f>VLOOKUP(transactions_table8[[#This Row],[customer_code]],customer_table!$A:$B,2,0)</f>
        <v>Atlas Stores</v>
      </c>
      <c r="L412" t="str">
        <f>VLOOKUP(transactions_table8[[#This Row],[customer_code]],customer_table!$A:$C,3,0)</f>
        <v>Brick &amp; Mortar</v>
      </c>
      <c r="M412">
        <f>IF(TRIM(CLEAN(transactions_table8[[#This Row],[currency]]))="USD",transactions_table8[[#This Row],[sales_amount]]*83,transactions_table8[[#This Row],[sales_amount]])</f>
        <v>458</v>
      </c>
    </row>
    <row r="413" spans="1:13" x14ac:dyDescent="0.3">
      <c r="A413" t="s">
        <v>183</v>
      </c>
      <c r="B413" t="s">
        <v>22</v>
      </c>
      <c r="C413" t="s">
        <v>141</v>
      </c>
      <c r="D413" s="1">
        <v>43627</v>
      </c>
      <c r="E413">
        <v>1</v>
      </c>
      <c r="F413">
        <v>458</v>
      </c>
      <c r="G413" t="s">
        <v>462</v>
      </c>
      <c r="H413" t="str">
        <f>VLOOKUP(A413, product_table!$A:$C, 3, 0)</f>
        <v>Own Brand</v>
      </c>
      <c r="I413" t="str">
        <f>VLOOKUP(transactions_table8[[#This Row],[market_code]],markets_table!$A:$B,2,0)</f>
        <v>Ahmedabad</v>
      </c>
      <c r="J413" t="str">
        <f>VLOOKUP(transactions_table8[[#This Row],[market_code]],markets_table!$A:$C,3,0)</f>
        <v>North</v>
      </c>
      <c r="K413" t="str">
        <f>VLOOKUP(transactions_table8[[#This Row],[customer_code]],customer_table!$A:$B,2,0)</f>
        <v>Atlas Stores</v>
      </c>
      <c r="L413" t="str">
        <f>VLOOKUP(transactions_table8[[#This Row],[customer_code]],customer_table!$A:$C,3,0)</f>
        <v>Brick &amp; Mortar</v>
      </c>
      <c r="M413">
        <f>IF(TRIM(CLEAN(transactions_table8[[#This Row],[currency]]))="USD",transactions_table8[[#This Row],[sales_amount]]*83,transactions_table8[[#This Row],[sales_amount]])</f>
        <v>458</v>
      </c>
    </row>
    <row r="414" spans="1:13" x14ac:dyDescent="0.3">
      <c r="A414" t="s">
        <v>183</v>
      </c>
      <c r="B414" t="s">
        <v>22</v>
      </c>
      <c r="C414" t="s">
        <v>141</v>
      </c>
      <c r="D414" s="1">
        <v>43628</v>
      </c>
      <c r="E414">
        <v>1</v>
      </c>
      <c r="F414">
        <v>458</v>
      </c>
      <c r="G414" t="s">
        <v>462</v>
      </c>
      <c r="H414" t="str">
        <f>VLOOKUP(A414, product_table!$A:$C, 3, 0)</f>
        <v>Own Brand</v>
      </c>
      <c r="I414" t="str">
        <f>VLOOKUP(transactions_table8[[#This Row],[market_code]],markets_table!$A:$B,2,0)</f>
        <v>Ahmedabad</v>
      </c>
      <c r="J414" t="str">
        <f>VLOOKUP(transactions_table8[[#This Row],[market_code]],markets_table!$A:$C,3,0)</f>
        <v>North</v>
      </c>
      <c r="K414" t="str">
        <f>VLOOKUP(transactions_table8[[#This Row],[customer_code]],customer_table!$A:$B,2,0)</f>
        <v>Atlas Stores</v>
      </c>
      <c r="L414" t="str">
        <f>VLOOKUP(transactions_table8[[#This Row],[customer_code]],customer_table!$A:$C,3,0)</f>
        <v>Brick &amp; Mortar</v>
      </c>
      <c r="M414">
        <f>IF(TRIM(CLEAN(transactions_table8[[#This Row],[currency]]))="USD",transactions_table8[[#This Row],[sales_amount]]*83,transactions_table8[[#This Row],[sales_amount]])</f>
        <v>458</v>
      </c>
    </row>
    <row r="415" spans="1:13" x14ac:dyDescent="0.3">
      <c r="A415" t="s">
        <v>183</v>
      </c>
      <c r="B415" t="s">
        <v>22</v>
      </c>
      <c r="C415" t="s">
        <v>141</v>
      </c>
      <c r="D415" s="1">
        <v>43630</v>
      </c>
      <c r="E415">
        <v>1</v>
      </c>
      <c r="F415">
        <v>1370</v>
      </c>
      <c r="G415" t="s">
        <v>462</v>
      </c>
      <c r="H415" t="str">
        <f>VLOOKUP(A415, product_table!$A:$C, 3, 0)</f>
        <v>Own Brand</v>
      </c>
      <c r="I415" t="str">
        <f>VLOOKUP(transactions_table8[[#This Row],[market_code]],markets_table!$A:$B,2,0)</f>
        <v>Ahmedabad</v>
      </c>
      <c r="J415" t="str">
        <f>VLOOKUP(transactions_table8[[#This Row],[market_code]],markets_table!$A:$C,3,0)</f>
        <v>North</v>
      </c>
      <c r="K415" t="str">
        <f>VLOOKUP(transactions_table8[[#This Row],[customer_code]],customer_table!$A:$B,2,0)</f>
        <v>Atlas Stores</v>
      </c>
      <c r="L415" t="str">
        <f>VLOOKUP(transactions_table8[[#This Row],[customer_code]],customer_table!$A:$C,3,0)</f>
        <v>Brick &amp; Mortar</v>
      </c>
      <c r="M415">
        <f>IF(TRIM(CLEAN(transactions_table8[[#This Row],[currency]]))="USD",transactions_table8[[#This Row],[sales_amount]]*83,transactions_table8[[#This Row],[sales_amount]])</f>
        <v>1370</v>
      </c>
    </row>
    <row r="416" spans="1:13" x14ac:dyDescent="0.3">
      <c r="A416" t="s">
        <v>183</v>
      </c>
      <c r="B416" t="s">
        <v>8</v>
      </c>
      <c r="C416" t="s">
        <v>141</v>
      </c>
      <c r="D416" s="1">
        <v>43630</v>
      </c>
      <c r="E416">
        <v>2</v>
      </c>
      <c r="F416">
        <v>2667</v>
      </c>
      <c r="G416" t="s">
        <v>462</v>
      </c>
      <c r="H416" t="str">
        <f>VLOOKUP(A416, product_table!$A:$C, 3, 0)</f>
        <v>Own Brand</v>
      </c>
      <c r="I416" t="str">
        <f>VLOOKUP(transactions_table8[[#This Row],[market_code]],markets_table!$A:$B,2,0)</f>
        <v>Ahmedabad</v>
      </c>
      <c r="J416" t="str">
        <f>VLOOKUP(transactions_table8[[#This Row],[market_code]],markets_table!$A:$C,3,0)</f>
        <v>North</v>
      </c>
      <c r="K416" t="str">
        <f>VLOOKUP(transactions_table8[[#This Row],[customer_code]],customer_table!$A:$B,2,0)</f>
        <v>Excel Stores</v>
      </c>
      <c r="L416" t="str">
        <f>VLOOKUP(transactions_table8[[#This Row],[customer_code]],customer_table!$A:$C,3,0)</f>
        <v>Brick &amp; Mortar</v>
      </c>
      <c r="M416">
        <f>IF(TRIM(CLEAN(transactions_table8[[#This Row],[currency]]))="USD",transactions_table8[[#This Row],[sales_amount]]*83,transactions_table8[[#This Row],[sales_amount]])</f>
        <v>2667</v>
      </c>
    </row>
    <row r="417" spans="1:13" x14ac:dyDescent="0.3">
      <c r="A417" t="s">
        <v>183</v>
      </c>
      <c r="B417" t="s">
        <v>8</v>
      </c>
      <c r="C417" t="s">
        <v>141</v>
      </c>
      <c r="D417" s="1">
        <v>43633</v>
      </c>
      <c r="E417">
        <v>1</v>
      </c>
      <c r="F417">
        <v>1333</v>
      </c>
      <c r="G417" t="s">
        <v>462</v>
      </c>
      <c r="H417" t="str">
        <f>VLOOKUP(A417, product_table!$A:$C, 3, 0)</f>
        <v>Own Brand</v>
      </c>
      <c r="I417" t="str">
        <f>VLOOKUP(transactions_table8[[#This Row],[market_code]],markets_table!$A:$B,2,0)</f>
        <v>Ahmedabad</v>
      </c>
      <c r="J417" t="str">
        <f>VLOOKUP(transactions_table8[[#This Row],[market_code]],markets_table!$A:$C,3,0)</f>
        <v>North</v>
      </c>
      <c r="K417" t="str">
        <f>VLOOKUP(transactions_table8[[#This Row],[customer_code]],customer_table!$A:$B,2,0)</f>
        <v>Excel Stores</v>
      </c>
      <c r="L417" t="str">
        <f>VLOOKUP(transactions_table8[[#This Row],[customer_code]],customer_table!$A:$C,3,0)</f>
        <v>Brick &amp; Mortar</v>
      </c>
      <c r="M417">
        <f>IF(TRIM(CLEAN(transactions_table8[[#This Row],[currency]]))="USD",transactions_table8[[#This Row],[sales_amount]]*83,transactions_table8[[#This Row],[sales_amount]])</f>
        <v>1333</v>
      </c>
    </row>
    <row r="418" spans="1:13" x14ac:dyDescent="0.3">
      <c r="A418" t="s">
        <v>183</v>
      </c>
      <c r="B418" t="s">
        <v>24</v>
      </c>
      <c r="C418" t="s">
        <v>141</v>
      </c>
      <c r="D418" s="1">
        <v>43634</v>
      </c>
      <c r="E418">
        <v>1</v>
      </c>
      <c r="F418">
        <v>597</v>
      </c>
      <c r="G418" t="s">
        <v>462</v>
      </c>
      <c r="H418" t="str">
        <f>VLOOKUP(A418, product_table!$A:$C, 3, 0)</f>
        <v>Own Brand</v>
      </c>
      <c r="I418" t="str">
        <f>VLOOKUP(transactions_table8[[#This Row],[market_code]],markets_table!$A:$B,2,0)</f>
        <v>Ahmedabad</v>
      </c>
      <c r="J418" t="str">
        <f>VLOOKUP(transactions_table8[[#This Row],[market_code]],markets_table!$A:$C,3,0)</f>
        <v>North</v>
      </c>
      <c r="K418" t="str">
        <f>VLOOKUP(transactions_table8[[#This Row],[customer_code]],customer_table!$A:$B,2,0)</f>
        <v>Flawless Stores</v>
      </c>
      <c r="L418" t="str">
        <f>VLOOKUP(transactions_table8[[#This Row],[customer_code]],customer_table!$A:$C,3,0)</f>
        <v>Brick &amp; Mortar</v>
      </c>
      <c r="M418">
        <f>IF(TRIM(CLEAN(transactions_table8[[#This Row],[currency]]))="USD",transactions_table8[[#This Row],[sales_amount]]*83,transactions_table8[[#This Row],[sales_amount]])</f>
        <v>597</v>
      </c>
    </row>
    <row r="419" spans="1:13" x14ac:dyDescent="0.3">
      <c r="A419" t="s">
        <v>183</v>
      </c>
      <c r="B419" t="s">
        <v>8</v>
      </c>
      <c r="C419" t="s">
        <v>141</v>
      </c>
      <c r="D419" s="1">
        <v>43634</v>
      </c>
      <c r="E419">
        <v>7</v>
      </c>
      <c r="F419">
        <v>8889</v>
      </c>
      <c r="G419" t="s">
        <v>462</v>
      </c>
      <c r="H419" t="str">
        <f>VLOOKUP(A419, product_table!$A:$C, 3, 0)</f>
        <v>Own Brand</v>
      </c>
      <c r="I419" t="str">
        <f>VLOOKUP(transactions_table8[[#This Row],[market_code]],markets_table!$A:$B,2,0)</f>
        <v>Ahmedabad</v>
      </c>
      <c r="J419" t="str">
        <f>VLOOKUP(transactions_table8[[#This Row],[market_code]],markets_table!$A:$C,3,0)</f>
        <v>North</v>
      </c>
      <c r="K419" t="str">
        <f>VLOOKUP(transactions_table8[[#This Row],[customer_code]],customer_table!$A:$B,2,0)</f>
        <v>Excel Stores</v>
      </c>
      <c r="L419" t="str">
        <f>VLOOKUP(transactions_table8[[#This Row],[customer_code]],customer_table!$A:$C,3,0)</f>
        <v>Brick &amp; Mortar</v>
      </c>
      <c r="M419">
        <f>IF(TRIM(CLEAN(transactions_table8[[#This Row],[currency]]))="USD",transactions_table8[[#This Row],[sales_amount]]*83,transactions_table8[[#This Row],[sales_amount]])</f>
        <v>8889</v>
      </c>
    </row>
    <row r="420" spans="1:13" x14ac:dyDescent="0.3">
      <c r="A420" t="s">
        <v>183</v>
      </c>
      <c r="B420" t="s">
        <v>8</v>
      </c>
      <c r="C420" t="s">
        <v>141</v>
      </c>
      <c r="D420" s="1">
        <v>43635</v>
      </c>
      <c r="E420">
        <v>1</v>
      </c>
      <c r="F420">
        <v>1778</v>
      </c>
      <c r="G420" t="s">
        <v>462</v>
      </c>
      <c r="H420" t="str">
        <f>VLOOKUP(A420, product_table!$A:$C, 3, 0)</f>
        <v>Own Brand</v>
      </c>
      <c r="I420" t="str">
        <f>VLOOKUP(transactions_table8[[#This Row],[market_code]],markets_table!$A:$B,2,0)</f>
        <v>Ahmedabad</v>
      </c>
      <c r="J420" t="str">
        <f>VLOOKUP(transactions_table8[[#This Row],[market_code]],markets_table!$A:$C,3,0)</f>
        <v>North</v>
      </c>
      <c r="K420" t="str">
        <f>VLOOKUP(transactions_table8[[#This Row],[customer_code]],customer_table!$A:$B,2,0)</f>
        <v>Excel Stores</v>
      </c>
      <c r="L420" t="str">
        <f>VLOOKUP(transactions_table8[[#This Row],[customer_code]],customer_table!$A:$C,3,0)</f>
        <v>Brick &amp; Mortar</v>
      </c>
      <c r="M420">
        <f>IF(TRIM(CLEAN(transactions_table8[[#This Row],[currency]]))="USD",transactions_table8[[#This Row],[sales_amount]]*83,transactions_table8[[#This Row],[sales_amount]])</f>
        <v>1778</v>
      </c>
    </row>
    <row r="421" spans="1:13" x14ac:dyDescent="0.3">
      <c r="A421" t="s">
        <v>183</v>
      </c>
      <c r="B421" t="s">
        <v>22</v>
      </c>
      <c r="C421" t="s">
        <v>141</v>
      </c>
      <c r="D421" s="1">
        <v>43644</v>
      </c>
      <c r="E421">
        <v>7</v>
      </c>
      <c r="F421">
        <v>9130</v>
      </c>
      <c r="G421" t="s">
        <v>462</v>
      </c>
      <c r="H421" t="str">
        <f>VLOOKUP(A421, product_table!$A:$C, 3, 0)</f>
        <v>Own Brand</v>
      </c>
      <c r="I421" t="str">
        <f>VLOOKUP(transactions_table8[[#This Row],[market_code]],markets_table!$A:$B,2,0)</f>
        <v>Ahmedabad</v>
      </c>
      <c r="J421" t="str">
        <f>VLOOKUP(transactions_table8[[#This Row],[market_code]],markets_table!$A:$C,3,0)</f>
        <v>North</v>
      </c>
      <c r="K421" t="str">
        <f>VLOOKUP(transactions_table8[[#This Row],[customer_code]],customer_table!$A:$B,2,0)</f>
        <v>Atlas Stores</v>
      </c>
      <c r="L421" t="str">
        <f>VLOOKUP(transactions_table8[[#This Row],[customer_code]],customer_table!$A:$C,3,0)</f>
        <v>Brick &amp; Mortar</v>
      </c>
      <c r="M421">
        <f>IF(TRIM(CLEAN(transactions_table8[[#This Row],[currency]]))="USD",transactions_table8[[#This Row],[sales_amount]]*83,transactions_table8[[#This Row],[sales_amount]])</f>
        <v>9130</v>
      </c>
    </row>
    <row r="422" spans="1:13" x14ac:dyDescent="0.3">
      <c r="A422" t="s">
        <v>184</v>
      </c>
      <c r="B422" t="s">
        <v>24</v>
      </c>
      <c r="C422" t="s">
        <v>141</v>
      </c>
      <c r="D422" s="1">
        <v>43213</v>
      </c>
      <c r="E422">
        <v>1</v>
      </c>
      <c r="F422">
        <v>602</v>
      </c>
      <c r="G422" t="s">
        <v>462</v>
      </c>
      <c r="H422" t="str">
        <f>VLOOKUP(A422, product_table!$A:$C, 3, 0)</f>
        <v>Own Brand</v>
      </c>
      <c r="I422" t="str">
        <f>VLOOKUP(transactions_table8[[#This Row],[market_code]],markets_table!$A:$B,2,0)</f>
        <v>Ahmedabad</v>
      </c>
      <c r="J422" t="str">
        <f>VLOOKUP(transactions_table8[[#This Row],[market_code]],markets_table!$A:$C,3,0)</f>
        <v>North</v>
      </c>
      <c r="K422" t="str">
        <f>VLOOKUP(transactions_table8[[#This Row],[customer_code]],customer_table!$A:$B,2,0)</f>
        <v>Flawless Stores</v>
      </c>
      <c r="L422" t="str">
        <f>VLOOKUP(transactions_table8[[#This Row],[customer_code]],customer_table!$A:$C,3,0)</f>
        <v>Brick &amp; Mortar</v>
      </c>
      <c r="M422">
        <f>IF(TRIM(CLEAN(transactions_table8[[#This Row],[currency]]))="USD",transactions_table8[[#This Row],[sales_amount]]*83,transactions_table8[[#This Row],[sales_amount]])</f>
        <v>602</v>
      </c>
    </row>
    <row r="423" spans="1:13" x14ac:dyDescent="0.3">
      <c r="A423" t="s">
        <v>184</v>
      </c>
      <c r="B423" t="s">
        <v>26</v>
      </c>
      <c r="C423" t="s">
        <v>141</v>
      </c>
      <c r="D423" s="1">
        <v>43223</v>
      </c>
      <c r="E423">
        <v>2</v>
      </c>
      <c r="F423">
        <v>3227</v>
      </c>
      <c r="G423" t="s">
        <v>462</v>
      </c>
      <c r="H423" t="str">
        <f>VLOOKUP(A423, product_table!$A:$C, 3, 0)</f>
        <v>Own Brand</v>
      </c>
      <c r="I423" t="str">
        <f>VLOOKUP(transactions_table8[[#This Row],[market_code]],markets_table!$A:$B,2,0)</f>
        <v>Ahmedabad</v>
      </c>
      <c r="J423" t="str">
        <f>VLOOKUP(transactions_table8[[#This Row],[market_code]],markets_table!$A:$C,3,0)</f>
        <v>North</v>
      </c>
      <c r="K423" t="str">
        <f>VLOOKUP(transactions_table8[[#This Row],[customer_code]],customer_table!$A:$B,2,0)</f>
        <v>Integration Stores</v>
      </c>
      <c r="L423" t="str">
        <f>VLOOKUP(transactions_table8[[#This Row],[customer_code]],customer_table!$A:$C,3,0)</f>
        <v>Brick &amp; Mortar</v>
      </c>
      <c r="M423">
        <f>IF(TRIM(CLEAN(transactions_table8[[#This Row],[currency]]))="USD",transactions_table8[[#This Row],[sales_amount]]*83,transactions_table8[[#This Row],[sales_amount]])</f>
        <v>3227</v>
      </c>
    </row>
    <row r="424" spans="1:13" x14ac:dyDescent="0.3">
      <c r="A424" t="s">
        <v>184</v>
      </c>
      <c r="B424" t="s">
        <v>8</v>
      </c>
      <c r="C424" t="s">
        <v>141</v>
      </c>
      <c r="D424" s="1">
        <v>43224</v>
      </c>
      <c r="E424">
        <v>1</v>
      </c>
      <c r="F424">
        <v>449</v>
      </c>
      <c r="G424" t="s">
        <v>462</v>
      </c>
      <c r="H424" t="str">
        <f>VLOOKUP(A424, product_table!$A:$C, 3, 0)</f>
        <v>Own Brand</v>
      </c>
      <c r="I424" t="str">
        <f>VLOOKUP(transactions_table8[[#This Row],[market_code]],markets_table!$A:$B,2,0)</f>
        <v>Ahmedabad</v>
      </c>
      <c r="J424" t="str">
        <f>VLOOKUP(transactions_table8[[#This Row],[market_code]],markets_table!$A:$C,3,0)</f>
        <v>North</v>
      </c>
      <c r="K424" t="str">
        <f>VLOOKUP(transactions_table8[[#This Row],[customer_code]],customer_table!$A:$B,2,0)</f>
        <v>Excel Stores</v>
      </c>
      <c r="L424" t="str">
        <f>VLOOKUP(transactions_table8[[#This Row],[customer_code]],customer_table!$A:$C,3,0)</f>
        <v>Brick &amp; Mortar</v>
      </c>
      <c r="M424">
        <f>IF(TRIM(CLEAN(transactions_table8[[#This Row],[currency]]))="USD",transactions_table8[[#This Row],[sales_amount]]*83,transactions_table8[[#This Row],[sales_amount]])</f>
        <v>449</v>
      </c>
    </row>
    <row r="425" spans="1:13" x14ac:dyDescent="0.3">
      <c r="A425" t="s">
        <v>184</v>
      </c>
      <c r="B425" t="s">
        <v>8</v>
      </c>
      <c r="C425" t="s">
        <v>141</v>
      </c>
      <c r="D425" s="1">
        <v>43227</v>
      </c>
      <c r="E425">
        <v>1</v>
      </c>
      <c r="F425">
        <v>449</v>
      </c>
      <c r="G425" t="s">
        <v>462</v>
      </c>
      <c r="H425" t="str">
        <f>VLOOKUP(A425, product_table!$A:$C, 3, 0)</f>
        <v>Own Brand</v>
      </c>
      <c r="I425" t="str">
        <f>VLOOKUP(transactions_table8[[#This Row],[market_code]],markets_table!$A:$B,2,0)</f>
        <v>Ahmedabad</v>
      </c>
      <c r="J425" t="str">
        <f>VLOOKUP(transactions_table8[[#This Row],[market_code]],markets_table!$A:$C,3,0)</f>
        <v>North</v>
      </c>
      <c r="K425" t="str">
        <f>VLOOKUP(transactions_table8[[#This Row],[customer_code]],customer_table!$A:$B,2,0)</f>
        <v>Excel Stores</v>
      </c>
      <c r="L425" t="str">
        <f>VLOOKUP(transactions_table8[[#This Row],[customer_code]],customer_table!$A:$C,3,0)</f>
        <v>Brick &amp; Mortar</v>
      </c>
      <c r="M425">
        <f>IF(TRIM(CLEAN(transactions_table8[[#This Row],[currency]]))="USD",transactions_table8[[#This Row],[sales_amount]]*83,transactions_table8[[#This Row],[sales_amount]])</f>
        <v>449</v>
      </c>
    </row>
    <row r="426" spans="1:13" x14ac:dyDescent="0.3">
      <c r="A426" t="s">
        <v>184</v>
      </c>
      <c r="B426" t="s">
        <v>8</v>
      </c>
      <c r="C426" t="s">
        <v>141</v>
      </c>
      <c r="D426" s="1">
        <v>43229</v>
      </c>
      <c r="E426">
        <v>1</v>
      </c>
      <c r="F426">
        <v>449</v>
      </c>
      <c r="G426" t="s">
        <v>462</v>
      </c>
      <c r="H426" t="str">
        <f>VLOOKUP(A426, product_table!$A:$C, 3, 0)</f>
        <v>Own Brand</v>
      </c>
      <c r="I426" t="str">
        <f>VLOOKUP(transactions_table8[[#This Row],[market_code]],markets_table!$A:$B,2,0)</f>
        <v>Ahmedabad</v>
      </c>
      <c r="J426" t="str">
        <f>VLOOKUP(transactions_table8[[#This Row],[market_code]],markets_table!$A:$C,3,0)</f>
        <v>North</v>
      </c>
      <c r="K426" t="str">
        <f>VLOOKUP(transactions_table8[[#This Row],[customer_code]],customer_table!$A:$B,2,0)</f>
        <v>Excel Stores</v>
      </c>
      <c r="L426" t="str">
        <f>VLOOKUP(transactions_table8[[#This Row],[customer_code]],customer_table!$A:$C,3,0)</f>
        <v>Brick &amp; Mortar</v>
      </c>
      <c r="M426">
        <f>IF(TRIM(CLEAN(transactions_table8[[#This Row],[currency]]))="USD",transactions_table8[[#This Row],[sales_amount]]*83,transactions_table8[[#This Row],[sales_amount]])</f>
        <v>449</v>
      </c>
    </row>
    <row r="427" spans="1:13" x14ac:dyDescent="0.3">
      <c r="A427" t="s">
        <v>184</v>
      </c>
      <c r="B427" t="s">
        <v>8</v>
      </c>
      <c r="C427" t="s">
        <v>141</v>
      </c>
      <c r="D427" s="1">
        <v>43231</v>
      </c>
      <c r="E427">
        <v>1</v>
      </c>
      <c r="F427">
        <v>449</v>
      </c>
      <c r="G427" t="s">
        <v>462</v>
      </c>
      <c r="H427" t="str">
        <f>VLOOKUP(A427, product_table!$A:$C, 3, 0)</f>
        <v>Own Brand</v>
      </c>
      <c r="I427" t="str">
        <f>VLOOKUP(transactions_table8[[#This Row],[market_code]],markets_table!$A:$B,2,0)</f>
        <v>Ahmedabad</v>
      </c>
      <c r="J427" t="str">
        <f>VLOOKUP(transactions_table8[[#This Row],[market_code]],markets_table!$A:$C,3,0)</f>
        <v>North</v>
      </c>
      <c r="K427" t="str">
        <f>VLOOKUP(transactions_table8[[#This Row],[customer_code]],customer_table!$A:$B,2,0)</f>
        <v>Excel Stores</v>
      </c>
      <c r="L427" t="str">
        <f>VLOOKUP(transactions_table8[[#This Row],[customer_code]],customer_table!$A:$C,3,0)</f>
        <v>Brick &amp; Mortar</v>
      </c>
      <c r="M427">
        <f>IF(TRIM(CLEAN(transactions_table8[[#This Row],[currency]]))="USD",transactions_table8[[#This Row],[sales_amount]]*83,transactions_table8[[#This Row],[sales_amount]])</f>
        <v>449</v>
      </c>
    </row>
    <row r="428" spans="1:13" x14ac:dyDescent="0.3">
      <c r="A428" t="s">
        <v>184</v>
      </c>
      <c r="B428" t="s">
        <v>28</v>
      </c>
      <c r="C428" t="s">
        <v>141</v>
      </c>
      <c r="D428" s="1">
        <v>43231</v>
      </c>
      <c r="E428">
        <v>7</v>
      </c>
      <c r="F428">
        <v>9880</v>
      </c>
      <c r="G428" t="s">
        <v>462</v>
      </c>
      <c r="H428" t="str">
        <f>VLOOKUP(A428, product_table!$A:$C, 3, 0)</f>
        <v>Own Brand</v>
      </c>
      <c r="I428" t="str">
        <f>VLOOKUP(transactions_table8[[#This Row],[market_code]],markets_table!$A:$B,2,0)</f>
        <v>Ahmedabad</v>
      </c>
      <c r="J428" t="str">
        <f>VLOOKUP(transactions_table8[[#This Row],[market_code]],markets_table!$A:$C,3,0)</f>
        <v>North</v>
      </c>
      <c r="K428" t="str">
        <f>VLOOKUP(transactions_table8[[#This Row],[customer_code]],customer_table!$A:$B,2,0)</f>
        <v>Unity Stores</v>
      </c>
      <c r="L428" t="str">
        <f>VLOOKUP(transactions_table8[[#This Row],[customer_code]],customer_table!$A:$C,3,0)</f>
        <v>Brick &amp; Mortar</v>
      </c>
      <c r="M428">
        <f>IF(TRIM(CLEAN(transactions_table8[[#This Row],[currency]]))="USD",transactions_table8[[#This Row],[sales_amount]]*83,transactions_table8[[#This Row],[sales_amount]])</f>
        <v>9880</v>
      </c>
    </row>
    <row r="429" spans="1:13" x14ac:dyDescent="0.3">
      <c r="A429" t="s">
        <v>184</v>
      </c>
      <c r="B429" t="s">
        <v>24</v>
      </c>
      <c r="C429" t="s">
        <v>141</v>
      </c>
      <c r="D429" s="1">
        <v>43236</v>
      </c>
      <c r="E429">
        <v>1</v>
      </c>
      <c r="F429">
        <v>301</v>
      </c>
      <c r="G429" t="s">
        <v>462</v>
      </c>
      <c r="H429" t="str">
        <f>VLOOKUP(A429, product_table!$A:$C, 3, 0)</f>
        <v>Own Brand</v>
      </c>
      <c r="I429" t="str">
        <f>VLOOKUP(transactions_table8[[#This Row],[market_code]],markets_table!$A:$B,2,0)</f>
        <v>Ahmedabad</v>
      </c>
      <c r="J429" t="str">
        <f>VLOOKUP(transactions_table8[[#This Row],[market_code]],markets_table!$A:$C,3,0)</f>
        <v>North</v>
      </c>
      <c r="K429" t="str">
        <f>VLOOKUP(transactions_table8[[#This Row],[customer_code]],customer_table!$A:$B,2,0)</f>
        <v>Flawless Stores</v>
      </c>
      <c r="L429" t="str">
        <f>VLOOKUP(transactions_table8[[#This Row],[customer_code]],customer_table!$A:$C,3,0)</f>
        <v>Brick &amp; Mortar</v>
      </c>
      <c r="M429">
        <f>IF(TRIM(CLEAN(transactions_table8[[#This Row],[currency]]))="USD",transactions_table8[[#This Row],[sales_amount]]*83,transactions_table8[[#This Row],[sales_amount]])</f>
        <v>301</v>
      </c>
    </row>
    <row r="430" spans="1:13" x14ac:dyDescent="0.3">
      <c r="A430" t="s">
        <v>184</v>
      </c>
      <c r="B430" t="s">
        <v>30</v>
      </c>
      <c r="C430" t="s">
        <v>141</v>
      </c>
      <c r="D430" s="1">
        <v>43236</v>
      </c>
      <c r="E430">
        <v>6</v>
      </c>
      <c r="F430">
        <v>7954</v>
      </c>
      <c r="G430" t="s">
        <v>462</v>
      </c>
      <c r="H430" t="str">
        <f>VLOOKUP(A430, product_table!$A:$C, 3, 0)</f>
        <v>Own Brand</v>
      </c>
      <c r="I430" t="str">
        <f>VLOOKUP(transactions_table8[[#This Row],[market_code]],markets_table!$A:$B,2,0)</f>
        <v>Ahmedabad</v>
      </c>
      <c r="J430" t="str">
        <f>VLOOKUP(transactions_table8[[#This Row],[market_code]],markets_table!$A:$C,3,0)</f>
        <v>North</v>
      </c>
      <c r="K430" t="str">
        <f>VLOOKUP(transactions_table8[[#This Row],[customer_code]],customer_table!$A:$B,2,0)</f>
        <v>Forward Stores</v>
      </c>
      <c r="L430" t="str">
        <f>VLOOKUP(transactions_table8[[#This Row],[customer_code]],customer_table!$A:$C,3,0)</f>
        <v>Brick &amp; Mortar</v>
      </c>
      <c r="M430">
        <f>IF(TRIM(CLEAN(transactions_table8[[#This Row],[currency]]))="USD",transactions_table8[[#This Row],[sales_amount]]*83,transactions_table8[[#This Row],[sales_amount]])</f>
        <v>7954</v>
      </c>
    </row>
    <row r="431" spans="1:13" x14ac:dyDescent="0.3">
      <c r="A431" t="s">
        <v>184</v>
      </c>
      <c r="B431" t="s">
        <v>26</v>
      </c>
      <c r="C431" t="s">
        <v>141</v>
      </c>
      <c r="D431" s="1">
        <v>43237</v>
      </c>
      <c r="E431">
        <v>1</v>
      </c>
      <c r="F431">
        <v>2153</v>
      </c>
      <c r="G431" t="s">
        <v>462</v>
      </c>
      <c r="H431" t="str">
        <f>VLOOKUP(A431, product_table!$A:$C, 3, 0)</f>
        <v>Own Brand</v>
      </c>
      <c r="I431" t="str">
        <f>VLOOKUP(transactions_table8[[#This Row],[market_code]],markets_table!$A:$B,2,0)</f>
        <v>Ahmedabad</v>
      </c>
      <c r="J431" t="str">
        <f>VLOOKUP(transactions_table8[[#This Row],[market_code]],markets_table!$A:$C,3,0)</f>
        <v>North</v>
      </c>
      <c r="K431" t="str">
        <f>VLOOKUP(transactions_table8[[#This Row],[customer_code]],customer_table!$A:$B,2,0)</f>
        <v>Integration Stores</v>
      </c>
      <c r="L431" t="str">
        <f>VLOOKUP(transactions_table8[[#This Row],[customer_code]],customer_table!$A:$C,3,0)</f>
        <v>Brick &amp; Mortar</v>
      </c>
      <c r="M431">
        <f>IF(TRIM(CLEAN(transactions_table8[[#This Row],[currency]]))="USD",transactions_table8[[#This Row],[sales_amount]]*83,transactions_table8[[#This Row],[sales_amount]])</f>
        <v>2153</v>
      </c>
    </row>
    <row r="432" spans="1:13" x14ac:dyDescent="0.3">
      <c r="A432" t="s">
        <v>184</v>
      </c>
      <c r="B432" t="s">
        <v>30</v>
      </c>
      <c r="C432" t="s">
        <v>141</v>
      </c>
      <c r="D432" s="1">
        <v>43237</v>
      </c>
      <c r="E432">
        <v>4</v>
      </c>
      <c r="F432">
        <v>5306</v>
      </c>
      <c r="G432" t="s">
        <v>462</v>
      </c>
      <c r="H432" t="str">
        <f>VLOOKUP(A432, product_table!$A:$C, 3, 0)</f>
        <v>Own Brand</v>
      </c>
      <c r="I432" t="str">
        <f>VLOOKUP(transactions_table8[[#This Row],[market_code]],markets_table!$A:$B,2,0)</f>
        <v>Ahmedabad</v>
      </c>
      <c r="J432" t="str">
        <f>VLOOKUP(transactions_table8[[#This Row],[market_code]],markets_table!$A:$C,3,0)</f>
        <v>North</v>
      </c>
      <c r="K432" t="str">
        <f>VLOOKUP(transactions_table8[[#This Row],[customer_code]],customer_table!$A:$B,2,0)</f>
        <v>Forward Stores</v>
      </c>
      <c r="L432" t="str">
        <f>VLOOKUP(transactions_table8[[#This Row],[customer_code]],customer_table!$A:$C,3,0)</f>
        <v>Brick &amp; Mortar</v>
      </c>
      <c r="M432">
        <f>IF(TRIM(CLEAN(transactions_table8[[#This Row],[currency]]))="USD",transactions_table8[[#This Row],[sales_amount]]*83,transactions_table8[[#This Row],[sales_amount]])</f>
        <v>5306</v>
      </c>
    </row>
    <row r="433" spans="1:13" x14ac:dyDescent="0.3">
      <c r="A433" t="s">
        <v>184</v>
      </c>
      <c r="B433" t="s">
        <v>8</v>
      </c>
      <c r="C433" t="s">
        <v>141</v>
      </c>
      <c r="D433" s="1">
        <v>43238</v>
      </c>
      <c r="E433">
        <v>1</v>
      </c>
      <c r="F433">
        <v>1801</v>
      </c>
      <c r="G433" t="s">
        <v>462</v>
      </c>
      <c r="H433" t="str">
        <f>VLOOKUP(A433, product_table!$A:$C, 3, 0)</f>
        <v>Own Brand</v>
      </c>
      <c r="I433" t="str">
        <f>VLOOKUP(transactions_table8[[#This Row],[market_code]],markets_table!$A:$B,2,0)</f>
        <v>Ahmedabad</v>
      </c>
      <c r="J433" t="str">
        <f>VLOOKUP(transactions_table8[[#This Row],[market_code]],markets_table!$A:$C,3,0)</f>
        <v>North</v>
      </c>
      <c r="K433" t="str">
        <f>VLOOKUP(transactions_table8[[#This Row],[customer_code]],customer_table!$A:$B,2,0)</f>
        <v>Excel Stores</v>
      </c>
      <c r="L433" t="str">
        <f>VLOOKUP(transactions_table8[[#This Row],[customer_code]],customer_table!$A:$C,3,0)</f>
        <v>Brick &amp; Mortar</v>
      </c>
      <c r="M433">
        <f>IF(TRIM(CLEAN(transactions_table8[[#This Row],[currency]]))="USD",transactions_table8[[#This Row],[sales_amount]]*83,transactions_table8[[#This Row],[sales_amount]])</f>
        <v>1801</v>
      </c>
    </row>
    <row r="434" spans="1:13" x14ac:dyDescent="0.3">
      <c r="A434" t="s">
        <v>184</v>
      </c>
      <c r="B434" t="s">
        <v>8</v>
      </c>
      <c r="C434" t="s">
        <v>141</v>
      </c>
      <c r="D434" s="1">
        <v>43243</v>
      </c>
      <c r="E434">
        <v>2</v>
      </c>
      <c r="F434">
        <v>2699</v>
      </c>
      <c r="G434" t="s">
        <v>462</v>
      </c>
      <c r="H434" t="str">
        <f>VLOOKUP(A434, product_table!$A:$C, 3, 0)</f>
        <v>Own Brand</v>
      </c>
      <c r="I434" t="str">
        <f>VLOOKUP(transactions_table8[[#This Row],[market_code]],markets_table!$A:$B,2,0)</f>
        <v>Ahmedabad</v>
      </c>
      <c r="J434" t="str">
        <f>VLOOKUP(transactions_table8[[#This Row],[market_code]],markets_table!$A:$C,3,0)</f>
        <v>North</v>
      </c>
      <c r="K434" t="str">
        <f>VLOOKUP(transactions_table8[[#This Row],[customer_code]],customer_table!$A:$B,2,0)</f>
        <v>Excel Stores</v>
      </c>
      <c r="L434" t="str">
        <f>VLOOKUP(transactions_table8[[#This Row],[customer_code]],customer_table!$A:$C,3,0)</f>
        <v>Brick &amp; Mortar</v>
      </c>
      <c r="M434">
        <f>IF(TRIM(CLEAN(transactions_table8[[#This Row],[currency]]))="USD",transactions_table8[[#This Row],[sales_amount]]*83,transactions_table8[[#This Row],[sales_amount]])</f>
        <v>2699</v>
      </c>
    </row>
    <row r="435" spans="1:13" x14ac:dyDescent="0.3">
      <c r="A435" t="s">
        <v>184</v>
      </c>
      <c r="B435" t="s">
        <v>26</v>
      </c>
      <c r="C435" t="s">
        <v>141</v>
      </c>
      <c r="D435" s="1">
        <v>43244</v>
      </c>
      <c r="E435">
        <v>1</v>
      </c>
      <c r="F435">
        <v>1616</v>
      </c>
      <c r="G435" t="s">
        <v>462</v>
      </c>
      <c r="H435" t="str">
        <f>VLOOKUP(A435, product_table!$A:$C, 3, 0)</f>
        <v>Own Brand</v>
      </c>
      <c r="I435" t="str">
        <f>VLOOKUP(transactions_table8[[#This Row],[market_code]],markets_table!$A:$B,2,0)</f>
        <v>Ahmedabad</v>
      </c>
      <c r="J435" t="str">
        <f>VLOOKUP(transactions_table8[[#This Row],[market_code]],markets_table!$A:$C,3,0)</f>
        <v>North</v>
      </c>
      <c r="K435" t="str">
        <f>VLOOKUP(transactions_table8[[#This Row],[customer_code]],customer_table!$A:$B,2,0)</f>
        <v>Integration Stores</v>
      </c>
      <c r="L435" t="str">
        <f>VLOOKUP(transactions_table8[[#This Row],[customer_code]],customer_table!$A:$C,3,0)</f>
        <v>Brick &amp; Mortar</v>
      </c>
      <c r="M435">
        <f>IF(TRIM(CLEAN(transactions_table8[[#This Row],[currency]]))="USD",transactions_table8[[#This Row],[sales_amount]]*83,transactions_table8[[#This Row],[sales_amount]])</f>
        <v>1616</v>
      </c>
    </row>
    <row r="436" spans="1:13" x14ac:dyDescent="0.3">
      <c r="A436" t="s">
        <v>184</v>
      </c>
      <c r="B436" t="s">
        <v>8</v>
      </c>
      <c r="C436" t="s">
        <v>141</v>
      </c>
      <c r="D436" s="1">
        <v>43245</v>
      </c>
      <c r="E436">
        <v>2</v>
      </c>
      <c r="F436">
        <v>2245</v>
      </c>
      <c r="G436" t="s">
        <v>462</v>
      </c>
      <c r="H436" t="str">
        <f>VLOOKUP(A436, product_table!$A:$C, 3, 0)</f>
        <v>Own Brand</v>
      </c>
      <c r="I436" t="str">
        <f>VLOOKUP(transactions_table8[[#This Row],[market_code]],markets_table!$A:$B,2,0)</f>
        <v>Ahmedabad</v>
      </c>
      <c r="J436" t="str">
        <f>VLOOKUP(transactions_table8[[#This Row],[market_code]],markets_table!$A:$C,3,0)</f>
        <v>North</v>
      </c>
      <c r="K436" t="str">
        <f>VLOOKUP(transactions_table8[[#This Row],[customer_code]],customer_table!$A:$B,2,0)</f>
        <v>Excel Stores</v>
      </c>
      <c r="L436" t="str">
        <f>VLOOKUP(transactions_table8[[#This Row],[customer_code]],customer_table!$A:$C,3,0)</f>
        <v>Brick &amp; Mortar</v>
      </c>
      <c r="M436">
        <f>IF(TRIM(CLEAN(transactions_table8[[#This Row],[currency]]))="USD",transactions_table8[[#This Row],[sales_amount]]*83,transactions_table8[[#This Row],[sales_amount]])</f>
        <v>2245</v>
      </c>
    </row>
    <row r="437" spans="1:13" x14ac:dyDescent="0.3">
      <c r="A437" t="s">
        <v>184</v>
      </c>
      <c r="B437" t="s">
        <v>8</v>
      </c>
      <c r="C437" t="s">
        <v>141</v>
      </c>
      <c r="D437" s="1">
        <v>43248</v>
      </c>
      <c r="E437">
        <v>1</v>
      </c>
      <c r="F437">
        <v>903</v>
      </c>
      <c r="G437" t="s">
        <v>462</v>
      </c>
      <c r="H437" t="str">
        <f>VLOOKUP(A437, product_table!$A:$C, 3, 0)</f>
        <v>Own Brand</v>
      </c>
      <c r="I437" t="str">
        <f>VLOOKUP(transactions_table8[[#This Row],[market_code]],markets_table!$A:$B,2,0)</f>
        <v>Ahmedabad</v>
      </c>
      <c r="J437" t="str">
        <f>VLOOKUP(transactions_table8[[#This Row],[market_code]],markets_table!$A:$C,3,0)</f>
        <v>North</v>
      </c>
      <c r="K437" t="str">
        <f>VLOOKUP(transactions_table8[[#This Row],[customer_code]],customer_table!$A:$B,2,0)</f>
        <v>Excel Stores</v>
      </c>
      <c r="L437" t="str">
        <f>VLOOKUP(transactions_table8[[#This Row],[customer_code]],customer_table!$A:$C,3,0)</f>
        <v>Brick &amp; Mortar</v>
      </c>
      <c r="M437">
        <f>IF(TRIM(CLEAN(transactions_table8[[#This Row],[currency]]))="USD",transactions_table8[[#This Row],[sales_amount]]*83,transactions_table8[[#This Row],[sales_amount]])</f>
        <v>903</v>
      </c>
    </row>
    <row r="438" spans="1:13" x14ac:dyDescent="0.3">
      <c r="A438" t="s">
        <v>184</v>
      </c>
      <c r="B438" t="s">
        <v>30</v>
      </c>
      <c r="C438" t="s">
        <v>141</v>
      </c>
      <c r="D438" s="1">
        <v>43249</v>
      </c>
      <c r="E438">
        <v>4</v>
      </c>
      <c r="F438">
        <v>5306</v>
      </c>
      <c r="G438" t="s">
        <v>462</v>
      </c>
      <c r="H438" t="str">
        <f>VLOOKUP(A438, product_table!$A:$C, 3, 0)</f>
        <v>Own Brand</v>
      </c>
      <c r="I438" t="str">
        <f>VLOOKUP(transactions_table8[[#This Row],[market_code]],markets_table!$A:$B,2,0)</f>
        <v>Ahmedabad</v>
      </c>
      <c r="J438" t="str">
        <f>VLOOKUP(transactions_table8[[#This Row],[market_code]],markets_table!$A:$C,3,0)</f>
        <v>North</v>
      </c>
      <c r="K438" t="str">
        <f>VLOOKUP(transactions_table8[[#This Row],[customer_code]],customer_table!$A:$B,2,0)</f>
        <v>Forward Stores</v>
      </c>
      <c r="L438" t="str">
        <f>VLOOKUP(transactions_table8[[#This Row],[customer_code]],customer_table!$A:$C,3,0)</f>
        <v>Brick &amp; Mortar</v>
      </c>
      <c r="M438">
        <f>IF(TRIM(CLEAN(transactions_table8[[#This Row],[currency]]))="USD",transactions_table8[[#This Row],[sales_amount]]*83,transactions_table8[[#This Row],[sales_amount]])</f>
        <v>5306</v>
      </c>
    </row>
    <row r="439" spans="1:13" x14ac:dyDescent="0.3">
      <c r="A439" t="s">
        <v>184</v>
      </c>
      <c r="B439" t="s">
        <v>22</v>
      </c>
      <c r="C439" t="s">
        <v>141</v>
      </c>
      <c r="D439" s="1">
        <v>43250</v>
      </c>
      <c r="E439">
        <v>3</v>
      </c>
      <c r="F439">
        <v>3778</v>
      </c>
      <c r="G439" t="s">
        <v>462</v>
      </c>
      <c r="H439" t="str">
        <f>VLOOKUP(A439, product_table!$A:$C, 3, 0)</f>
        <v>Own Brand</v>
      </c>
      <c r="I439" t="str">
        <f>VLOOKUP(transactions_table8[[#This Row],[market_code]],markets_table!$A:$B,2,0)</f>
        <v>Ahmedabad</v>
      </c>
      <c r="J439" t="str">
        <f>VLOOKUP(transactions_table8[[#This Row],[market_code]],markets_table!$A:$C,3,0)</f>
        <v>North</v>
      </c>
      <c r="K439" t="str">
        <f>VLOOKUP(transactions_table8[[#This Row],[customer_code]],customer_table!$A:$B,2,0)</f>
        <v>Atlas Stores</v>
      </c>
      <c r="L439" t="str">
        <f>VLOOKUP(transactions_table8[[#This Row],[customer_code]],customer_table!$A:$C,3,0)</f>
        <v>Brick &amp; Mortar</v>
      </c>
      <c r="M439">
        <f>IF(TRIM(CLEAN(transactions_table8[[#This Row],[currency]]))="USD",transactions_table8[[#This Row],[sales_amount]]*83,transactions_table8[[#This Row],[sales_amount]])</f>
        <v>3778</v>
      </c>
    </row>
    <row r="440" spans="1:13" x14ac:dyDescent="0.3">
      <c r="A440" t="s">
        <v>184</v>
      </c>
      <c r="B440" t="s">
        <v>26</v>
      </c>
      <c r="C440" t="s">
        <v>141</v>
      </c>
      <c r="D440" s="1">
        <v>43251</v>
      </c>
      <c r="E440">
        <v>1</v>
      </c>
      <c r="F440">
        <v>537</v>
      </c>
      <c r="G440" t="s">
        <v>462</v>
      </c>
      <c r="H440" t="str">
        <f>VLOOKUP(A440, product_table!$A:$C, 3, 0)</f>
        <v>Own Brand</v>
      </c>
      <c r="I440" t="str">
        <f>VLOOKUP(transactions_table8[[#This Row],[market_code]],markets_table!$A:$B,2,0)</f>
        <v>Ahmedabad</v>
      </c>
      <c r="J440" t="str">
        <f>VLOOKUP(transactions_table8[[#This Row],[market_code]],markets_table!$A:$C,3,0)</f>
        <v>North</v>
      </c>
      <c r="K440" t="str">
        <f>VLOOKUP(transactions_table8[[#This Row],[customer_code]],customer_table!$A:$B,2,0)</f>
        <v>Integration Stores</v>
      </c>
      <c r="L440" t="str">
        <f>VLOOKUP(transactions_table8[[#This Row],[customer_code]],customer_table!$A:$C,3,0)</f>
        <v>Brick &amp; Mortar</v>
      </c>
      <c r="M440">
        <f>IF(TRIM(CLEAN(transactions_table8[[#This Row],[currency]]))="USD",transactions_table8[[#This Row],[sales_amount]]*83,transactions_table8[[#This Row],[sales_amount]])</f>
        <v>537</v>
      </c>
    </row>
    <row r="441" spans="1:13" x14ac:dyDescent="0.3">
      <c r="A441" t="s">
        <v>184</v>
      </c>
      <c r="B441" t="s">
        <v>22</v>
      </c>
      <c r="C441" t="s">
        <v>141</v>
      </c>
      <c r="D441" s="1">
        <v>43251</v>
      </c>
      <c r="E441">
        <v>1</v>
      </c>
      <c r="F441">
        <v>1417</v>
      </c>
      <c r="G441" t="s">
        <v>462</v>
      </c>
      <c r="H441" t="str">
        <f>VLOOKUP(A441, product_table!$A:$C, 3, 0)</f>
        <v>Own Brand</v>
      </c>
      <c r="I441" t="str">
        <f>VLOOKUP(transactions_table8[[#This Row],[market_code]],markets_table!$A:$B,2,0)</f>
        <v>Ahmedabad</v>
      </c>
      <c r="J441" t="str">
        <f>VLOOKUP(transactions_table8[[#This Row],[market_code]],markets_table!$A:$C,3,0)</f>
        <v>North</v>
      </c>
      <c r="K441" t="str">
        <f>VLOOKUP(transactions_table8[[#This Row],[customer_code]],customer_table!$A:$B,2,0)</f>
        <v>Atlas Stores</v>
      </c>
      <c r="L441" t="str">
        <f>VLOOKUP(transactions_table8[[#This Row],[customer_code]],customer_table!$A:$C,3,0)</f>
        <v>Brick &amp; Mortar</v>
      </c>
      <c r="M441">
        <f>IF(TRIM(CLEAN(transactions_table8[[#This Row],[currency]]))="USD",transactions_table8[[#This Row],[sales_amount]]*83,transactions_table8[[#This Row],[sales_amount]])</f>
        <v>1417</v>
      </c>
    </row>
    <row r="442" spans="1:13" x14ac:dyDescent="0.3">
      <c r="A442" t="s">
        <v>184</v>
      </c>
      <c r="B442" t="s">
        <v>30</v>
      </c>
      <c r="C442" t="s">
        <v>141</v>
      </c>
      <c r="D442" s="1">
        <v>43251</v>
      </c>
      <c r="E442">
        <v>4</v>
      </c>
      <c r="F442">
        <v>5306</v>
      </c>
      <c r="G442" t="s">
        <v>462</v>
      </c>
      <c r="H442" t="str">
        <f>VLOOKUP(A442, product_table!$A:$C, 3, 0)</f>
        <v>Own Brand</v>
      </c>
      <c r="I442" t="str">
        <f>VLOOKUP(transactions_table8[[#This Row],[market_code]],markets_table!$A:$B,2,0)</f>
        <v>Ahmedabad</v>
      </c>
      <c r="J442" t="str">
        <f>VLOOKUP(transactions_table8[[#This Row],[market_code]],markets_table!$A:$C,3,0)</f>
        <v>North</v>
      </c>
      <c r="K442" t="str">
        <f>VLOOKUP(transactions_table8[[#This Row],[customer_code]],customer_table!$A:$B,2,0)</f>
        <v>Forward Stores</v>
      </c>
      <c r="L442" t="str">
        <f>VLOOKUP(transactions_table8[[#This Row],[customer_code]],customer_table!$A:$C,3,0)</f>
        <v>Brick &amp; Mortar</v>
      </c>
      <c r="M442">
        <f>IF(TRIM(CLEAN(transactions_table8[[#This Row],[currency]]))="USD",transactions_table8[[#This Row],[sales_amount]]*83,transactions_table8[[#This Row],[sales_amount]])</f>
        <v>5306</v>
      </c>
    </row>
    <row r="443" spans="1:13" x14ac:dyDescent="0.3">
      <c r="A443" t="s">
        <v>184</v>
      </c>
      <c r="B443" t="s">
        <v>22</v>
      </c>
      <c r="C443" t="s">
        <v>141</v>
      </c>
      <c r="D443" s="1">
        <v>43252</v>
      </c>
      <c r="E443">
        <v>1</v>
      </c>
      <c r="F443">
        <v>472</v>
      </c>
      <c r="G443" t="s">
        <v>462</v>
      </c>
      <c r="H443" t="str">
        <f>VLOOKUP(A443, product_table!$A:$C, 3, 0)</f>
        <v>Own Brand</v>
      </c>
      <c r="I443" t="str">
        <f>VLOOKUP(transactions_table8[[#This Row],[market_code]],markets_table!$A:$B,2,0)</f>
        <v>Ahmedabad</v>
      </c>
      <c r="J443" t="str">
        <f>VLOOKUP(transactions_table8[[#This Row],[market_code]],markets_table!$A:$C,3,0)</f>
        <v>North</v>
      </c>
      <c r="K443" t="str">
        <f>VLOOKUP(transactions_table8[[#This Row],[customer_code]],customer_table!$A:$B,2,0)</f>
        <v>Atlas Stores</v>
      </c>
      <c r="L443" t="str">
        <f>VLOOKUP(transactions_table8[[#This Row],[customer_code]],customer_table!$A:$C,3,0)</f>
        <v>Brick &amp; Mortar</v>
      </c>
      <c r="M443">
        <f>IF(TRIM(CLEAN(transactions_table8[[#This Row],[currency]]))="USD",transactions_table8[[#This Row],[sales_amount]]*83,transactions_table8[[#This Row],[sales_amount]])</f>
        <v>472</v>
      </c>
    </row>
    <row r="444" spans="1:13" x14ac:dyDescent="0.3">
      <c r="A444" t="s">
        <v>184</v>
      </c>
      <c r="B444" t="s">
        <v>8</v>
      </c>
      <c r="C444" t="s">
        <v>141</v>
      </c>
      <c r="D444" s="1">
        <v>43252</v>
      </c>
      <c r="E444">
        <v>3</v>
      </c>
      <c r="F444">
        <v>4051</v>
      </c>
      <c r="G444" t="s">
        <v>462</v>
      </c>
      <c r="H444" t="str">
        <f>VLOOKUP(A444, product_table!$A:$C, 3, 0)</f>
        <v>Own Brand</v>
      </c>
      <c r="I444" t="str">
        <f>VLOOKUP(transactions_table8[[#This Row],[market_code]],markets_table!$A:$B,2,0)</f>
        <v>Ahmedabad</v>
      </c>
      <c r="J444" t="str">
        <f>VLOOKUP(transactions_table8[[#This Row],[market_code]],markets_table!$A:$C,3,0)</f>
        <v>North</v>
      </c>
      <c r="K444" t="str">
        <f>VLOOKUP(transactions_table8[[#This Row],[customer_code]],customer_table!$A:$B,2,0)</f>
        <v>Excel Stores</v>
      </c>
      <c r="L444" t="str">
        <f>VLOOKUP(transactions_table8[[#This Row],[customer_code]],customer_table!$A:$C,3,0)</f>
        <v>Brick &amp; Mortar</v>
      </c>
      <c r="M444">
        <f>IF(TRIM(CLEAN(transactions_table8[[#This Row],[currency]]))="USD",transactions_table8[[#This Row],[sales_amount]]*83,transactions_table8[[#This Row],[sales_amount]])</f>
        <v>4051</v>
      </c>
    </row>
    <row r="445" spans="1:13" x14ac:dyDescent="0.3">
      <c r="A445" t="s">
        <v>184</v>
      </c>
      <c r="B445" t="s">
        <v>28</v>
      </c>
      <c r="C445" t="s">
        <v>141</v>
      </c>
      <c r="D445" s="1">
        <v>43252</v>
      </c>
      <c r="E445">
        <v>10</v>
      </c>
      <c r="F445">
        <v>14815</v>
      </c>
      <c r="G445" t="s">
        <v>462</v>
      </c>
      <c r="H445" t="str">
        <f>VLOOKUP(A445, product_table!$A:$C, 3, 0)</f>
        <v>Own Brand</v>
      </c>
      <c r="I445" t="str">
        <f>VLOOKUP(transactions_table8[[#This Row],[market_code]],markets_table!$A:$B,2,0)</f>
        <v>Ahmedabad</v>
      </c>
      <c r="J445" t="str">
        <f>VLOOKUP(transactions_table8[[#This Row],[market_code]],markets_table!$A:$C,3,0)</f>
        <v>North</v>
      </c>
      <c r="K445" t="str">
        <f>VLOOKUP(transactions_table8[[#This Row],[customer_code]],customer_table!$A:$B,2,0)</f>
        <v>Unity Stores</v>
      </c>
      <c r="L445" t="str">
        <f>VLOOKUP(transactions_table8[[#This Row],[customer_code]],customer_table!$A:$C,3,0)</f>
        <v>Brick &amp; Mortar</v>
      </c>
      <c r="M445">
        <f>IF(TRIM(CLEAN(transactions_table8[[#This Row],[currency]]))="USD",transactions_table8[[#This Row],[sales_amount]]*83,transactions_table8[[#This Row],[sales_amount]])</f>
        <v>14815</v>
      </c>
    </row>
    <row r="446" spans="1:13" x14ac:dyDescent="0.3">
      <c r="A446" t="s">
        <v>184</v>
      </c>
      <c r="B446" t="s">
        <v>8</v>
      </c>
      <c r="C446" t="s">
        <v>141</v>
      </c>
      <c r="D446" s="1">
        <v>43257</v>
      </c>
      <c r="E446">
        <v>3</v>
      </c>
      <c r="F446">
        <v>4495</v>
      </c>
      <c r="G446" t="s">
        <v>462</v>
      </c>
      <c r="H446" t="str">
        <f>VLOOKUP(A446, product_table!$A:$C, 3, 0)</f>
        <v>Own Brand</v>
      </c>
      <c r="I446" t="str">
        <f>VLOOKUP(transactions_table8[[#This Row],[market_code]],markets_table!$A:$B,2,0)</f>
        <v>Ahmedabad</v>
      </c>
      <c r="J446" t="str">
        <f>VLOOKUP(transactions_table8[[#This Row],[market_code]],markets_table!$A:$C,3,0)</f>
        <v>North</v>
      </c>
      <c r="K446" t="str">
        <f>VLOOKUP(transactions_table8[[#This Row],[customer_code]],customer_table!$A:$B,2,0)</f>
        <v>Excel Stores</v>
      </c>
      <c r="L446" t="str">
        <f>VLOOKUP(transactions_table8[[#This Row],[customer_code]],customer_table!$A:$C,3,0)</f>
        <v>Brick &amp; Mortar</v>
      </c>
      <c r="M446">
        <f>IF(TRIM(CLEAN(transactions_table8[[#This Row],[currency]]))="USD",transactions_table8[[#This Row],[sales_amount]]*83,transactions_table8[[#This Row],[sales_amount]])</f>
        <v>4495</v>
      </c>
    </row>
    <row r="447" spans="1:13" x14ac:dyDescent="0.3">
      <c r="A447" t="s">
        <v>184</v>
      </c>
      <c r="B447" t="s">
        <v>26</v>
      </c>
      <c r="C447" t="s">
        <v>141</v>
      </c>
      <c r="D447" s="1">
        <v>43258</v>
      </c>
      <c r="E447">
        <v>2</v>
      </c>
      <c r="F447">
        <v>2690</v>
      </c>
      <c r="G447" t="s">
        <v>462</v>
      </c>
      <c r="H447" t="str">
        <f>VLOOKUP(A447, product_table!$A:$C, 3, 0)</f>
        <v>Own Brand</v>
      </c>
      <c r="I447" t="str">
        <f>VLOOKUP(transactions_table8[[#This Row],[market_code]],markets_table!$A:$B,2,0)</f>
        <v>Ahmedabad</v>
      </c>
      <c r="J447" t="str">
        <f>VLOOKUP(transactions_table8[[#This Row],[market_code]],markets_table!$A:$C,3,0)</f>
        <v>North</v>
      </c>
      <c r="K447" t="str">
        <f>VLOOKUP(transactions_table8[[#This Row],[customer_code]],customer_table!$A:$B,2,0)</f>
        <v>Integration Stores</v>
      </c>
      <c r="L447" t="str">
        <f>VLOOKUP(transactions_table8[[#This Row],[customer_code]],customer_table!$A:$C,3,0)</f>
        <v>Brick &amp; Mortar</v>
      </c>
      <c r="M447">
        <f>IF(TRIM(CLEAN(transactions_table8[[#This Row],[currency]]))="USD",transactions_table8[[#This Row],[sales_amount]]*83,transactions_table8[[#This Row],[sales_amount]])</f>
        <v>2690</v>
      </c>
    </row>
    <row r="448" spans="1:13" x14ac:dyDescent="0.3">
      <c r="A448" t="s">
        <v>184</v>
      </c>
      <c r="B448" t="s">
        <v>22</v>
      </c>
      <c r="C448" t="s">
        <v>141</v>
      </c>
      <c r="D448" s="1">
        <v>43258</v>
      </c>
      <c r="E448">
        <v>1</v>
      </c>
      <c r="F448">
        <v>1417</v>
      </c>
      <c r="G448" t="s">
        <v>462</v>
      </c>
      <c r="H448" t="str">
        <f>VLOOKUP(A448, product_table!$A:$C, 3, 0)</f>
        <v>Own Brand</v>
      </c>
      <c r="I448" t="str">
        <f>VLOOKUP(transactions_table8[[#This Row],[market_code]],markets_table!$A:$B,2,0)</f>
        <v>Ahmedabad</v>
      </c>
      <c r="J448" t="str">
        <f>VLOOKUP(transactions_table8[[#This Row],[market_code]],markets_table!$A:$C,3,0)</f>
        <v>North</v>
      </c>
      <c r="K448" t="str">
        <f>VLOOKUP(transactions_table8[[#This Row],[customer_code]],customer_table!$A:$B,2,0)</f>
        <v>Atlas Stores</v>
      </c>
      <c r="L448" t="str">
        <f>VLOOKUP(transactions_table8[[#This Row],[customer_code]],customer_table!$A:$C,3,0)</f>
        <v>Brick &amp; Mortar</v>
      </c>
      <c r="M448">
        <f>IF(TRIM(CLEAN(transactions_table8[[#This Row],[currency]]))="USD",transactions_table8[[#This Row],[sales_amount]]*83,transactions_table8[[#This Row],[sales_amount]])</f>
        <v>1417</v>
      </c>
    </row>
    <row r="449" spans="1:13" x14ac:dyDescent="0.3">
      <c r="A449" t="s">
        <v>184</v>
      </c>
      <c r="B449" t="s">
        <v>8</v>
      </c>
      <c r="C449" t="s">
        <v>141</v>
      </c>
      <c r="D449" s="1">
        <v>43259</v>
      </c>
      <c r="E449">
        <v>1</v>
      </c>
      <c r="F449">
        <v>449</v>
      </c>
      <c r="G449" t="s">
        <v>462</v>
      </c>
      <c r="H449" t="str">
        <f>VLOOKUP(A449, product_table!$A:$C, 3, 0)</f>
        <v>Own Brand</v>
      </c>
      <c r="I449" t="str">
        <f>VLOOKUP(transactions_table8[[#This Row],[market_code]],markets_table!$A:$B,2,0)</f>
        <v>Ahmedabad</v>
      </c>
      <c r="J449" t="str">
        <f>VLOOKUP(transactions_table8[[#This Row],[market_code]],markets_table!$A:$C,3,0)</f>
        <v>North</v>
      </c>
      <c r="K449" t="str">
        <f>VLOOKUP(transactions_table8[[#This Row],[customer_code]],customer_table!$A:$B,2,0)</f>
        <v>Excel Stores</v>
      </c>
      <c r="L449" t="str">
        <f>VLOOKUP(transactions_table8[[#This Row],[customer_code]],customer_table!$A:$C,3,0)</f>
        <v>Brick &amp; Mortar</v>
      </c>
      <c r="M449">
        <f>IF(TRIM(CLEAN(transactions_table8[[#This Row],[currency]]))="USD",transactions_table8[[#This Row],[sales_amount]]*83,transactions_table8[[#This Row],[sales_amount]])</f>
        <v>449</v>
      </c>
    </row>
    <row r="450" spans="1:13" x14ac:dyDescent="0.3">
      <c r="A450" t="s">
        <v>184</v>
      </c>
      <c r="B450" t="s">
        <v>30</v>
      </c>
      <c r="C450" t="s">
        <v>141</v>
      </c>
      <c r="D450" s="1">
        <v>43259</v>
      </c>
      <c r="E450">
        <v>18</v>
      </c>
      <c r="F450">
        <v>23866</v>
      </c>
      <c r="G450" t="s">
        <v>462</v>
      </c>
      <c r="H450" t="str">
        <f>VLOOKUP(A450, product_table!$A:$C, 3, 0)</f>
        <v>Own Brand</v>
      </c>
      <c r="I450" t="str">
        <f>VLOOKUP(transactions_table8[[#This Row],[market_code]],markets_table!$A:$B,2,0)</f>
        <v>Ahmedabad</v>
      </c>
      <c r="J450" t="str">
        <f>VLOOKUP(transactions_table8[[#This Row],[market_code]],markets_table!$A:$C,3,0)</f>
        <v>North</v>
      </c>
      <c r="K450" t="str">
        <f>VLOOKUP(transactions_table8[[#This Row],[customer_code]],customer_table!$A:$B,2,0)</f>
        <v>Forward Stores</v>
      </c>
      <c r="L450" t="str">
        <f>VLOOKUP(transactions_table8[[#This Row],[customer_code]],customer_table!$A:$C,3,0)</f>
        <v>Brick &amp; Mortar</v>
      </c>
      <c r="M450">
        <f>IF(TRIM(CLEAN(transactions_table8[[#This Row],[currency]]))="USD",transactions_table8[[#This Row],[sales_amount]]*83,transactions_table8[[#This Row],[sales_amount]])</f>
        <v>23866</v>
      </c>
    </row>
    <row r="451" spans="1:13" x14ac:dyDescent="0.3">
      <c r="A451" t="s">
        <v>184</v>
      </c>
      <c r="B451" t="s">
        <v>8</v>
      </c>
      <c r="C451" t="s">
        <v>141</v>
      </c>
      <c r="D451" s="1">
        <v>43262</v>
      </c>
      <c r="E451">
        <v>1</v>
      </c>
      <c r="F451">
        <v>898</v>
      </c>
      <c r="G451" t="s">
        <v>462</v>
      </c>
      <c r="H451" t="str">
        <f>VLOOKUP(A451, product_table!$A:$C, 3, 0)</f>
        <v>Own Brand</v>
      </c>
      <c r="I451" t="str">
        <f>VLOOKUP(transactions_table8[[#This Row],[market_code]],markets_table!$A:$B,2,0)</f>
        <v>Ahmedabad</v>
      </c>
      <c r="J451" t="str">
        <f>VLOOKUP(transactions_table8[[#This Row],[market_code]],markets_table!$A:$C,3,0)</f>
        <v>North</v>
      </c>
      <c r="K451" t="str">
        <f>VLOOKUP(transactions_table8[[#This Row],[customer_code]],customer_table!$A:$B,2,0)</f>
        <v>Excel Stores</v>
      </c>
      <c r="L451" t="str">
        <f>VLOOKUP(transactions_table8[[#This Row],[customer_code]],customer_table!$A:$C,3,0)</f>
        <v>Brick &amp; Mortar</v>
      </c>
      <c r="M451">
        <f>IF(TRIM(CLEAN(transactions_table8[[#This Row],[currency]]))="USD",transactions_table8[[#This Row],[sales_amount]]*83,transactions_table8[[#This Row],[sales_amount]])</f>
        <v>898</v>
      </c>
    </row>
    <row r="452" spans="1:13" x14ac:dyDescent="0.3">
      <c r="A452" t="s">
        <v>184</v>
      </c>
      <c r="B452" t="s">
        <v>28</v>
      </c>
      <c r="C452" t="s">
        <v>141</v>
      </c>
      <c r="D452" s="1">
        <v>43262</v>
      </c>
      <c r="E452">
        <v>3</v>
      </c>
      <c r="F452">
        <v>4940</v>
      </c>
      <c r="G452" t="s">
        <v>462</v>
      </c>
      <c r="H452" t="str">
        <f>VLOOKUP(A452, product_table!$A:$C, 3, 0)</f>
        <v>Own Brand</v>
      </c>
      <c r="I452" t="str">
        <f>VLOOKUP(transactions_table8[[#This Row],[market_code]],markets_table!$A:$B,2,0)</f>
        <v>Ahmedabad</v>
      </c>
      <c r="J452" t="str">
        <f>VLOOKUP(transactions_table8[[#This Row],[market_code]],markets_table!$A:$C,3,0)</f>
        <v>North</v>
      </c>
      <c r="K452" t="str">
        <f>VLOOKUP(transactions_table8[[#This Row],[customer_code]],customer_table!$A:$B,2,0)</f>
        <v>Unity Stores</v>
      </c>
      <c r="L452" t="str">
        <f>VLOOKUP(transactions_table8[[#This Row],[customer_code]],customer_table!$A:$C,3,0)</f>
        <v>Brick &amp; Mortar</v>
      </c>
      <c r="M452">
        <f>IF(TRIM(CLEAN(transactions_table8[[#This Row],[currency]]))="USD",transactions_table8[[#This Row],[sales_amount]]*83,transactions_table8[[#This Row],[sales_amount]])</f>
        <v>4940</v>
      </c>
    </row>
    <row r="453" spans="1:13" x14ac:dyDescent="0.3">
      <c r="A453" t="s">
        <v>184</v>
      </c>
      <c r="B453" t="s">
        <v>8</v>
      </c>
      <c r="C453" t="s">
        <v>141</v>
      </c>
      <c r="D453" s="1">
        <v>43264</v>
      </c>
      <c r="E453">
        <v>1</v>
      </c>
      <c r="F453">
        <v>449</v>
      </c>
      <c r="G453" t="s">
        <v>462</v>
      </c>
      <c r="H453" t="str">
        <f>VLOOKUP(A453, product_table!$A:$C, 3, 0)</f>
        <v>Own Brand</v>
      </c>
      <c r="I453" t="str">
        <f>VLOOKUP(transactions_table8[[#This Row],[market_code]],markets_table!$A:$B,2,0)</f>
        <v>Ahmedabad</v>
      </c>
      <c r="J453" t="str">
        <f>VLOOKUP(transactions_table8[[#This Row],[market_code]],markets_table!$A:$C,3,0)</f>
        <v>North</v>
      </c>
      <c r="K453" t="str">
        <f>VLOOKUP(transactions_table8[[#This Row],[customer_code]],customer_table!$A:$B,2,0)</f>
        <v>Excel Stores</v>
      </c>
      <c r="L453" t="str">
        <f>VLOOKUP(transactions_table8[[#This Row],[customer_code]],customer_table!$A:$C,3,0)</f>
        <v>Brick &amp; Mortar</v>
      </c>
      <c r="M453">
        <f>IF(TRIM(CLEAN(transactions_table8[[#This Row],[currency]]))="USD",transactions_table8[[#This Row],[sales_amount]]*83,transactions_table8[[#This Row],[sales_amount]])</f>
        <v>449</v>
      </c>
    </row>
    <row r="454" spans="1:13" x14ac:dyDescent="0.3">
      <c r="A454" t="s">
        <v>184</v>
      </c>
      <c r="B454" t="s">
        <v>26</v>
      </c>
      <c r="C454" t="s">
        <v>141</v>
      </c>
      <c r="D454" s="1">
        <v>43265</v>
      </c>
      <c r="E454">
        <v>1</v>
      </c>
      <c r="F454">
        <v>2153</v>
      </c>
      <c r="G454" t="s">
        <v>462</v>
      </c>
      <c r="H454" t="str">
        <f>VLOOKUP(A454, product_table!$A:$C, 3, 0)</f>
        <v>Own Brand</v>
      </c>
      <c r="I454" t="str">
        <f>VLOOKUP(transactions_table8[[#This Row],[market_code]],markets_table!$A:$B,2,0)</f>
        <v>Ahmedabad</v>
      </c>
      <c r="J454" t="str">
        <f>VLOOKUP(transactions_table8[[#This Row],[market_code]],markets_table!$A:$C,3,0)</f>
        <v>North</v>
      </c>
      <c r="K454" t="str">
        <f>VLOOKUP(transactions_table8[[#This Row],[customer_code]],customer_table!$A:$B,2,0)</f>
        <v>Integration Stores</v>
      </c>
      <c r="L454" t="str">
        <f>VLOOKUP(transactions_table8[[#This Row],[customer_code]],customer_table!$A:$C,3,0)</f>
        <v>Brick &amp; Mortar</v>
      </c>
      <c r="M454">
        <f>IF(TRIM(CLEAN(transactions_table8[[#This Row],[currency]]))="USD",transactions_table8[[#This Row],[sales_amount]]*83,transactions_table8[[#This Row],[sales_amount]])</f>
        <v>2153</v>
      </c>
    </row>
    <row r="455" spans="1:13" x14ac:dyDescent="0.3">
      <c r="A455" t="s">
        <v>184</v>
      </c>
      <c r="B455" t="s">
        <v>22</v>
      </c>
      <c r="C455" t="s">
        <v>141</v>
      </c>
      <c r="D455" s="1">
        <v>43265</v>
      </c>
      <c r="E455">
        <v>1</v>
      </c>
      <c r="F455">
        <v>472</v>
      </c>
      <c r="G455" t="s">
        <v>462</v>
      </c>
      <c r="H455" t="str">
        <f>VLOOKUP(A455, product_table!$A:$C, 3, 0)</f>
        <v>Own Brand</v>
      </c>
      <c r="I455" t="str">
        <f>VLOOKUP(transactions_table8[[#This Row],[market_code]],markets_table!$A:$B,2,0)</f>
        <v>Ahmedabad</v>
      </c>
      <c r="J455" t="str">
        <f>VLOOKUP(transactions_table8[[#This Row],[market_code]],markets_table!$A:$C,3,0)</f>
        <v>North</v>
      </c>
      <c r="K455" t="str">
        <f>VLOOKUP(transactions_table8[[#This Row],[customer_code]],customer_table!$A:$B,2,0)</f>
        <v>Atlas Stores</v>
      </c>
      <c r="L455" t="str">
        <f>VLOOKUP(transactions_table8[[#This Row],[customer_code]],customer_table!$A:$C,3,0)</f>
        <v>Brick &amp; Mortar</v>
      </c>
      <c r="M455">
        <f>IF(TRIM(CLEAN(transactions_table8[[#This Row],[currency]]))="USD",transactions_table8[[#This Row],[sales_amount]]*83,transactions_table8[[#This Row],[sales_amount]])</f>
        <v>472</v>
      </c>
    </row>
    <row r="456" spans="1:13" x14ac:dyDescent="0.3">
      <c r="A456" t="s">
        <v>184</v>
      </c>
      <c r="B456" t="s">
        <v>8</v>
      </c>
      <c r="C456" t="s">
        <v>141</v>
      </c>
      <c r="D456" s="1">
        <v>43265</v>
      </c>
      <c r="E456">
        <v>1</v>
      </c>
      <c r="F456">
        <v>449</v>
      </c>
      <c r="G456" t="s">
        <v>462</v>
      </c>
      <c r="H456" t="str">
        <f>VLOOKUP(A456, product_table!$A:$C, 3, 0)</f>
        <v>Own Brand</v>
      </c>
      <c r="I456" t="str">
        <f>VLOOKUP(transactions_table8[[#This Row],[market_code]],markets_table!$A:$B,2,0)</f>
        <v>Ahmedabad</v>
      </c>
      <c r="J456" t="str">
        <f>VLOOKUP(transactions_table8[[#This Row],[market_code]],markets_table!$A:$C,3,0)</f>
        <v>North</v>
      </c>
      <c r="K456" t="str">
        <f>VLOOKUP(transactions_table8[[#This Row],[customer_code]],customer_table!$A:$B,2,0)</f>
        <v>Excel Stores</v>
      </c>
      <c r="L456" t="str">
        <f>VLOOKUP(transactions_table8[[#This Row],[customer_code]],customer_table!$A:$C,3,0)</f>
        <v>Brick &amp; Mortar</v>
      </c>
      <c r="M456">
        <f>IF(TRIM(CLEAN(transactions_table8[[#This Row],[currency]]))="USD",transactions_table8[[#This Row],[sales_amount]]*83,transactions_table8[[#This Row],[sales_amount]])</f>
        <v>449</v>
      </c>
    </row>
    <row r="457" spans="1:13" x14ac:dyDescent="0.3">
      <c r="A457" t="s">
        <v>184</v>
      </c>
      <c r="B457" t="s">
        <v>30</v>
      </c>
      <c r="C457" t="s">
        <v>141</v>
      </c>
      <c r="D457" s="1">
        <v>43265</v>
      </c>
      <c r="E457">
        <v>4</v>
      </c>
      <c r="F457">
        <v>5306</v>
      </c>
      <c r="G457" t="s">
        <v>462</v>
      </c>
      <c r="H457" t="str">
        <f>VLOOKUP(A457, product_table!$A:$C, 3, 0)</f>
        <v>Own Brand</v>
      </c>
      <c r="I457" t="str">
        <f>VLOOKUP(transactions_table8[[#This Row],[market_code]],markets_table!$A:$B,2,0)</f>
        <v>Ahmedabad</v>
      </c>
      <c r="J457" t="str">
        <f>VLOOKUP(transactions_table8[[#This Row],[market_code]],markets_table!$A:$C,3,0)</f>
        <v>North</v>
      </c>
      <c r="K457" t="str">
        <f>VLOOKUP(transactions_table8[[#This Row],[customer_code]],customer_table!$A:$B,2,0)</f>
        <v>Forward Stores</v>
      </c>
      <c r="L457" t="str">
        <f>VLOOKUP(transactions_table8[[#This Row],[customer_code]],customer_table!$A:$C,3,0)</f>
        <v>Brick &amp; Mortar</v>
      </c>
      <c r="M457">
        <f>IF(TRIM(CLEAN(transactions_table8[[#This Row],[currency]]))="USD",transactions_table8[[#This Row],[sales_amount]]*83,transactions_table8[[#This Row],[sales_amount]])</f>
        <v>5306</v>
      </c>
    </row>
    <row r="458" spans="1:13" x14ac:dyDescent="0.3">
      <c r="A458" t="s">
        <v>184</v>
      </c>
      <c r="B458" t="s">
        <v>8</v>
      </c>
      <c r="C458" t="s">
        <v>141</v>
      </c>
      <c r="D458" s="1">
        <v>43266</v>
      </c>
      <c r="E458">
        <v>3</v>
      </c>
      <c r="F458">
        <v>3602</v>
      </c>
      <c r="G458" t="s">
        <v>462</v>
      </c>
      <c r="H458" t="str">
        <f>VLOOKUP(A458, product_table!$A:$C, 3, 0)</f>
        <v>Own Brand</v>
      </c>
      <c r="I458" t="str">
        <f>VLOOKUP(transactions_table8[[#This Row],[market_code]],markets_table!$A:$B,2,0)</f>
        <v>Ahmedabad</v>
      </c>
      <c r="J458" t="str">
        <f>VLOOKUP(transactions_table8[[#This Row],[market_code]],markets_table!$A:$C,3,0)</f>
        <v>North</v>
      </c>
      <c r="K458" t="str">
        <f>VLOOKUP(transactions_table8[[#This Row],[customer_code]],customer_table!$A:$B,2,0)</f>
        <v>Excel Stores</v>
      </c>
      <c r="L458" t="str">
        <f>VLOOKUP(transactions_table8[[#This Row],[customer_code]],customer_table!$A:$C,3,0)</f>
        <v>Brick &amp; Mortar</v>
      </c>
      <c r="M458">
        <f>IF(TRIM(CLEAN(transactions_table8[[#This Row],[currency]]))="USD",transactions_table8[[#This Row],[sales_amount]]*83,transactions_table8[[#This Row],[sales_amount]])</f>
        <v>3602</v>
      </c>
    </row>
    <row r="459" spans="1:13" x14ac:dyDescent="0.3">
      <c r="A459" t="s">
        <v>184</v>
      </c>
      <c r="B459" t="s">
        <v>24</v>
      </c>
      <c r="C459" t="s">
        <v>141</v>
      </c>
      <c r="D459" s="1">
        <v>43269</v>
      </c>
      <c r="E459">
        <v>4</v>
      </c>
      <c r="F459">
        <v>3583</v>
      </c>
      <c r="G459" t="s">
        <v>462</v>
      </c>
      <c r="H459" t="str">
        <f>VLOOKUP(A459, product_table!$A:$C, 3, 0)</f>
        <v>Own Brand</v>
      </c>
      <c r="I459" t="str">
        <f>VLOOKUP(transactions_table8[[#This Row],[market_code]],markets_table!$A:$B,2,0)</f>
        <v>Ahmedabad</v>
      </c>
      <c r="J459" t="str">
        <f>VLOOKUP(transactions_table8[[#This Row],[market_code]],markets_table!$A:$C,3,0)</f>
        <v>North</v>
      </c>
      <c r="K459" t="str">
        <f>VLOOKUP(transactions_table8[[#This Row],[customer_code]],customer_table!$A:$B,2,0)</f>
        <v>Flawless Stores</v>
      </c>
      <c r="L459" t="str">
        <f>VLOOKUP(transactions_table8[[#This Row],[customer_code]],customer_table!$A:$C,3,0)</f>
        <v>Brick &amp; Mortar</v>
      </c>
      <c r="M459">
        <f>IF(TRIM(CLEAN(transactions_table8[[#This Row],[currency]]))="USD",transactions_table8[[#This Row],[sales_amount]]*83,transactions_table8[[#This Row],[sales_amount]])</f>
        <v>3583</v>
      </c>
    </row>
    <row r="460" spans="1:13" x14ac:dyDescent="0.3">
      <c r="A460" t="s">
        <v>184</v>
      </c>
      <c r="B460" t="s">
        <v>8</v>
      </c>
      <c r="C460" t="s">
        <v>141</v>
      </c>
      <c r="D460" s="1">
        <v>43269</v>
      </c>
      <c r="E460">
        <v>4</v>
      </c>
      <c r="F460">
        <v>4954</v>
      </c>
      <c r="G460" t="s">
        <v>462</v>
      </c>
      <c r="H460" t="str">
        <f>VLOOKUP(A460, product_table!$A:$C, 3, 0)</f>
        <v>Own Brand</v>
      </c>
      <c r="I460" t="str">
        <f>VLOOKUP(transactions_table8[[#This Row],[market_code]],markets_table!$A:$B,2,0)</f>
        <v>Ahmedabad</v>
      </c>
      <c r="J460" t="str">
        <f>VLOOKUP(transactions_table8[[#This Row],[market_code]],markets_table!$A:$C,3,0)</f>
        <v>North</v>
      </c>
      <c r="K460" t="str">
        <f>VLOOKUP(transactions_table8[[#This Row],[customer_code]],customer_table!$A:$B,2,0)</f>
        <v>Excel Stores</v>
      </c>
      <c r="L460" t="str">
        <f>VLOOKUP(transactions_table8[[#This Row],[customer_code]],customer_table!$A:$C,3,0)</f>
        <v>Brick &amp; Mortar</v>
      </c>
      <c r="M460">
        <f>IF(TRIM(CLEAN(transactions_table8[[#This Row],[currency]]))="USD",transactions_table8[[#This Row],[sales_amount]]*83,transactions_table8[[#This Row],[sales_amount]])</f>
        <v>4954</v>
      </c>
    </row>
    <row r="461" spans="1:13" x14ac:dyDescent="0.3">
      <c r="A461" t="s">
        <v>184</v>
      </c>
      <c r="B461" t="s">
        <v>22</v>
      </c>
      <c r="C461" t="s">
        <v>141</v>
      </c>
      <c r="D461" s="1">
        <v>43272</v>
      </c>
      <c r="E461">
        <v>1</v>
      </c>
      <c r="F461">
        <v>1889</v>
      </c>
      <c r="G461" t="s">
        <v>462</v>
      </c>
      <c r="H461" t="str">
        <f>VLOOKUP(A461, product_table!$A:$C, 3, 0)</f>
        <v>Own Brand</v>
      </c>
      <c r="I461" t="str">
        <f>VLOOKUP(transactions_table8[[#This Row],[market_code]],markets_table!$A:$B,2,0)</f>
        <v>Ahmedabad</v>
      </c>
      <c r="J461" t="str">
        <f>VLOOKUP(transactions_table8[[#This Row],[market_code]],markets_table!$A:$C,3,0)</f>
        <v>North</v>
      </c>
      <c r="K461" t="str">
        <f>VLOOKUP(transactions_table8[[#This Row],[customer_code]],customer_table!$A:$B,2,0)</f>
        <v>Atlas Stores</v>
      </c>
      <c r="L461" t="str">
        <f>VLOOKUP(transactions_table8[[#This Row],[customer_code]],customer_table!$A:$C,3,0)</f>
        <v>Brick &amp; Mortar</v>
      </c>
      <c r="M461">
        <f>IF(TRIM(CLEAN(transactions_table8[[#This Row],[currency]]))="USD",transactions_table8[[#This Row],[sales_amount]]*83,transactions_table8[[#This Row],[sales_amount]])</f>
        <v>1889</v>
      </c>
    </row>
    <row r="462" spans="1:13" x14ac:dyDescent="0.3">
      <c r="A462" t="s">
        <v>184</v>
      </c>
      <c r="B462" t="s">
        <v>22</v>
      </c>
      <c r="C462" t="s">
        <v>141</v>
      </c>
      <c r="D462" s="1">
        <v>43299</v>
      </c>
      <c r="E462">
        <v>1</v>
      </c>
      <c r="F462">
        <v>472</v>
      </c>
      <c r="G462" t="s">
        <v>462</v>
      </c>
      <c r="H462" t="str">
        <f>VLOOKUP(A462, product_table!$A:$C, 3, 0)</f>
        <v>Own Brand</v>
      </c>
      <c r="I462" t="str">
        <f>VLOOKUP(transactions_table8[[#This Row],[market_code]],markets_table!$A:$B,2,0)</f>
        <v>Ahmedabad</v>
      </c>
      <c r="J462" t="str">
        <f>VLOOKUP(transactions_table8[[#This Row],[market_code]],markets_table!$A:$C,3,0)</f>
        <v>North</v>
      </c>
      <c r="K462" t="str">
        <f>VLOOKUP(transactions_table8[[#This Row],[customer_code]],customer_table!$A:$B,2,0)</f>
        <v>Atlas Stores</v>
      </c>
      <c r="L462" t="str">
        <f>VLOOKUP(transactions_table8[[#This Row],[customer_code]],customer_table!$A:$C,3,0)</f>
        <v>Brick &amp; Mortar</v>
      </c>
      <c r="M462">
        <f>IF(TRIM(CLEAN(transactions_table8[[#This Row],[currency]]))="USD",transactions_table8[[#This Row],[sales_amount]]*83,transactions_table8[[#This Row],[sales_amount]])</f>
        <v>472</v>
      </c>
    </row>
    <row r="463" spans="1:13" x14ac:dyDescent="0.3">
      <c r="A463" t="s">
        <v>184</v>
      </c>
      <c r="B463" t="s">
        <v>8</v>
      </c>
      <c r="C463" t="s">
        <v>141</v>
      </c>
      <c r="D463" s="1">
        <v>43299</v>
      </c>
      <c r="E463">
        <v>1</v>
      </c>
      <c r="F463">
        <v>1352</v>
      </c>
      <c r="G463" t="s">
        <v>462</v>
      </c>
      <c r="H463" t="str">
        <f>VLOOKUP(A463, product_table!$A:$C, 3, 0)</f>
        <v>Own Brand</v>
      </c>
      <c r="I463" t="str">
        <f>VLOOKUP(transactions_table8[[#This Row],[market_code]],markets_table!$A:$B,2,0)</f>
        <v>Ahmedabad</v>
      </c>
      <c r="J463" t="str">
        <f>VLOOKUP(transactions_table8[[#This Row],[market_code]],markets_table!$A:$C,3,0)</f>
        <v>North</v>
      </c>
      <c r="K463" t="str">
        <f>VLOOKUP(transactions_table8[[#This Row],[customer_code]],customer_table!$A:$B,2,0)</f>
        <v>Excel Stores</v>
      </c>
      <c r="L463" t="str">
        <f>VLOOKUP(transactions_table8[[#This Row],[customer_code]],customer_table!$A:$C,3,0)</f>
        <v>Brick &amp; Mortar</v>
      </c>
      <c r="M463">
        <f>IF(TRIM(CLEAN(transactions_table8[[#This Row],[currency]]))="USD",transactions_table8[[#This Row],[sales_amount]]*83,transactions_table8[[#This Row],[sales_amount]])</f>
        <v>1352</v>
      </c>
    </row>
    <row r="464" spans="1:13" x14ac:dyDescent="0.3">
      <c r="A464" t="s">
        <v>184</v>
      </c>
      <c r="B464" t="s">
        <v>26</v>
      </c>
      <c r="C464" t="s">
        <v>141</v>
      </c>
      <c r="D464" s="1">
        <v>43300</v>
      </c>
      <c r="E464">
        <v>1</v>
      </c>
      <c r="F464">
        <v>1616</v>
      </c>
      <c r="G464" t="s">
        <v>462</v>
      </c>
      <c r="H464" t="str">
        <f>VLOOKUP(A464, product_table!$A:$C, 3, 0)</f>
        <v>Own Brand</v>
      </c>
      <c r="I464" t="str">
        <f>VLOOKUP(transactions_table8[[#This Row],[market_code]],markets_table!$A:$B,2,0)</f>
        <v>Ahmedabad</v>
      </c>
      <c r="J464" t="str">
        <f>VLOOKUP(transactions_table8[[#This Row],[market_code]],markets_table!$A:$C,3,0)</f>
        <v>North</v>
      </c>
      <c r="K464" t="str">
        <f>VLOOKUP(transactions_table8[[#This Row],[customer_code]],customer_table!$A:$B,2,0)</f>
        <v>Integration Stores</v>
      </c>
      <c r="L464" t="str">
        <f>VLOOKUP(transactions_table8[[#This Row],[customer_code]],customer_table!$A:$C,3,0)</f>
        <v>Brick &amp; Mortar</v>
      </c>
      <c r="M464">
        <f>IF(TRIM(CLEAN(transactions_table8[[#This Row],[currency]]))="USD",transactions_table8[[#This Row],[sales_amount]]*83,transactions_table8[[#This Row],[sales_amount]])</f>
        <v>1616</v>
      </c>
    </row>
    <row r="465" spans="1:13" x14ac:dyDescent="0.3">
      <c r="A465" t="s">
        <v>184</v>
      </c>
      <c r="B465" t="s">
        <v>8</v>
      </c>
      <c r="C465" t="s">
        <v>141</v>
      </c>
      <c r="D465" s="1">
        <v>43300</v>
      </c>
      <c r="E465">
        <v>1</v>
      </c>
      <c r="F465">
        <v>449</v>
      </c>
      <c r="G465" t="s">
        <v>462</v>
      </c>
      <c r="H465" t="str">
        <f>VLOOKUP(A465, product_table!$A:$C, 3, 0)</f>
        <v>Own Brand</v>
      </c>
      <c r="I465" t="str">
        <f>VLOOKUP(transactions_table8[[#This Row],[market_code]],markets_table!$A:$B,2,0)</f>
        <v>Ahmedabad</v>
      </c>
      <c r="J465" t="str">
        <f>VLOOKUP(transactions_table8[[#This Row],[market_code]],markets_table!$A:$C,3,0)</f>
        <v>North</v>
      </c>
      <c r="K465" t="str">
        <f>VLOOKUP(transactions_table8[[#This Row],[customer_code]],customer_table!$A:$B,2,0)</f>
        <v>Excel Stores</v>
      </c>
      <c r="L465" t="str">
        <f>VLOOKUP(transactions_table8[[#This Row],[customer_code]],customer_table!$A:$C,3,0)</f>
        <v>Brick &amp; Mortar</v>
      </c>
      <c r="M465">
        <f>IF(TRIM(CLEAN(transactions_table8[[#This Row],[currency]]))="USD",transactions_table8[[#This Row],[sales_amount]]*83,transactions_table8[[#This Row],[sales_amount]])</f>
        <v>449</v>
      </c>
    </row>
    <row r="466" spans="1:13" x14ac:dyDescent="0.3">
      <c r="A466" t="s">
        <v>184</v>
      </c>
      <c r="B466" t="s">
        <v>8</v>
      </c>
      <c r="C466" t="s">
        <v>141</v>
      </c>
      <c r="D466" s="1">
        <v>43304</v>
      </c>
      <c r="E466">
        <v>1</v>
      </c>
      <c r="F466">
        <v>1801</v>
      </c>
      <c r="G466" t="s">
        <v>462</v>
      </c>
      <c r="H466" t="str">
        <f>VLOOKUP(A466, product_table!$A:$C, 3, 0)</f>
        <v>Own Brand</v>
      </c>
      <c r="I466" t="str">
        <f>VLOOKUP(transactions_table8[[#This Row],[market_code]],markets_table!$A:$B,2,0)</f>
        <v>Ahmedabad</v>
      </c>
      <c r="J466" t="str">
        <f>VLOOKUP(transactions_table8[[#This Row],[market_code]],markets_table!$A:$C,3,0)</f>
        <v>North</v>
      </c>
      <c r="K466" t="str">
        <f>VLOOKUP(transactions_table8[[#This Row],[customer_code]],customer_table!$A:$B,2,0)</f>
        <v>Excel Stores</v>
      </c>
      <c r="L466" t="str">
        <f>VLOOKUP(transactions_table8[[#This Row],[customer_code]],customer_table!$A:$C,3,0)</f>
        <v>Brick &amp; Mortar</v>
      </c>
      <c r="M466">
        <f>IF(TRIM(CLEAN(transactions_table8[[#This Row],[currency]]))="USD",transactions_table8[[#This Row],[sales_amount]]*83,transactions_table8[[#This Row],[sales_amount]])</f>
        <v>1801</v>
      </c>
    </row>
    <row r="467" spans="1:13" x14ac:dyDescent="0.3">
      <c r="A467" t="s">
        <v>184</v>
      </c>
      <c r="B467" t="s">
        <v>8</v>
      </c>
      <c r="C467" t="s">
        <v>141</v>
      </c>
      <c r="D467" s="1">
        <v>43311</v>
      </c>
      <c r="E467">
        <v>1</v>
      </c>
      <c r="F467">
        <v>1801</v>
      </c>
      <c r="G467" t="s">
        <v>462</v>
      </c>
      <c r="H467" t="str">
        <f>VLOOKUP(A467, product_table!$A:$C, 3, 0)</f>
        <v>Own Brand</v>
      </c>
      <c r="I467" t="str">
        <f>VLOOKUP(transactions_table8[[#This Row],[market_code]],markets_table!$A:$B,2,0)</f>
        <v>Ahmedabad</v>
      </c>
      <c r="J467" t="str">
        <f>VLOOKUP(transactions_table8[[#This Row],[market_code]],markets_table!$A:$C,3,0)</f>
        <v>North</v>
      </c>
      <c r="K467" t="str">
        <f>VLOOKUP(transactions_table8[[#This Row],[customer_code]],customer_table!$A:$B,2,0)</f>
        <v>Excel Stores</v>
      </c>
      <c r="L467" t="str">
        <f>VLOOKUP(transactions_table8[[#This Row],[customer_code]],customer_table!$A:$C,3,0)</f>
        <v>Brick &amp; Mortar</v>
      </c>
      <c r="M467">
        <f>IF(TRIM(CLEAN(transactions_table8[[#This Row],[currency]]))="USD",transactions_table8[[#This Row],[sales_amount]]*83,transactions_table8[[#This Row],[sales_amount]])</f>
        <v>1801</v>
      </c>
    </row>
    <row r="468" spans="1:13" x14ac:dyDescent="0.3">
      <c r="A468" t="s">
        <v>184</v>
      </c>
      <c r="B468" t="s">
        <v>8</v>
      </c>
      <c r="C468" t="s">
        <v>141</v>
      </c>
      <c r="D468" s="1">
        <v>43490</v>
      </c>
      <c r="E468">
        <v>1</v>
      </c>
      <c r="F468">
        <v>449</v>
      </c>
      <c r="G468" t="s">
        <v>462</v>
      </c>
      <c r="H468" t="str">
        <f>VLOOKUP(A468, product_table!$A:$C, 3, 0)</f>
        <v>Own Brand</v>
      </c>
      <c r="I468" t="str">
        <f>VLOOKUP(transactions_table8[[#This Row],[market_code]],markets_table!$A:$B,2,0)</f>
        <v>Ahmedabad</v>
      </c>
      <c r="J468" t="str">
        <f>VLOOKUP(transactions_table8[[#This Row],[market_code]],markets_table!$A:$C,3,0)</f>
        <v>North</v>
      </c>
      <c r="K468" t="str">
        <f>VLOOKUP(transactions_table8[[#This Row],[customer_code]],customer_table!$A:$B,2,0)</f>
        <v>Excel Stores</v>
      </c>
      <c r="L468" t="str">
        <f>VLOOKUP(transactions_table8[[#This Row],[customer_code]],customer_table!$A:$C,3,0)</f>
        <v>Brick &amp; Mortar</v>
      </c>
      <c r="M468">
        <f>IF(TRIM(CLEAN(transactions_table8[[#This Row],[currency]]))="USD",transactions_table8[[#This Row],[sales_amount]]*83,transactions_table8[[#This Row],[sales_amount]])</f>
        <v>449</v>
      </c>
    </row>
    <row r="469" spans="1:13" x14ac:dyDescent="0.3">
      <c r="A469" t="s">
        <v>184</v>
      </c>
      <c r="B469" t="s">
        <v>8</v>
      </c>
      <c r="C469" t="s">
        <v>141</v>
      </c>
      <c r="D469" s="1">
        <v>43500</v>
      </c>
      <c r="E469">
        <v>1</v>
      </c>
      <c r="F469">
        <v>449</v>
      </c>
      <c r="G469" t="s">
        <v>462</v>
      </c>
      <c r="H469" t="str">
        <f>VLOOKUP(A469, product_table!$A:$C, 3, 0)</f>
        <v>Own Brand</v>
      </c>
      <c r="I469" t="str">
        <f>VLOOKUP(transactions_table8[[#This Row],[market_code]],markets_table!$A:$B,2,0)</f>
        <v>Ahmedabad</v>
      </c>
      <c r="J469" t="str">
        <f>VLOOKUP(transactions_table8[[#This Row],[market_code]],markets_table!$A:$C,3,0)</f>
        <v>North</v>
      </c>
      <c r="K469" t="str">
        <f>VLOOKUP(transactions_table8[[#This Row],[customer_code]],customer_table!$A:$B,2,0)</f>
        <v>Excel Stores</v>
      </c>
      <c r="L469" t="str">
        <f>VLOOKUP(transactions_table8[[#This Row],[customer_code]],customer_table!$A:$C,3,0)</f>
        <v>Brick &amp; Mortar</v>
      </c>
      <c r="M469">
        <f>IF(TRIM(CLEAN(transactions_table8[[#This Row],[currency]]))="USD",transactions_table8[[#This Row],[sales_amount]]*83,transactions_table8[[#This Row],[sales_amount]])</f>
        <v>449</v>
      </c>
    </row>
    <row r="470" spans="1:13" x14ac:dyDescent="0.3">
      <c r="A470" t="s">
        <v>184</v>
      </c>
      <c r="B470" t="s">
        <v>8</v>
      </c>
      <c r="C470" t="s">
        <v>141</v>
      </c>
      <c r="D470" s="1">
        <v>43516</v>
      </c>
      <c r="E470">
        <v>1</v>
      </c>
      <c r="F470">
        <v>449</v>
      </c>
      <c r="G470" t="s">
        <v>462</v>
      </c>
      <c r="H470" t="str">
        <f>VLOOKUP(A470, product_table!$A:$C, 3, 0)</f>
        <v>Own Brand</v>
      </c>
      <c r="I470" t="str">
        <f>VLOOKUP(transactions_table8[[#This Row],[market_code]],markets_table!$A:$B,2,0)</f>
        <v>Ahmedabad</v>
      </c>
      <c r="J470" t="str">
        <f>VLOOKUP(transactions_table8[[#This Row],[market_code]],markets_table!$A:$C,3,0)</f>
        <v>North</v>
      </c>
      <c r="K470" t="str">
        <f>VLOOKUP(transactions_table8[[#This Row],[customer_code]],customer_table!$A:$B,2,0)</f>
        <v>Excel Stores</v>
      </c>
      <c r="L470" t="str">
        <f>VLOOKUP(transactions_table8[[#This Row],[customer_code]],customer_table!$A:$C,3,0)</f>
        <v>Brick &amp; Mortar</v>
      </c>
      <c r="M470">
        <f>IF(TRIM(CLEAN(transactions_table8[[#This Row],[currency]]))="USD",transactions_table8[[#This Row],[sales_amount]]*83,transactions_table8[[#This Row],[sales_amount]])</f>
        <v>449</v>
      </c>
    </row>
    <row r="471" spans="1:13" x14ac:dyDescent="0.3">
      <c r="A471" t="s">
        <v>184</v>
      </c>
      <c r="B471" t="s">
        <v>8</v>
      </c>
      <c r="C471" t="s">
        <v>141</v>
      </c>
      <c r="D471" s="1">
        <v>43537</v>
      </c>
      <c r="E471">
        <v>1</v>
      </c>
      <c r="F471">
        <v>444</v>
      </c>
      <c r="G471" t="s">
        <v>462</v>
      </c>
      <c r="H471" t="str">
        <f>VLOOKUP(A471, product_table!$A:$C, 3, 0)</f>
        <v>Own Brand</v>
      </c>
      <c r="I471" t="str">
        <f>VLOOKUP(transactions_table8[[#This Row],[market_code]],markets_table!$A:$B,2,0)</f>
        <v>Ahmedabad</v>
      </c>
      <c r="J471" t="str">
        <f>VLOOKUP(transactions_table8[[#This Row],[market_code]],markets_table!$A:$C,3,0)</f>
        <v>North</v>
      </c>
      <c r="K471" t="str">
        <f>VLOOKUP(transactions_table8[[#This Row],[customer_code]],customer_table!$A:$B,2,0)</f>
        <v>Excel Stores</v>
      </c>
      <c r="L471" t="str">
        <f>VLOOKUP(transactions_table8[[#This Row],[customer_code]],customer_table!$A:$C,3,0)</f>
        <v>Brick &amp; Mortar</v>
      </c>
      <c r="M471">
        <f>IF(TRIM(CLEAN(transactions_table8[[#This Row],[currency]]))="USD",transactions_table8[[#This Row],[sales_amount]]*83,transactions_table8[[#This Row],[sales_amount]])</f>
        <v>444</v>
      </c>
    </row>
    <row r="472" spans="1:13" x14ac:dyDescent="0.3">
      <c r="A472" t="s">
        <v>184</v>
      </c>
      <c r="B472" t="s">
        <v>8</v>
      </c>
      <c r="C472" t="s">
        <v>141</v>
      </c>
      <c r="D472" s="1">
        <v>43552</v>
      </c>
      <c r="E472">
        <v>1</v>
      </c>
      <c r="F472">
        <v>444</v>
      </c>
      <c r="G472" t="s">
        <v>462</v>
      </c>
      <c r="H472" t="str">
        <f>VLOOKUP(A472, product_table!$A:$C, 3, 0)</f>
        <v>Own Brand</v>
      </c>
      <c r="I472" t="str">
        <f>VLOOKUP(transactions_table8[[#This Row],[market_code]],markets_table!$A:$B,2,0)</f>
        <v>Ahmedabad</v>
      </c>
      <c r="J472" t="str">
        <f>VLOOKUP(transactions_table8[[#This Row],[market_code]],markets_table!$A:$C,3,0)</f>
        <v>North</v>
      </c>
      <c r="K472" t="str">
        <f>VLOOKUP(transactions_table8[[#This Row],[customer_code]],customer_table!$A:$B,2,0)</f>
        <v>Excel Stores</v>
      </c>
      <c r="L472" t="str">
        <f>VLOOKUP(transactions_table8[[#This Row],[customer_code]],customer_table!$A:$C,3,0)</f>
        <v>Brick &amp; Mortar</v>
      </c>
      <c r="M472">
        <f>IF(TRIM(CLEAN(transactions_table8[[#This Row],[currency]]))="USD",transactions_table8[[#This Row],[sales_amount]]*83,transactions_table8[[#This Row],[sales_amount]])</f>
        <v>444</v>
      </c>
    </row>
    <row r="473" spans="1:13" x14ac:dyDescent="0.3">
      <c r="A473" t="s">
        <v>185</v>
      </c>
      <c r="B473" t="s">
        <v>34</v>
      </c>
      <c r="C473" t="s">
        <v>138</v>
      </c>
      <c r="D473" s="1">
        <v>43014</v>
      </c>
      <c r="E473">
        <v>1</v>
      </c>
      <c r="F473">
        <v>505</v>
      </c>
      <c r="G473" t="s">
        <v>462</v>
      </c>
      <c r="H473" t="str">
        <f>VLOOKUP(A473, product_table!$A:$C, 3, 0)</f>
        <v>Own Brand</v>
      </c>
      <c r="I473" t="str">
        <f>VLOOKUP(transactions_table8[[#This Row],[market_code]],markets_table!$A:$B,2,0)</f>
        <v>Mumbai</v>
      </c>
      <c r="J473" t="str">
        <f>VLOOKUP(transactions_table8[[#This Row],[market_code]],markets_table!$A:$C,3,0)</f>
        <v>Central</v>
      </c>
      <c r="K473" t="str">
        <f>VLOOKUP(transactions_table8[[#This Row],[customer_code]],customer_table!$A:$B,2,0)</f>
        <v>Logic Stores</v>
      </c>
      <c r="L473" t="str">
        <f>VLOOKUP(transactions_table8[[#This Row],[customer_code]],customer_table!$A:$C,3,0)</f>
        <v>Brick &amp; Mortar</v>
      </c>
      <c r="M473">
        <f>IF(TRIM(CLEAN(transactions_table8[[#This Row],[currency]]))="USD",transactions_table8[[#This Row],[sales_amount]]*83,transactions_table8[[#This Row],[sales_amount]])</f>
        <v>505</v>
      </c>
    </row>
    <row r="474" spans="1:13" x14ac:dyDescent="0.3">
      <c r="A474" t="s">
        <v>185</v>
      </c>
      <c r="B474" t="s">
        <v>34</v>
      </c>
      <c r="C474" t="s">
        <v>138</v>
      </c>
      <c r="D474" s="1">
        <v>43021</v>
      </c>
      <c r="E474">
        <v>1</v>
      </c>
      <c r="F474">
        <v>1514</v>
      </c>
      <c r="G474" t="s">
        <v>462</v>
      </c>
      <c r="H474" t="str">
        <f>VLOOKUP(A474, product_table!$A:$C, 3, 0)</f>
        <v>Own Brand</v>
      </c>
      <c r="I474" t="str">
        <f>VLOOKUP(transactions_table8[[#This Row],[market_code]],markets_table!$A:$B,2,0)</f>
        <v>Mumbai</v>
      </c>
      <c r="J474" t="str">
        <f>VLOOKUP(transactions_table8[[#This Row],[market_code]],markets_table!$A:$C,3,0)</f>
        <v>Central</v>
      </c>
      <c r="K474" t="str">
        <f>VLOOKUP(transactions_table8[[#This Row],[customer_code]],customer_table!$A:$B,2,0)</f>
        <v>Logic Stores</v>
      </c>
      <c r="L474" t="str">
        <f>VLOOKUP(transactions_table8[[#This Row],[customer_code]],customer_table!$A:$C,3,0)</f>
        <v>Brick &amp; Mortar</v>
      </c>
      <c r="M474">
        <f>IF(TRIM(CLEAN(transactions_table8[[#This Row],[currency]]))="USD",transactions_table8[[#This Row],[sales_amount]]*83,transactions_table8[[#This Row],[sales_amount]])</f>
        <v>1514</v>
      </c>
    </row>
    <row r="475" spans="1:13" x14ac:dyDescent="0.3">
      <c r="A475" t="s">
        <v>185</v>
      </c>
      <c r="B475" t="s">
        <v>34</v>
      </c>
      <c r="C475" t="s">
        <v>138</v>
      </c>
      <c r="D475" s="1">
        <v>43028</v>
      </c>
      <c r="E475">
        <v>1</v>
      </c>
      <c r="F475">
        <v>2023</v>
      </c>
      <c r="G475" t="s">
        <v>462</v>
      </c>
      <c r="H475" t="str">
        <f>VLOOKUP(A475, product_table!$A:$C, 3, 0)</f>
        <v>Own Brand</v>
      </c>
      <c r="I475" t="str">
        <f>VLOOKUP(transactions_table8[[#This Row],[market_code]],markets_table!$A:$B,2,0)</f>
        <v>Mumbai</v>
      </c>
      <c r="J475" t="str">
        <f>VLOOKUP(transactions_table8[[#This Row],[market_code]],markets_table!$A:$C,3,0)</f>
        <v>Central</v>
      </c>
      <c r="K475" t="str">
        <f>VLOOKUP(transactions_table8[[#This Row],[customer_code]],customer_table!$A:$B,2,0)</f>
        <v>Logic Stores</v>
      </c>
      <c r="L475" t="str">
        <f>VLOOKUP(transactions_table8[[#This Row],[customer_code]],customer_table!$A:$C,3,0)</f>
        <v>Brick &amp; Mortar</v>
      </c>
      <c r="M475">
        <f>IF(TRIM(CLEAN(transactions_table8[[#This Row],[currency]]))="USD",transactions_table8[[#This Row],[sales_amount]]*83,transactions_table8[[#This Row],[sales_amount]])</f>
        <v>2023</v>
      </c>
    </row>
    <row r="476" spans="1:13" x14ac:dyDescent="0.3">
      <c r="A476" t="s">
        <v>185</v>
      </c>
      <c r="B476" t="s">
        <v>34</v>
      </c>
      <c r="C476" t="s">
        <v>138</v>
      </c>
      <c r="D476" s="1">
        <v>43035</v>
      </c>
      <c r="E476">
        <v>25</v>
      </c>
      <c r="F476">
        <v>37889</v>
      </c>
      <c r="G476" t="s">
        <v>462</v>
      </c>
      <c r="H476" t="str">
        <f>VLOOKUP(A476, product_table!$A:$C, 3, 0)</f>
        <v>Own Brand</v>
      </c>
      <c r="I476" t="str">
        <f>VLOOKUP(transactions_table8[[#This Row],[market_code]],markets_table!$A:$B,2,0)</f>
        <v>Mumbai</v>
      </c>
      <c r="J476" t="str">
        <f>VLOOKUP(transactions_table8[[#This Row],[market_code]],markets_table!$A:$C,3,0)</f>
        <v>Central</v>
      </c>
      <c r="K476" t="str">
        <f>VLOOKUP(transactions_table8[[#This Row],[customer_code]],customer_table!$A:$B,2,0)</f>
        <v>Logic Stores</v>
      </c>
      <c r="L476" t="str">
        <f>VLOOKUP(transactions_table8[[#This Row],[customer_code]],customer_table!$A:$C,3,0)</f>
        <v>Brick &amp; Mortar</v>
      </c>
      <c r="M476">
        <f>IF(TRIM(CLEAN(transactions_table8[[#This Row],[currency]]))="USD",transactions_table8[[#This Row],[sales_amount]]*83,transactions_table8[[#This Row],[sales_amount]])</f>
        <v>37889</v>
      </c>
    </row>
    <row r="477" spans="1:13" x14ac:dyDescent="0.3">
      <c r="A477" t="s">
        <v>185</v>
      </c>
      <c r="B477" t="s">
        <v>34</v>
      </c>
      <c r="C477" t="s">
        <v>138</v>
      </c>
      <c r="D477" s="1">
        <v>43139</v>
      </c>
      <c r="E477">
        <v>1</v>
      </c>
      <c r="F477">
        <v>593</v>
      </c>
      <c r="G477" t="s">
        <v>462</v>
      </c>
      <c r="H477" t="str">
        <f>VLOOKUP(A477, product_table!$A:$C, 3, 0)</f>
        <v>Own Brand</v>
      </c>
      <c r="I477" t="str">
        <f>VLOOKUP(transactions_table8[[#This Row],[market_code]],markets_table!$A:$B,2,0)</f>
        <v>Mumbai</v>
      </c>
      <c r="J477" t="str">
        <f>VLOOKUP(transactions_table8[[#This Row],[market_code]],markets_table!$A:$C,3,0)</f>
        <v>Central</v>
      </c>
      <c r="K477" t="str">
        <f>VLOOKUP(transactions_table8[[#This Row],[customer_code]],customer_table!$A:$B,2,0)</f>
        <v>Logic Stores</v>
      </c>
      <c r="L477" t="str">
        <f>VLOOKUP(transactions_table8[[#This Row],[customer_code]],customer_table!$A:$C,3,0)</f>
        <v>Brick &amp; Mortar</v>
      </c>
      <c r="M477">
        <f>IF(TRIM(CLEAN(transactions_table8[[#This Row],[currency]]))="USD",transactions_table8[[#This Row],[sales_amount]]*83,transactions_table8[[#This Row],[sales_amount]])</f>
        <v>593</v>
      </c>
    </row>
    <row r="478" spans="1:13" x14ac:dyDescent="0.3">
      <c r="A478" t="s">
        <v>185</v>
      </c>
      <c r="B478" t="s">
        <v>16</v>
      </c>
      <c r="C478" t="s">
        <v>144</v>
      </c>
      <c r="D478" s="1">
        <v>43147</v>
      </c>
      <c r="E478">
        <v>1</v>
      </c>
      <c r="F478">
        <v>597</v>
      </c>
      <c r="G478" t="s">
        <v>462</v>
      </c>
      <c r="H478" t="str">
        <f>VLOOKUP(A478, product_table!$A:$C, 3, 0)</f>
        <v>Own Brand</v>
      </c>
      <c r="I478" t="str">
        <f>VLOOKUP(transactions_table8[[#This Row],[market_code]],markets_table!$A:$B,2,0)</f>
        <v>Delhi NCR</v>
      </c>
      <c r="J478" t="str">
        <f>VLOOKUP(transactions_table8[[#This Row],[market_code]],markets_table!$A:$C,3,0)</f>
        <v>North</v>
      </c>
      <c r="K478" t="str">
        <f>VLOOKUP(transactions_table8[[#This Row],[customer_code]],customer_table!$A:$B,2,0)</f>
        <v>Info Stores</v>
      </c>
      <c r="L478" t="str">
        <f>VLOOKUP(transactions_table8[[#This Row],[customer_code]],customer_table!$A:$C,3,0)</f>
        <v>Brick &amp; Mortar</v>
      </c>
      <c r="M478">
        <f>IF(TRIM(CLEAN(transactions_table8[[#This Row],[currency]]))="USD",transactions_table8[[#This Row],[sales_amount]]*83,transactions_table8[[#This Row],[sales_amount]])</f>
        <v>597</v>
      </c>
    </row>
    <row r="479" spans="1:13" x14ac:dyDescent="0.3">
      <c r="A479" t="s">
        <v>185</v>
      </c>
      <c r="B479" t="s">
        <v>16</v>
      </c>
      <c r="C479" t="s">
        <v>144</v>
      </c>
      <c r="D479" s="1">
        <v>43157</v>
      </c>
      <c r="E479">
        <v>1</v>
      </c>
      <c r="F479">
        <v>2389</v>
      </c>
      <c r="G479" t="s">
        <v>462</v>
      </c>
      <c r="H479" t="str">
        <f>VLOOKUP(A479, product_table!$A:$C, 3, 0)</f>
        <v>Own Brand</v>
      </c>
      <c r="I479" t="str">
        <f>VLOOKUP(transactions_table8[[#This Row],[market_code]],markets_table!$A:$B,2,0)</f>
        <v>Delhi NCR</v>
      </c>
      <c r="J479" t="str">
        <f>VLOOKUP(transactions_table8[[#This Row],[market_code]],markets_table!$A:$C,3,0)</f>
        <v>North</v>
      </c>
      <c r="K479" t="str">
        <f>VLOOKUP(transactions_table8[[#This Row],[customer_code]],customer_table!$A:$B,2,0)</f>
        <v>Info Stores</v>
      </c>
      <c r="L479" t="str">
        <f>VLOOKUP(transactions_table8[[#This Row],[customer_code]],customer_table!$A:$C,3,0)</f>
        <v>Brick &amp; Mortar</v>
      </c>
      <c r="M479">
        <f>IF(TRIM(CLEAN(transactions_table8[[#This Row],[currency]]))="USD",transactions_table8[[#This Row],[sales_amount]]*83,transactions_table8[[#This Row],[sales_amount]])</f>
        <v>2389</v>
      </c>
    </row>
    <row r="480" spans="1:13" x14ac:dyDescent="0.3">
      <c r="A480" t="s">
        <v>185</v>
      </c>
      <c r="B480" t="s">
        <v>34</v>
      </c>
      <c r="C480" t="s">
        <v>138</v>
      </c>
      <c r="D480" s="1">
        <v>43160</v>
      </c>
      <c r="E480">
        <v>1</v>
      </c>
      <c r="F480">
        <v>593</v>
      </c>
      <c r="G480" t="s">
        <v>462</v>
      </c>
      <c r="H480" t="str">
        <f>VLOOKUP(A480, product_table!$A:$C, 3, 0)</f>
        <v>Own Brand</v>
      </c>
      <c r="I480" t="str">
        <f>VLOOKUP(transactions_table8[[#This Row],[market_code]],markets_table!$A:$B,2,0)</f>
        <v>Mumbai</v>
      </c>
      <c r="J480" t="str">
        <f>VLOOKUP(transactions_table8[[#This Row],[market_code]],markets_table!$A:$C,3,0)</f>
        <v>Central</v>
      </c>
      <c r="K480" t="str">
        <f>VLOOKUP(transactions_table8[[#This Row],[customer_code]],customer_table!$A:$B,2,0)</f>
        <v>Logic Stores</v>
      </c>
      <c r="L480" t="str">
        <f>VLOOKUP(transactions_table8[[#This Row],[customer_code]],customer_table!$A:$C,3,0)</f>
        <v>Brick &amp; Mortar</v>
      </c>
      <c r="M480">
        <f>IF(TRIM(CLEAN(transactions_table8[[#This Row],[currency]]))="USD",transactions_table8[[#This Row],[sales_amount]]*83,transactions_table8[[#This Row],[sales_amount]])</f>
        <v>593</v>
      </c>
    </row>
    <row r="481" spans="1:13" x14ac:dyDescent="0.3">
      <c r="A481" t="s">
        <v>185</v>
      </c>
      <c r="B481" t="s">
        <v>16</v>
      </c>
      <c r="C481" t="s">
        <v>144</v>
      </c>
      <c r="D481" s="1">
        <v>43161</v>
      </c>
      <c r="E481">
        <v>1</v>
      </c>
      <c r="F481">
        <v>1194</v>
      </c>
      <c r="G481" t="s">
        <v>462</v>
      </c>
      <c r="H481" t="str">
        <f>VLOOKUP(A481, product_table!$A:$C, 3, 0)</f>
        <v>Own Brand</v>
      </c>
      <c r="I481" t="str">
        <f>VLOOKUP(transactions_table8[[#This Row],[market_code]],markets_table!$A:$B,2,0)</f>
        <v>Delhi NCR</v>
      </c>
      <c r="J481" t="str">
        <f>VLOOKUP(transactions_table8[[#This Row],[market_code]],markets_table!$A:$C,3,0)</f>
        <v>North</v>
      </c>
      <c r="K481" t="str">
        <f>VLOOKUP(transactions_table8[[#This Row],[customer_code]],customer_table!$A:$B,2,0)</f>
        <v>Info Stores</v>
      </c>
      <c r="L481" t="str">
        <f>VLOOKUP(transactions_table8[[#This Row],[customer_code]],customer_table!$A:$C,3,0)</f>
        <v>Brick &amp; Mortar</v>
      </c>
      <c r="M481">
        <f>IF(TRIM(CLEAN(transactions_table8[[#This Row],[currency]]))="USD",transactions_table8[[#This Row],[sales_amount]]*83,transactions_table8[[#This Row],[sales_amount]])</f>
        <v>1194</v>
      </c>
    </row>
    <row r="482" spans="1:13" x14ac:dyDescent="0.3">
      <c r="A482" t="s">
        <v>185</v>
      </c>
      <c r="B482" t="s">
        <v>16</v>
      </c>
      <c r="C482" t="s">
        <v>144</v>
      </c>
      <c r="D482" s="1">
        <v>43164</v>
      </c>
      <c r="E482">
        <v>8</v>
      </c>
      <c r="F482">
        <v>13736</v>
      </c>
      <c r="G482" t="s">
        <v>462</v>
      </c>
      <c r="H482" t="str">
        <f>VLOOKUP(A482, product_table!$A:$C, 3, 0)</f>
        <v>Own Brand</v>
      </c>
      <c r="I482" t="str">
        <f>VLOOKUP(transactions_table8[[#This Row],[market_code]],markets_table!$A:$B,2,0)</f>
        <v>Delhi NCR</v>
      </c>
      <c r="J482" t="str">
        <f>VLOOKUP(transactions_table8[[#This Row],[market_code]],markets_table!$A:$C,3,0)</f>
        <v>North</v>
      </c>
      <c r="K482" t="str">
        <f>VLOOKUP(transactions_table8[[#This Row],[customer_code]],customer_table!$A:$B,2,0)</f>
        <v>Info Stores</v>
      </c>
      <c r="L482" t="str">
        <f>VLOOKUP(transactions_table8[[#This Row],[customer_code]],customer_table!$A:$C,3,0)</f>
        <v>Brick &amp; Mortar</v>
      </c>
      <c r="M482">
        <f>IF(TRIM(CLEAN(transactions_table8[[#This Row],[currency]]))="USD",transactions_table8[[#This Row],[sales_amount]]*83,transactions_table8[[#This Row],[sales_amount]])</f>
        <v>13736</v>
      </c>
    </row>
    <row r="483" spans="1:13" x14ac:dyDescent="0.3">
      <c r="A483" t="s">
        <v>185</v>
      </c>
      <c r="B483" t="s">
        <v>16</v>
      </c>
      <c r="C483" t="s">
        <v>144</v>
      </c>
      <c r="D483" s="1">
        <v>43171</v>
      </c>
      <c r="E483">
        <v>1</v>
      </c>
      <c r="F483">
        <v>1194</v>
      </c>
      <c r="G483" t="s">
        <v>462</v>
      </c>
      <c r="H483" t="str">
        <f>VLOOKUP(A483, product_table!$A:$C, 3, 0)</f>
        <v>Own Brand</v>
      </c>
      <c r="I483" t="str">
        <f>VLOOKUP(transactions_table8[[#This Row],[market_code]],markets_table!$A:$B,2,0)</f>
        <v>Delhi NCR</v>
      </c>
      <c r="J483" t="str">
        <f>VLOOKUP(transactions_table8[[#This Row],[market_code]],markets_table!$A:$C,3,0)</f>
        <v>North</v>
      </c>
      <c r="K483" t="str">
        <f>VLOOKUP(transactions_table8[[#This Row],[customer_code]],customer_table!$A:$B,2,0)</f>
        <v>Info Stores</v>
      </c>
      <c r="L483" t="str">
        <f>VLOOKUP(transactions_table8[[#This Row],[customer_code]],customer_table!$A:$C,3,0)</f>
        <v>Brick &amp; Mortar</v>
      </c>
      <c r="M483">
        <f>IF(TRIM(CLEAN(transactions_table8[[#This Row],[currency]]))="USD",transactions_table8[[#This Row],[sales_amount]]*83,transactions_table8[[#This Row],[sales_amount]])</f>
        <v>1194</v>
      </c>
    </row>
    <row r="484" spans="1:13" x14ac:dyDescent="0.3">
      <c r="A484" t="s">
        <v>185</v>
      </c>
      <c r="B484" t="s">
        <v>16</v>
      </c>
      <c r="C484" t="s">
        <v>144</v>
      </c>
      <c r="D484" s="1">
        <v>43193</v>
      </c>
      <c r="E484">
        <v>1</v>
      </c>
      <c r="F484">
        <v>597</v>
      </c>
      <c r="G484" t="s">
        <v>462</v>
      </c>
      <c r="H484" t="str">
        <f>VLOOKUP(A484, product_table!$A:$C, 3, 0)</f>
        <v>Own Brand</v>
      </c>
      <c r="I484" t="str">
        <f>VLOOKUP(transactions_table8[[#This Row],[market_code]],markets_table!$A:$B,2,0)</f>
        <v>Delhi NCR</v>
      </c>
      <c r="J484" t="str">
        <f>VLOOKUP(transactions_table8[[#This Row],[market_code]],markets_table!$A:$C,3,0)</f>
        <v>North</v>
      </c>
      <c r="K484" t="str">
        <f>VLOOKUP(transactions_table8[[#This Row],[customer_code]],customer_table!$A:$B,2,0)</f>
        <v>Info Stores</v>
      </c>
      <c r="L484" t="str">
        <f>VLOOKUP(transactions_table8[[#This Row],[customer_code]],customer_table!$A:$C,3,0)</f>
        <v>Brick &amp; Mortar</v>
      </c>
      <c r="M484">
        <f>IF(TRIM(CLEAN(transactions_table8[[#This Row],[currency]]))="USD",transactions_table8[[#This Row],[sales_amount]]*83,transactions_table8[[#This Row],[sales_amount]])</f>
        <v>597</v>
      </c>
    </row>
    <row r="485" spans="1:13" x14ac:dyDescent="0.3">
      <c r="A485" t="s">
        <v>185</v>
      </c>
      <c r="B485" t="s">
        <v>16</v>
      </c>
      <c r="C485" t="s">
        <v>144</v>
      </c>
      <c r="D485" s="1">
        <v>43199</v>
      </c>
      <c r="E485">
        <v>1</v>
      </c>
      <c r="F485">
        <v>597</v>
      </c>
      <c r="G485" t="s">
        <v>462</v>
      </c>
      <c r="H485" t="str">
        <f>VLOOKUP(A485, product_table!$A:$C, 3, 0)</f>
        <v>Own Brand</v>
      </c>
      <c r="I485" t="str">
        <f>VLOOKUP(transactions_table8[[#This Row],[market_code]],markets_table!$A:$B,2,0)</f>
        <v>Delhi NCR</v>
      </c>
      <c r="J485" t="str">
        <f>VLOOKUP(transactions_table8[[#This Row],[market_code]],markets_table!$A:$C,3,0)</f>
        <v>North</v>
      </c>
      <c r="K485" t="str">
        <f>VLOOKUP(transactions_table8[[#This Row],[customer_code]],customer_table!$A:$B,2,0)</f>
        <v>Info Stores</v>
      </c>
      <c r="L485" t="str">
        <f>VLOOKUP(transactions_table8[[#This Row],[customer_code]],customer_table!$A:$C,3,0)</f>
        <v>Brick &amp; Mortar</v>
      </c>
      <c r="M485">
        <f>IF(TRIM(CLEAN(transactions_table8[[#This Row],[currency]]))="USD",transactions_table8[[#This Row],[sales_amount]]*83,transactions_table8[[#This Row],[sales_amount]])</f>
        <v>597</v>
      </c>
    </row>
    <row r="486" spans="1:13" x14ac:dyDescent="0.3">
      <c r="A486" t="s">
        <v>185</v>
      </c>
      <c r="B486" t="s">
        <v>16</v>
      </c>
      <c r="C486" t="s">
        <v>144</v>
      </c>
      <c r="D486" s="1">
        <v>43203</v>
      </c>
      <c r="E486">
        <v>1</v>
      </c>
      <c r="F486">
        <v>597</v>
      </c>
      <c r="G486" t="s">
        <v>462</v>
      </c>
      <c r="H486" t="str">
        <f>VLOOKUP(A486, product_table!$A:$C, 3, 0)</f>
        <v>Own Brand</v>
      </c>
      <c r="I486" t="str">
        <f>VLOOKUP(transactions_table8[[#This Row],[market_code]],markets_table!$A:$B,2,0)</f>
        <v>Delhi NCR</v>
      </c>
      <c r="J486" t="str">
        <f>VLOOKUP(transactions_table8[[#This Row],[market_code]],markets_table!$A:$C,3,0)</f>
        <v>North</v>
      </c>
      <c r="K486" t="str">
        <f>VLOOKUP(transactions_table8[[#This Row],[customer_code]],customer_table!$A:$B,2,0)</f>
        <v>Info Stores</v>
      </c>
      <c r="L486" t="str">
        <f>VLOOKUP(transactions_table8[[#This Row],[customer_code]],customer_table!$A:$C,3,0)</f>
        <v>Brick &amp; Mortar</v>
      </c>
      <c r="M486">
        <f>IF(TRIM(CLEAN(transactions_table8[[#This Row],[currency]]))="USD",transactions_table8[[#This Row],[sales_amount]]*83,transactions_table8[[#This Row],[sales_amount]])</f>
        <v>597</v>
      </c>
    </row>
    <row r="487" spans="1:13" x14ac:dyDescent="0.3">
      <c r="A487" t="s">
        <v>185</v>
      </c>
      <c r="B487" t="s">
        <v>36</v>
      </c>
      <c r="C487" t="s">
        <v>150</v>
      </c>
      <c r="D487" s="1">
        <v>43214</v>
      </c>
      <c r="E487">
        <v>17</v>
      </c>
      <c r="F487">
        <v>17472</v>
      </c>
      <c r="G487" t="s">
        <v>462</v>
      </c>
      <c r="H487" t="str">
        <f>VLOOKUP(A487, product_table!$A:$C, 3, 0)</f>
        <v>Own Brand</v>
      </c>
      <c r="I487" t="str">
        <f>VLOOKUP(transactions_table8[[#This Row],[market_code]],markets_table!$A:$B,2,0)</f>
        <v>Bhopal</v>
      </c>
      <c r="J487" t="str">
        <f>VLOOKUP(transactions_table8[[#This Row],[market_code]],markets_table!$A:$C,3,0)</f>
        <v>Central</v>
      </c>
      <c r="K487" t="str">
        <f>VLOOKUP(transactions_table8[[#This Row],[customer_code]],customer_table!$A:$B,2,0)</f>
        <v>Epic Stores</v>
      </c>
      <c r="L487" t="str">
        <f>VLOOKUP(transactions_table8[[#This Row],[customer_code]],customer_table!$A:$C,3,0)</f>
        <v>Brick &amp; Mortar</v>
      </c>
      <c r="M487">
        <f>IF(TRIM(CLEAN(transactions_table8[[#This Row],[currency]]))="USD",transactions_table8[[#This Row],[sales_amount]]*83,transactions_table8[[#This Row],[sales_amount]])</f>
        <v>17472</v>
      </c>
    </row>
    <row r="488" spans="1:13" x14ac:dyDescent="0.3">
      <c r="A488" t="s">
        <v>185</v>
      </c>
      <c r="B488" t="s">
        <v>16</v>
      </c>
      <c r="C488" t="s">
        <v>144</v>
      </c>
      <c r="D488" s="1">
        <v>43216</v>
      </c>
      <c r="E488">
        <v>2</v>
      </c>
      <c r="F488">
        <v>2986</v>
      </c>
      <c r="G488" t="s">
        <v>462</v>
      </c>
      <c r="H488" t="str">
        <f>VLOOKUP(A488, product_table!$A:$C, 3, 0)</f>
        <v>Own Brand</v>
      </c>
      <c r="I488" t="str">
        <f>VLOOKUP(transactions_table8[[#This Row],[market_code]],markets_table!$A:$B,2,0)</f>
        <v>Delhi NCR</v>
      </c>
      <c r="J488" t="str">
        <f>VLOOKUP(transactions_table8[[#This Row],[market_code]],markets_table!$A:$C,3,0)</f>
        <v>North</v>
      </c>
      <c r="K488" t="str">
        <f>VLOOKUP(transactions_table8[[#This Row],[customer_code]],customer_table!$A:$B,2,0)</f>
        <v>Info Stores</v>
      </c>
      <c r="L488" t="str">
        <f>VLOOKUP(transactions_table8[[#This Row],[customer_code]],customer_table!$A:$C,3,0)</f>
        <v>Brick &amp; Mortar</v>
      </c>
      <c r="M488">
        <f>IF(TRIM(CLEAN(transactions_table8[[#This Row],[currency]]))="USD",transactions_table8[[#This Row],[sales_amount]]*83,transactions_table8[[#This Row],[sales_amount]])</f>
        <v>2986</v>
      </c>
    </row>
    <row r="489" spans="1:13" x14ac:dyDescent="0.3">
      <c r="A489" t="s">
        <v>185</v>
      </c>
      <c r="B489" t="s">
        <v>16</v>
      </c>
      <c r="C489" t="s">
        <v>144</v>
      </c>
      <c r="D489" s="1">
        <v>43217</v>
      </c>
      <c r="E489">
        <v>2</v>
      </c>
      <c r="F489">
        <v>2986</v>
      </c>
      <c r="G489" t="s">
        <v>462</v>
      </c>
      <c r="H489" t="str">
        <f>VLOOKUP(A489, product_table!$A:$C, 3, 0)</f>
        <v>Own Brand</v>
      </c>
      <c r="I489" t="str">
        <f>VLOOKUP(transactions_table8[[#This Row],[market_code]],markets_table!$A:$B,2,0)</f>
        <v>Delhi NCR</v>
      </c>
      <c r="J489" t="str">
        <f>VLOOKUP(transactions_table8[[#This Row],[market_code]],markets_table!$A:$C,3,0)</f>
        <v>North</v>
      </c>
      <c r="K489" t="str">
        <f>VLOOKUP(transactions_table8[[#This Row],[customer_code]],customer_table!$A:$B,2,0)</f>
        <v>Info Stores</v>
      </c>
      <c r="L489" t="str">
        <f>VLOOKUP(transactions_table8[[#This Row],[customer_code]],customer_table!$A:$C,3,0)</f>
        <v>Brick &amp; Mortar</v>
      </c>
      <c r="M489">
        <f>IF(TRIM(CLEAN(transactions_table8[[#This Row],[currency]]))="USD",transactions_table8[[#This Row],[sales_amount]]*83,transactions_table8[[#This Row],[sales_amount]])</f>
        <v>2986</v>
      </c>
    </row>
    <row r="490" spans="1:13" x14ac:dyDescent="0.3">
      <c r="A490" t="s">
        <v>185</v>
      </c>
      <c r="B490" t="s">
        <v>16</v>
      </c>
      <c r="C490" t="s">
        <v>144</v>
      </c>
      <c r="D490" s="1">
        <v>43227</v>
      </c>
      <c r="E490">
        <v>1</v>
      </c>
      <c r="F490">
        <v>597</v>
      </c>
      <c r="G490" t="s">
        <v>462</v>
      </c>
      <c r="H490" t="str">
        <f>VLOOKUP(A490, product_table!$A:$C, 3, 0)</f>
        <v>Own Brand</v>
      </c>
      <c r="I490" t="str">
        <f>VLOOKUP(transactions_table8[[#This Row],[market_code]],markets_table!$A:$B,2,0)</f>
        <v>Delhi NCR</v>
      </c>
      <c r="J490" t="str">
        <f>VLOOKUP(transactions_table8[[#This Row],[market_code]],markets_table!$A:$C,3,0)</f>
        <v>North</v>
      </c>
      <c r="K490" t="str">
        <f>VLOOKUP(transactions_table8[[#This Row],[customer_code]],customer_table!$A:$B,2,0)</f>
        <v>Info Stores</v>
      </c>
      <c r="L490" t="str">
        <f>VLOOKUP(transactions_table8[[#This Row],[customer_code]],customer_table!$A:$C,3,0)</f>
        <v>Brick &amp; Mortar</v>
      </c>
      <c r="M490">
        <f>IF(TRIM(CLEAN(transactions_table8[[#This Row],[currency]]))="USD",transactions_table8[[#This Row],[sales_amount]]*83,transactions_table8[[#This Row],[sales_amount]])</f>
        <v>597</v>
      </c>
    </row>
    <row r="491" spans="1:13" x14ac:dyDescent="0.3">
      <c r="A491" t="s">
        <v>185</v>
      </c>
      <c r="B491" t="s">
        <v>16</v>
      </c>
      <c r="C491" t="s">
        <v>144</v>
      </c>
      <c r="D491" s="1">
        <v>43234</v>
      </c>
      <c r="E491">
        <v>1</v>
      </c>
      <c r="F491">
        <v>1194</v>
      </c>
      <c r="G491" t="s">
        <v>462</v>
      </c>
      <c r="H491" t="str">
        <f>VLOOKUP(A491, product_table!$A:$C, 3, 0)</f>
        <v>Own Brand</v>
      </c>
      <c r="I491" t="str">
        <f>VLOOKUP(transactions_table8[[#This Row],[market_code]],markets_table!$A:$B,2,0)</f>
        <v>Delhi NCR</v>
      </c>
      <c r="J491" t="str">
        <f>VLOOKUP(transactions_table8[[#This Row],[market_code]],markets_table!$A:$C,3,0)</f>
        <v>North</v>
      </c>
      <c r="K491" t="str">
        <f>VLOOKUP(transactions_table8[[#This Row],[customer_code]],customer_table!$A:$B,2,0)</f>
        <v>Info Stores</v>
      </c>
      <c r="L491" t="str">
        <f>VLOOKUP(transactions_table8[[#This Row],[customer_code]],customer_table!$A:$C,3,0)</f>
        <v>Brick &amp; Mortar</v>
      </c>
      <c r="M491">
        <f>IF(TRIM(CLEAN(transactions_table8[[#This Row],[currency]]))="USD",transactions_table8[[#This Row],[sales_amount]]*83,transactions_table8[[#This Row],[sales_amount]])</f>
        <v>1194</v>
      </c>
    </row>
    <row r="492" spans="1:13" x14ac:dyDescent="0.3">
      <c r="A492" t="s">
        <v>185</v>
      </c>
      <c r="B492" t="s">
        <v>16</v>
      </c>
      <c r="C492" t="s">
        <v>144</v>
      </c>
      <c r="D492" s="1">
        <v>43238</v>
      </c>
      <c r="E492">
        <v>1</v>
      </c>
      <c r="F492">
        <v>796</v>
      </c>
      <c r="G492" t="s">
        <v>462</v>
      </c>
      <c r="H492" t="str">
        <f>VLOOKUP(A492, product_table!$A:$C, 3, 0)</f>
        <v>Own Brand</v>
      </c>
      <c r="I492" t="str">
        <f>VLOOKUP(transactions_table8[[#This Row],[market_code]],markets_table!$A:$B,2,0)</f>
        <v>Delhi NCR</v>
      </c>
      <c r="J492" t="str">
        <f>VLOOKUP(transactions_table8[[#This Row],[market_code]],markets_table!$A:$C,3,0)</f>
        <v>North</v>
      </c>
      <c r="K492" t="str">
        <f>VLOOKUP(transactions_table8[[#This Row],[customer_code]],customer_table!$A:$B,2,0)</f>
        <v>Info Stores</v>
      </c>
      <c r="L492" t="str">
        <f>VLOOKUP(transactions_table8[[#This Row],[customer_code]],customer_table!$A:$C,3,0)</f>
        <v>Brick &amp; Mortar</v>
      </c>
      <c r="M492">
        <f>IF(TRIM(CLEAN(transactions_table8[[#This Row],[currency]]))="USD",transactions_table8[[#This Row],[sales_amount]]*83,transactions_table8[[#This Row],[sales_amount]])</f>
        <v>796</v>
      </c>
    </row>
    <row r="493" spans="1:13" x14ac:dyDescent="0.3">
      <c r="A493" t="s">
        <v>185</v>
      </c>
      <c r="B493" t="s">
        <v>36</v>
      </c>
      <c r="C493" t="s">
        <v>150</v>
      </c>
      <c r="D493" s="1">
        <v>43251</v>
      </c>
      <c r="E493">
        <v>26</v>
      </c>
      <c r="F493">
        <v>26722</v>
      </c>
      <c r="G493" t="s">
        <v>462</v>
      </c>
      <c r="H493" t="str">
        <f>VLOOKUP(A493, product_table!$A:$C, 3, 0)</f>
        <v>Own Brand</v>
      </c>
      <c r="I493" t="str">
        <f>VLOOKUP(transactions_table8[[#This Row],[market_code]],markets_table!$A:$B,2,0)</f>
        <v>Bhopal</v>
      </c>
      <c r="J493" t="str">
        <f>VLOOKUP(transactions_table8[[#This Row],[market_code]],markets_table!$A:$C,3,0)</f>
        <v>Central</v>
      </c>
      <c r="K493" t="str">
        <f>VLOOKUP(transactions_table8[[#This Row],[customer_code]],customer_table!$A:$B,2,0)</f>
        <v>Epic Stores</v>
      </c>
      <c r="L493" t="str">
        <f>VLOOKUP(transactions_table8[[#This Row],[customer_code]],customer_table!$A:$C,3,0)</f>
        <v>Brick &amp; Mortar</v>
      </c>
      <c r="M493">
        <f>IF(TRIM(CLEAN(transactions_table8[[#This Row],[currency]]))="USD",transactions_table8[[#This Row],[sales_amount]]*83,transactions_table8[[#This Row],[sales_amount]])</f>
        <v>26722</v>
      </c>
    </row>
    <row r="494" spans="1:13" x14ac:dyDescent="0.3">
      <c r="A494" t="s">
        <v>185</v>
      </c>
      <c r="B494" t="s">
        <v>16</v>
      </c>
      <c r="C494" t="s">
        <v>144</v>
      </c>
      <c r="D494" s="1">
        <v>43262</v>
      </c>
      <c r="E494">
        <v>1</v>
      </c>
      <c r="F494">
        <v>796</v>
      </c>
      <c r="G494" t="s">
        <v>462</v>
      </c>
      <c r="H494" t="str">
        <f>VLOOKUP(A494, product_table!$A:$C, 3, 0)</f>
        <v>Own Brand</v>
      </c>
      <c r="I494" t="str">
        <f>VLOOKUP(transactions_table8[[#This Row],[market_code]],markets_table!$A:$B,2,0)</f>
        <v>Delhi NCR</v>
      </c>
      <c r="J494" t="str">
        <f>VLOOKUP(transactions_table8[[#This Row],[market_code]],markets_table!$A:$C,3,0)</f>
        <v>North</v>
      </c>
      <c r="K494" t="str">
        <f>VLOOKUP(transactions_table8[[#This Row],[customer_code]],customer_table!$A:$B,2,0)</f>
        <v>Info Stores</v>
      </c>
      <c r="L494" t="str">
        <f>VLOOKUP(transactions_table8[[#This Row],[customer_code]],customer_table!$A:$C,3,0)</f>
        <v>Brick &amp; Mortar</v>
      </c>
      <c r="M494">
        <f>IF(TRIM(CLEAN(transactions_table8[[#This Row],[currency]]))="USD",transactions_table8[[#This Row],[sales_amount]]*83,transactions_table8[[#This Row],[sales_amount]])</f>
        <v>796</v>
      </c>
    </row>
    <row r="495" spans="1:13" x14ac:dyDescent="0.3">
      <c r="A495" t="s">
        <v>185</v>
      </c>
      <c r="B495" t="s">
        <v>16</v>
      </c>
      <c r="C495" t="s">
        <v>144</v>
      </c>
      <c r="D495" s="1">
        <v>43264</v>
      </c>
      <c r="E495">
        <v>1</v>
      </c>
      <c r="F495">
        <v>796</v>
      </c>
      <c r="G495" t="s">
        <v>462</v>
      </c>
      <c r="H495" t="str">
        <f>VLOOKUP(A495, product_table!$A:$C, 3, 0)</f>
        <v>Own Brand</v>
      </c>
      <c r="I495" t="str">
        <f>VLOOKUP(transactions_table8[[#This Row],[market_code]],markets_table!$A:$B,2,0)</f>
        <v>Delhi NCR</v>
      </c>
      <c r="J495" t="str">
        <f>VLOOKUP(transactions_table8[[#This Row],[market_code]],markets_table!$A:$C,3,0)</f>
        <v>North</v>
      </c>
      <c r="K495" t="str">
        <f>VLOOKUP(transactions_table8[[#This Row],[customer_code]],customer_table!$A:$B,2,0)</f>
        <v>Info Stores</v>
      </c>
      <c r="L495" t="str">
        <f>VLOOKUP(transactions_table8[[#This Row],[customer_code]],customer_table!$A:$C,3,0)</f>
        <v>Brick &amp; Mortar</v>
      </c>
      <c r="M495">
        <f>IF(TRIM(CLEAN(transactions_table8[[#This Row],[currency]]))="USD",transactions_table8[[#This Row],[sales_amount]]*83,transactions_table8[[#This Row],[sales_amount]])</f>
        <v>796</v>
      </c>
    </row>
    <row r="496" spans="1:13" x14ac:dyDescent="0.3">
      <c r="A496" t="s">
        <v>185</v>
      </c>
      <c r="B496" t="s">
        <v>16</v>
      </c>
      <c r="C496" t="s">
        <v>144</v>
      </c>
      <c r="D496" s="1">
        <v>43265</v>
      </c>
      <c r="E496">
        <v>1</v>
      </c>
      <c r="F496">
        <v>3185</v>
      </c>
      <c r="G496" t="s">
        <v>462</v>
      </c>
      <c r="H496" t="str">
        <f>VLOOKUP(A496, product_table!$A:$C, 3, 0)</f>
        <v>Own Brand</v>
      </c>
      <c r="I496" t="str">
        <f>VLOOKUP(transactions_table8[[#This Row],[market_code]],markets_table!$A:$B,2,0)</f>
        <v>Delhi NCR</v>
      </c>
      <c r="J496" t="str">
        <f>VLOOKUP(transactions_table8[[#This Row],[market_code]],markets_table!$A:$C,3,0)</f>
        <v>North</v>
      </c>
      <c r="K496" t="str">
        <f>VLOOKUP(transactions_table8[[#This Row],[customer_code]],customer_table!$A:$B,2,0)</f>
        <v>Info Stores</v>
      </c>
      <c r="L496" t="str">
        <f>VLOOKUP(transactions_table8[[#This Row],[customer_code]],customer_table!$A:$C,3,0)</f>
        <v>Brick &amp; Mortar</v>
      </c>
      <c r="M496">
        <f>IF(TRIM(CLEAN(transactions_table8[[#This Row],[currency]]))="USD",transactions_table8[[#This Row],[sales_amount]]*83,transactions_table8[[#This Row],[sales_amount]])</f>
        <v>3185</v>
      </c>
    </row>
    <row r="497" spans="1:13" x14ac:dyDescent="0.3">
      <c r="A497" t="s">
        <v>185</v>
      </c>
      <c r="B497" t="s">
        <v>16</v>
      </c>
      <c r="C497" t="s">
        <v>144</v>
      </c>
      <c r="D497" s="1">
        <v>43269</v>
      </c>
      <c r="E497">
        <v>1</v>
      </c>
      <c r="F497">
        <v>796</v>
      </c>
      <c r="G497" t="s">
        <v>462</v>
      </c>
      <c r="H497" t="str">
        <f>VLOOKUP(A497, product_table!$A:$C, 3, 0)</f>
        <v>Own Brand</v>
      </c>
      <c r="I497" t="str">
        <f>VLOOKUP(transactions_table8[[#This Row],[market_code]],markets_table!$A:$B,2,0)</f>
        <v>Delhi NCR</v>
      </c>
      <c r="J497" t="str">
        <f>VLOOKUP(transactions_table8[[#This Row],[market_code]],markets_table!$A:$C,3,0)</f>
        <v>North</v>
      </c>
      <c r="K497" t="str">
        <f>VLOOKUP(transactions_table8[[#This Row],[customer_code]],customer_table!$A:$B,2,0)</f>
        <v>Info Stores</v>
      </c>
      <c r="L497" t="str">
        <f>VLOOKUP(transactions_table8[[#This Row],[customer_code]],customer_table!$A:$C,3,0)</f>
        <v>Brick &amp; Mortar</v>
      </c>
      <c r="M497">
        <f>IF(TRIM(CLEAN(transactions_table8[[#This Row],[currency]]))="USD",transactions_table8[[#This Row],[sales_amount]]*83,transactions_table8[[#This Row],[sales_amount]])</f>
        <v>796</v>
      </c>
    </row>
    <row r="498" spans="1:13" x14ac:dyDescent="0.3">
      <c r="A498" t="s">
        <v>185</v>
      </c>
      <c r="B498" t="s">
        <v>16</v>
      </c>
      <c r="C498" t="s">
        <v>144</v>
      </c>
      <c r="D498" s="1">
        <v>43273</v>
      </c>
      <c r="E498">
        <v>1</v>
      </c>
      <c r="F498">
        <v>2389</v>
      </c>
      <c r="G498" t="s">
        <v>462</v>
      </c>
      <c r="H498" t="str">
        <f>VLOOKUP(A498, product_table!$A:$C, 3, 0)</f>
        <v>Own Brand</v>
      </c>
      <c r="I498" t="str">
        <f>VLOOKUP(transactions_table8[[#This Row],[market_code]],markets_table!$A:$B,2,0)</f>
        <v>Delhi NCR</v>
      </c>
      <c r="J498" t="str">
        <f>VLOOKUP(transactions_table8[[#This Row],[market_code]],markets_table!$A:$C,3,0)</f>
        <v>North</v>
      </c>
      <c r="K498" t="str">
        <f>VLOOKUP(transactions_table8[[#This Row],[customer_code]],customer_table!$A:$B,2,0)</f>
        <v>Info Stores</v>
      </c>
      <c r="L498" t="str">
        <f>VLOOKUP(transactions_table8[[#This Row],[customer_code]],customer_table!$A:$C,3,0)</f>
        <v>Brick &amp; Mortar</v>
      </c>
      <c r="M498">
        <f>IF(TRIM(CLEAN(transactions_table8[[#This Row],[currency]]))="USD",transactions_table8[[#This Row],[sales_amount]]*83,transactions_table8[[#This Row],[sales_amount]])</f>
        <v>2389</v>
      </c>
    </row>
    <row r="499" spans="1:13" x14ac:dyDescent="0.3">
      <c r="A499" t="s">
        <v>185</v>
      </c>
      <c r="B499" t="s">
        <v>16</v>
      </c>
      <c r="C499" t="s">
        <v>144</v>
      </c>
      <c r="D499" s="1">
        <v>43280</v>
      </c>
      <c r="E499">
        <v>1</v>
      </c>
      <c r="F499">
        <v>3185</v>
      </c>
      <c r="G499" t="s">
        <v>462</v>
      </c>
      <c r="H499" t="str">
        <f>VLOOKUP(A499, product_table!$A:$C, 3, 0)</f>
        <v>Own Brand</v>
      </c>
      <c r="I499" t="str">
        <f>VLOOKUP(transactions_table8[[#This Row],[market_code]],markets_table!$A:$B,2,0)</f>
        <v>Delhi NCR</v>
      </c>
      <c r="J499" t="str">
        <f>VLOOKUP(transactions_table8[[#This Row],[market_code]],markets_table!$A:$C,3,0)</f>
        <v>North</v>
      </c>
      <c r="K499" t="str">
        <f>VLOOKUP(transactions_table8[[#This Row],[customer_code]],customer_table!$A:$B,2,0)</f>
        <v>Info Stores</v>
      </c>
      <c r="L499" t="str">
        <f>VLOOKUP(transactions_table8[[#This Row],[customer_code]],customer_table!$A:$C,3,0)</f>
        <v>Brick &amp; Mortar</v>
      </c>
      <c r="M499">
        <f>IF(TRIM(CLEAN(transactions_table8[[#This Row],[currency]]))="USD",transactions_table8[[#This Row],[sales_amount]]*83,transactions_table8[[#This Row],[sales_amount]])</f>
        <v>3185</v>
      </c>
    </row>
    <row r="500" spans="1:13" x14ac:dyDescent="0.3">
      <c r="A500" t="s">
        <v>185</v>
      </c>
      <c r="B500" t="s">
        <v>16</v>
      </c>
      <c r="C500" t="s">
        <v>144</v>
      </c>
      <c r="D500" s="1">
        <v>43290</v>
      </c>
      <c r="E500">
        <v>2</v>
      </c>
      <c r="F500">
        <v>5574</v>
      </c>
      <c r="G500" t="s">
        <v>462</v>
      </c>
      <c r="H500" t="str">
        <f>VLOOKUP(A500, product_table!$A:$C, 3, 0)</f>
        <v>Own Brand</v>
      </c>
      <c r="I500" t="str">
        <f>VLOOKUP(transactions_table8[[#This Row],[market_code]],markets_table!$A:$B,2,0)</f>
        <v>Delhi NCR</v>
      </c>
      <c r="J500" t="str">
        <f>VLOOKUP(transactions_table8[[#This Row],[market_code]],markets_table!$A:$C,3,0)</f>
        <v>North</v>
      </c>
      <c r="K500" t="str">
        <f>VLOOKUP(transactions_table8[[#This Row],[customer_code]],customer_table!$A:$B,2,0)</f>
        <v>Info Stores</v>
      </c>
      <c r="L500" t="str">
        <f>VLOOKUP(transactions_table8[[#This Row],[customer_code]],customer_table!$A:$C,3,0)</f>
        <v>Brick &amp; Mortar</v>
      </c>
      <c r="M500">
        <f>IF(TRIM(CLEAN(transactions_table8[[#This Row],[currency]]))="USD",transactions_table8[[#This Row],[sales_amount]]*83,transactions_table8[[#This Row],[sales_amount]])</f>
        <v>5574</v>
      </c>
    </row>
    <row r="501" spans="1:13" x14ac:dyDescent="0.3">
      <c r="A501" t="s">
        <v>185</v>
      </c>
      <c r="B501" t="s">
        <v>16</v>
      </c>
      <c r="C501" t="s">
        <v>144</v>
      </c>
      <c r="D501" s="1">
        <v>43294</v>
      </c>
      <c r="E501">
        <v>1</v>
      </c>
      <c r="F501">
        <v>796</v>
      </c>
      <c r="G501" t="s">
        <v>462</v>
      </c>
      <c r="H501" t="str">
        <f>VLOOKUP(A501, product_table!$A:$C, 3, 0)</f>
        <v>Own Brand</v>
      </c>
      <c r="I501" t="str">
        <f>VLOOKUP(transactions_table8[[#This Row],[market_code]],markets_table!$A:$B,2,0)</f>
        <v>Delhi NCR</v>
      </c>
      <c r="J501" t="str">
        <f>VLOOKUP(transactions_table8[[#This Row],[market_code]],markets_table!$A:$C,3,0)</f>
        <v>North</v>
      </c>
      <c r="K501" t="str">
        <f>VLOOKUP(transactions_table8[[#This Row],[customer_code]],customer_table!$A:$B,2,0)</f>
        <v>Info Stores</v>
      </c>
      <c r="L501" t="str">
        <f>VLOOKUP(transactions_table8[[#This Row],[customer_code]],customer_table!$A:$C,3,0)</f>
        <v>Brick &amp; Mortar</v>
      </c>
      <c r="M501">
        <f>IF(TRIM(CLEAN(transactions_table8[[#This Row],[currency]]))="USD",transactions_table8[[#This Row],[sales_amount]]*83,transactions_table8[[#This Row],[sales_amount]])</f>
        <v>796</v>
      </c>
    </row>
    <row r="502" spans="1:13" x14ac:dyDescent="0.3">
      <c r="A502" t="s">
        <v>185</v>
      </c>
      <c r="B502" t="s">
        <v>16</v>
      </c>
      <c r="C502" t="s">
        <v>144</v>
      </c>
      <c r="D502" s="1">
        <v>43301</v>
      </c>
      <c r="E502">
        <v>1</v>
      </c>
      <c r="F502">
        <v>796</v>
      </c>
      <c r="G502" t="s">
        <v>462</v>
      </c>
      <c r="H502" t="str">
        <f>VLOOKUP(A502, product_table!$A:$C, 3, 0)</f>
        <v>Own Brand</v>
      </c>
      <c r="I502" t="str">
        <f>VLOOKUP(transactions_table8[[#This Row],[market_code]],markets_table!$A:$B,2,0)</f>
        <v>Delhi NCR</v>
      </c>
      <c r="J502" t="str">
        <f>VLOOKUP(transactions_table8[[#This Row],[market_code]],markets_table!$A:$C,3,0)</f>
        <v>North</v>
      </c>
      <c r="K502" t="str">
        <f>VLOOKUP(transactions_table8[[#This Row],[customer_code]],customer_table!$A:$B,2,0)</f>
        <v>Info Stores</v>
      </c>
      <c r="L502" t="str">
        <f>VLOOKUP(transactions_table8[[#This Row],[customer_code]],customer_table!$A:$C,3,0)</f>
        <v>Brick &amp; Mortar</v>
      </c>
      <c r="M502">
        <f>IF(TRIM(CLEAN(transactions_table8[[#This Row],[currency]]))="USD",transactions_table8[[#This Row],[sales_amount]]*83,transactions_table8[[#This Row],[sales_amount]])</f>
        <v>796</v>
      </c>
    </row>
    <row r="503" spans="1:13" x14ac:dyDescent="0.3">
      <c r="A503" t="s">
        <v>185</v>
      </c>
      <c r="B503" t="s">
        <v>16</v>
      </c>
      <c r="C503" t="s">
        <v>144</v>
      </c>
      <c r="D503" s="1">
        <v>43308</v>
      </c>
      <c r="E503">
        <v>1</v>
      </c>
      <c r="F503">
        <v>796</v>
      </c>
      <c r="G503" t="s">
        <v>462</v>
      </c>
      <c r="H503" t="str">
        <f>VLOOKUP(A503, product_table!$A:$C, 3, 0)</f>
        <v>Own Brand</v>
      </c>
      <c r="I503" t="str">
        <f>VLOOKUP(transactions_table8[[#This Row],[market_code]],markets_table!$A:$B,2,0)</f>
        <v>Delhi NCR</v>
      </c>
      <c r="J503" t="str">
        <f>VLOOKUP(transactions_table8[[#This Row],[market_code]],markets_table!$A:$C,3,0)</f>
        <v>North</v>
      </c>
      <c r="K503" t="str">
        <f>VLOOKUP(transactions_table8[[#This Row],[customer_code]],customer_table!$A:$B,2,0)</f>
        <v>Info Stores</v>
      </c>
      <c r="L503" t="str">
        <f>VLOOKUP(transactions_table8[[#This Row],[customer_code]],customer_table!$A:$C,3,0)</f>
        <v>Brick &amp; Mortar</v>
      </c>
      <c r="M503">
        <f>IF(TRIM(CLEAN(transactions_table8[[#This Row],[currency]]))="USD",transactions_table8[[#This Row],[sales_amount]]*83,transactions_table8[[#This Row],[sales_amount]])</f>
        <v>796</v>
      </c>
    </row>
    <row r="504" spans="1:13" x14ac:dyDescent="0.3">
      <c r="A504" t="s">
        <v>185</v>
      </c>
      <c r="B504" t="s">
        <v>16</v>
      </c>
      <c r="C504" t="s">
        <v>144</v>
      </c>
      <c r="D504" s="1">
        <v>43315</v>
      </c>
      <c r="E504">
        <v>1</v>
      </c>
      <c r="F504">
        <v>1593</v>
      </c>
      <c r="G504" t="s">
        <v>462</v>
      </c>
      <c r="H504" t="str">
        <f>VLOOKUP(A504, product_table!$A:$C, 3, 0)</f>
        <v>Own Brand</v>
      </c>
      <c r="I504" t="str">
        <f>VLOOKUP(transactions_table8[[#This Row],[market_code]],markets_table!$A:$B,2,0)</f>
        <v>Delhi NCR</v>
      </c>
      <c r="J504" t="str">
        <f>VLOOKUP(transactions_table8[[#This Row],[market_code]],markets_table!$A:$C,3,0)</f>
        <v>North</v>
      </c>
      <c r="K504" t="str">
        <f>VLOOKUP(transactions_table8[[#This Row],[customer_code]],customer_table!$A:$B,2,0)</f>
        <v>Info Stores</v>
      </c>
      <c r="L504" t="str">
        <f>VLOOKUP(transactions_table8[[#This Row],[customer_code]],customer_table!$A:$C,3,0)</f>
        <v>Brick &amp; Mortar</v>
      </c>
      <c r="M504">
        <f>IF(TRIM(CLEAN(transactions_table8[[#This Row],[currency]]))="USD",transactions_table8[[#This Row],[sales_amount]]*83,transactions_table8[[#This Row],[sales_amount]])</f>
        <v>1593</v>
      </c>
    </row>
    <row r="505" spans="1:13" x14ac:dyDescent="0.3">
      <c r="A505" t="s">
        <v>185</v>
      </c>
      <c r="B505" t="s">
        <v>34</v>
      </c>
      <c r="C505" t="s">
        <v>138</v>
      </c>
      <c r="D505" s="1">
        <v>43385</v>
      </c>
      <c r="E505">
        <v>1</v>
      </c>
      <c r="F505">
        <v>514</v>
      </c>
      <c r="G505" t="s">
        <v>462</v>
      </c>
      <c r="H505" t="str">
        <f>VLOOKUP(A505, product_table!$A:$C, 3, 0)</f>
        <v>Own Brand</v>
      </c>
      <c r="I505" t="str">
        <f>VLOOKUP(transactions_table8[[#This Row],[market_code]],markets_table!$A:$B,2,0)</f>
        <v>Mumbai</v>
      </c>
      <c r="J505" t="str">
        <f>VLOOKUP(transactions_table8[[#This Row],[market_code]],markets_table!$A:$C,3,0)</f>
        <v>Central</v>
      </c>
      <c r="K505" t="str">
        <f>VLOOKUP(transactions_table8[[#This Row],[customer_code]],customer_table!$A:$B,2,0)</f>
        <v>Logic Stores</v>
      </c>
      <c r="L505" t="str">
        <f>VLOOKUP(transactions_table8[[#This Row],[customer_code]],customer_table!$A:$C,3,0)</f>
        <v>Brick &amp; Mortar</v>
      </c>
      <c r="M505">
        <f>IF(TRIM(CLEAN(transactions_table8[[#This Row],[currency]]))="USD",transactions_table8[[#This Row],[sales_amount]]*83,transactions_table8[[#This Row],[sales_amount]])</f>
        <v>514</v>
      </c>
    </row>
    <row r="506" spans="1:13" x14ac:dyDescent="0.3">
      <c r="A506" t="s">
        <v>185</v>
      </c>
      <c r="B506" t="s">
        <v>16</v>
      </c>
      <c r="C506" t="s">
        <v>144</v>
      </c>
      <c r="D506" s="1">
        <v>43390</v>
      </c>
      <c r="E506">
        <v>1</v>
      </c>
      <c r="F506">
        <v>4759</v>
      </c>
      <c r="G506" t="s">
        <v>462</v>
      </c>
      <c r="H506" t="str">
        <f>VLOOKUP(A506, product_table!$A:$C, 3, 0)</f>
        <v>Own Brand</v>
      </c>
      <c r="I506" t="str">
        <f>VLOOKUP(transactions_table8[[#This Row],[market_code]],markets_table!$A:$B,2,0)</f>
        <v>Delhi NCR</v>
      </c>
      <c r="J506" t="str">
        <f>VLOOKUP(transactions_table8[[#This Row],[market_code]],markets_table!$A:$C,3,0)</f>
        <v>North</v>
      </c>
      <c r="K506" t="str">
        <f>VLOOKUP(transactions_table8[[#This Row],[customer_code]],customer_table!$A:$B,2,0)</f>
        <v>Info Stores</v>
      </c>
      <c r="L506" t="str">
        <f>VLOOKUP(transactions_table8[[#This Row],[customer_code]],customer_table!$A:$C,3,0)</f>
        <v>Brick &amp; Mortar</v>
      </c>
      <c r="M506">
        <f>IF(TRIM(CLEAN(transactions_table8[[#This Row],[currency]]))="USD",transactions_table8[[#This Row],[sales_amount]]*83,transactions_table8[[#This Row],[sales_amount]])</f>
        <v>4759</v>
      </c>
    </row>
    <row r="507" spans="1:13" x14ac:dyDescent="0.3">
      <c r="A507" t="s">
        <v>185</v>
      </c>
      <c r="B507" t="s">
        <v>16</v>
      </c>
      <c r="C507" t="s">
        <v>144</v>
      </c>
      <c r="D507" s="1">
        <v>43398</v>
      </c>
      <c r="E507">
        <v>1</v>
      </c>
      <c r="F507">
        <v>1190</v>
      </c>
      <c r="G507" t="s">
        <v>462</v>
      </c>
      <c r="H507" t="str">
        <f>VLOOKUP(A507, product_table!$A:$C, 3, 0)</f>
        <v>Own Brand</v>
      </c>
      <c r="I507" t="str">
        <f>VLOOKUP(transactions_table8[[#This Row],[market_code]],markets_table!$A:$B,2,0)</f>
        <v>Delhi NCR</v>
      </c>
      <c r="J507" t="str">
        <f>VLOOKUP(transactions_table8[[#This Row],[market_code]],markets_table!$A:$C,3,0)</f>
        <v>North</v>
      </c>
      <c r="K507" t="str">
        <f>VLOOKUP(transactions_table8[[#This Row],[customer_code]],customer_table!$A:$B,2,0)</f>
        <v>Info Stores</v>
      </c>
      <c r="L507" t="str">
        <f>VLOOKUP(transactions_table8[[#This Row],[customer_code]],customer_table!$A:$C,3,0)</f>
        <v>Brick &amp; Mortar</v>
      </c>
      <c r="M507">
        <f>IF(TRIM(CLEAN(transactions_table8[[#This Row],[currency]]))="USD",transactions_table8[[#This Row],[sales_amount]]*83,transactions_table8[[#This Row],[sales_amount]])</f>
        <v>1190</v>
      </c>
    </row>
    <row r="508" spans="1:13" x14ac:dyDescent="0.3">
      <c r="A508" t="s">
        <v>185</v>
      </c>
      <c r="B508" t="s">
        <v>16</v>
      </c>
      <c r="C508" t="s">
        <v>144</v>
      </c>
      <c r="D508" s="1">
        <v>43399</v>
      </c>
      <c r="E508">
        <v>1</v>
      </c>
      <c r="F508">
        <v>1190</v>
      </c>
      <c r="G508" t="s">
        <v>462</v>
      </c>
      <c r="H508" t="str">
        <f>VLOOKUP(A508, product_table!$A:$C, 3, 0)</f>
        <v>Own Brand</v>
      </c>
      <c r="I508" t="str">
        <f>VLOOKUP(transactions_table8[[#This Row],[market_code]],markets_table!$A:$B,2,0)</f>
        <v>Delhi NCR</v>
      </c>
      <c r="J508" t="str">
        <f>VLOOKUP(transactions_table8[[#This Row],[market_code]],markets_table!$A:$C,3,0)</f>
        <v>North</v>
      </c>
      <c r="K508" t="str">
        <f>VLOOKUP(transactions_table8[[#This Row],[customer_code]],customer_table!$A:$B,2,0)</f>
        <v>Info Stores</v>
      </c>
      <c r="L508" t="str">
        <f>VLOOKUP(transactions_table8[[#This Row],[customer_code]],customer_table!$A:$C,3,0)</f>
        <v>Brick &amp; Mortar</v>
      </c>
      <c r="M508">
        <f>IF(TRIM(CLEAN(transactions_table8[[#This Row],[currency]]))="USD",transactions_table8[[#This Row],[sales_amount]]*83,transactions_table8[[#This Row],[sales_amount]])</f>
        <v>1190</v>
      </c>
    </row>
    <row r="509" spans="1:13" x14ac:dyDescent="0.3">
      <c r="A509" t="s">
        <v>185</v>
      </c>
      <c r="B509" t="s">
        <v>34</v>
      </c>
      <c r="C509" t="s">
        <v>138</v>
      </c>
      <c r="D509" s="1">
        <v>43404</v>
      </c>
      <c r="E509">
        <v>3</v>
      </c>
      <c r="F509">
        <v>4106</v>
      </c>
      <c r="G509" t="s">
        <v>462</v>
      </c>
      <c r="H509" t="str">
        <f>VLOOKUP(A509, product_table!$A:$C, 3, 0)</f>
        <v>Own Brand</v>
      </c>
      <c r="I509" t="str">
        <f>VLOOKUP(transactions_table8[[#This Row],[market_code]],markets_table!$A:$B,2,0)</f>
        <v>Mumbai</v>
      </c>
      <c r="J509" t="str">
        <f>VLOOKUP(transactions_table8[[#This Row],[market_code]],markets_table!$A:$C,3,0)</f>
        <v>Central</v>
      </c>
      <c r="K509" t="str">
        <f>VLOOKUP(transactions_table8[[#This Row],[customer_code]],customer_table!$A:$B,2,0)</f>
        <v>Logic Stores</v>
      </c>
      <c r="L509" t="str">
        <f>VLOOKUP(transactions_table8[[#This Row],[customer_code]],customer_table!$A:$C,3,0)</f>
        <v>Brick &amp; Mortar</v>
      </c>
      <c r="M509">
        <f>IF(TRIM(CLEAN(transactions_table8[[#This Row],[currency]]))="USD",transactions_table8[[#This Row],[sales_amount]]*83,transactions_table8[[#This Row],[sales_amount]])</f>
        <v>4106</v>
      </c>
    </row>
    <row r="510" spans="1:13" x14ac:dyDescent="0.3">
      <c r="A510" t="s">
        <v>185</v>
      </c>
      <c r="B510" t="s">
        <v>16</v>
      </c>
      <c r="C510" t="s">
        <v>144</v>
      </c>
      <c r="D510" s="1">
        <v>43409</v>
      </c>
      <c r="E510">
        <v>2</v>
      </c>
      <c r="F510">
        <v>5949</v>
      </c>
      <c r="G510" t="s">
        <v>462</v>
      </c>
      <c r="H510" t="str">
        <f>VLOOKUP(A510, product_table!$A:$C, 3, 0)</f>
        <v>Own Brand</v>
      </c>
      <c r="I510" t="str">
        <f>VLOOKUP(transactions_table8[[#This Row],[market_code]],markets_table!$A:$B,2,0)</f>
        <v>Delhi NCR</v>
      </c>
      <c r="J510" t="str">
        <f>VLOOKUP(transactions_table8[[#This Row],[market_code]],markets_table!$A:$C,3,0)</f>
        <v>North</v>
      </c>
      <c r="K510" t="str">
        <f>VLOOKUP(transactions_table8[[#This Row],[customer_code]],customer_table!$A:$B,2,0)</f>
        <v>Info Stores</v>
      </c>
      <c r="L510" t="str">
        <f>VLOOKUP(transactions_table8[[#This Row],[customer_code]],customer_table!$A:$C,3,0)</f>
        <v>Brick &amp; Mortar</v>
      </c>
      <c r="M510">
        <f>IF(TRIM(CLEAN(transactions_table8[[#This Row],[currency]]))="USD",transactions_table8[[#This Row],[sales_amount]]*83,transactions_table8[[#This Row],[sales_amount]])</f>
        <v>5949</v>
      </c>
    </row>
    <row r="511" spans="1:13" x14ac:dyDescent="0.3">
      <c r="A511" t="s">
        <v>185</v>
      </c>
      <c r="B511" t="s">
        <v>16</v>
      </c>
      <c r="C511" t="s">
        <v>144</v>
      </c>
      <c r="D511" s="1">
        <v>43410</v>
      </c>
      <c r="E511">
        <v>2</v>
      </c>
      <c r="F511">
        <v>5949</v>
      </c>
      <c r="G511" t="s">
        <v>462</v>
      </c>
      <c r="H511" t="str">
        <f>VLOOKUP(A511, product_table!$A:$C, 3, 0)</f>
        <v>Own Brand</v>
      </c>
      <c r="I511" t="str">
        <f>VLOOKUP(transactions_table8[[#This Row],[market_code]],markets_table!$A:$B,2,0)</f>
        <v>Delhi NCR</v>
      </c>
      <c r="J511" t="str">
        <f>VLOOKUP(transactions_table8[[#This Row],[market_code]],markets_table!$A:$C,3,0)</f>
        <v>North</v>
      </c>
      <c r="K511" t="str">
        <f>VLOOKUP(transactions_table8[[#This Row],[customer_code]],customer_table!$A:$B,2,0)</f>
        <v>Info Stores</v>
      </c>
      <c r="L511" t="str">
        <f>VLOOKUP(transactions_table8[[#This Row],[customer_code]],customer_table!$A:$C,3,0)</f>
        <v>Brick &amp; Mortar</v>
      </c>
      <c r="M511">
        <f>IF(TRIM(CLEAN(transactions_table8[[#This Row],[currency]]))="USD",transactions_table8[[#This Row],[sales_amount]]*83,transactions_table8[[#This Row],[sales_amount]])</f>
        <v>5949</v>
      </c>
    </row>
    <row r="512" spans="1:13" x14ac:dyDescent="0.3">
      <c r="A512" t="s">
        <v>185</v>
      </c>
      <c r="B512" t="s">
        <v>34</v>
      </c>
      <c r="C512" t="s">
        <v>138</v>
      </c>
      <c r="D512" s="1">
        <v>43441</v>
      </c>
      <c r="E512">
        <v>1</v>
      </c>
      <c r="F512">
        <v>514</v>
      </c>
      <c r="G512" t="s">
        <v>462</v>
      </c>
      <c r="H512" t="str">
        <f>VLOOKUP(A512, product_table!$A:$C, 3, 0)</f>
        <v>Own Brand</v>
      </c>
      <c r="I512" t="str">
        <f>VLOOKUP(transactions_table8[[#This Row],[market_code]],markets_table!$A:$B,2,0)</f>
        <v>Mumbai</v>
      </c>
      <c r="J512" t="str">
        <f>VLOOKUP(transactions_table8[[#This Row],[market_code]],markets_table!$A:$C,3,0)</f>
        <v>Central</v>
      </c>
      <c r="K512" t="str">
        <f>VLOOKUP(transactions_table8[[#This Row],[customer_code]],customer_table!$A:$B,2,0)</f>
        <v>Logic Stores</v>
      </c>
      <c r="L512" t="str">
        <f>VLOOKUP(transactions_table8[[#This Row],[customer_code]],customer_table!$A:$C,3,0)</f>
        <v>Brick &amp; Mortar</v>
      </c>
      <c r="M512">
        <f>IF(TRIM(CLEAN(transactions_table8[[#This Row],[currency]]))="USD",transactions_table8[[#This Row],[sales_amount]]*83,transactions_table8[[#This Row],[sales_amount]])</f>
        <v>514</v>
      </c>
    </row>
    <row r="513" spans="1:13" x14ac:dyDescent="0.3">
      <c r="A513" t="s">
        <v>185</v>
      </c>
      <c r="B513" t="s">
        <v>34</v>
      </c>
      <c r="C513" t="s">
        <v>138</v>
      </c>
      <c r="D513" s="1">
        <v>43448</v>
      </c>
      <c r="E513">
        <v>1</v>
      </c>
      <c r="F513">
        <v>514</v>
      </c>
      <c r="G513" t="s">
        <v>462</v>
      </c>
      <c r="H513" t="str">
        <f>VLOOKUP(A513, product_table!$A:$C, 3, 0)</f>
        <v>Own Brand</v>
      </c>
      <c r="I513" t="str">
        <f>VLOOKUP(transactions_table8[[#This Row],[market_code]],markets_table!$A:$B,2,0)</f>
        <v>Mumbai</v>
      </c>
      <c r="J513" t="str">
        <f>VLOOKUP(transactions_table8[[#This Row],[market_code]],markets_table!$A:$C,3,0)</f>
        <v>Central</v>
      </c>
      <c r="K513" t="str">
        <f>VLOOKUP(transactions_table8[[#This Row],[customer_code]],customer_table!$A:$B,2,0)</f>
        <v>Logic Stores</v>
      </c>
      <c r="L513" t="str">
        <f>VLOOKUP(transactions_table8[[#This Row],[customer_code]],customer_table!$A:$C,3,0)</f>
        <v>Brick &amp; Mortar</v>
      </c>
      <c r="M513">
        <f>IF(TRIM(CLEAN(transactions_table8[[#This Row],[currency]]))="USD",transactions_table8[[#This Row],[sales_amount]]*83,transactions_table8[[#This Row],[sales_amount]])</f>
        <v>514</v>
      </c>
    </row>
    <row r="514" spans="1:13" x14ac:dyDescent="0.3">
      <c r="A514" t="s">
        <v>185</v>
      </c>
      <c r="B514" t="s">
        <v>34</v>
      </c>
      <c r="C514" t="s">
        <v>138</v>
      </c>
      <c r="D514" s="1">
        <v>43455</v>
      </c>
      <c r="E514">
        <v>1</v>
      </c>
      <c r="F514">
        <v>514</v>
      </c>
      <c r="G514" t="s">
        <v>462</v>
      </c>
      <c r="H514" t="str">
        <f>VLOOKUP(A514, product_table!$A:$C, 3, 0)</f>
        <v>Own Brand</v>
      </c>
      <c r="I514" t="str">
        <f>VLOOKUP(transactions_table8[[#This Row],[market_code]],markets_table!$A:$B,2,0)</f>
        <v>Mumbai</v>
      </c>
      <c r="J514" t="str">
        <f>VLOOKUP(transactions_table8[[#This Row],[market_code]],markets_table!$A:$C,3,0)</f>
        <v>Central</v>
      </c>
      <c r="K514" t="str">
        <f>VLOOKUP(transactions_table8[[#This Row],[customer_code]],customer_table!$A:$B,2,0)</f>
        <v>Logic Stores</v>
      </c>
      <c r="L514" t="str">
        <f>VLOOKUP(transactions_table8[[#This Row],[customer_code]],customer_table!$A:$C,3,0)</f>
        <v>Brick &amp; Mortar</v>
      </c>
      <c r="M514">
        <f>IF(TRIM(CLEAN(transactions_table8[[#This Row],[currency]]))="USD",transactions_table8[[#This Row],[sales_amount]]*83,transactions_table8[[#This Row],[sales_amount]])</f>
        <v>514</v>
      </c>
    </row>
    <row r="515" spans="1:13" x14ac:dyDescent="0.3">
      <c r="A515" t="s">
        <v>185</v>
      </c>
      <c r="B515" t="s">
        <v>34</v>
      </c>
      <c r="C515" t="s">
        <v>138</v>
      </c>
      <c r="D515" s="1">
        <v>43493</v>
      </c>
      <c r="E515">
        <v>1</v>
      </c>
      <c r="F515">
        <v>514</v>
      </c>
      <c r="G515" t="s">
        <v>462</v>
      </c>
      <c r="H515" t="str">
        <f>VLOOKUP(A515, product_table!$A:$C, 3, 0)</f>
        <v>Own Brand</v>
      </c>
      <c r="I515" t="str">
        <f>VLOOKUP(transactions_table8[[#This Row],[market_code]],markets_table!$A:$B,2,0)</f>
        <v>Mumbai</v>
      </c>
      <c r="J515" t="str">
        <f>VLOOKUP(transactions_table8[[#This Row],[market_code]],markets_table!$A:$C,3,0)</f>
        <v>Central</v>
      </c>
      <c r="K515" t="str">
        <f>VLOOKUP(transactions_table8[[#This Row],[customer_code]],customer_table!$A:$B,2,0)</f>
        <v>Logic Stores</v>
      </c>
      <c r="L515" t="str">
        <f>VLOOKUP(transactions_table8[[#This Row],[customer_code]],customer_table!$A:$C,3,0)</f>
        <v>Brick &amp; Mortar</v>
      </c>
      <c r="M515">
        <f>IF(TRIM(CLEAN(transactions_table8[[#This Row],[currency]]))="USD",transactions_table8[[#This Row],[sales_amount]]*83,transactions_table8[[#This Row],[sales_amount]])</f>
        <v>514</v>
      </c>
    </row>
    <row r="516" spans="1:13" x14ac:dyDescent="0.3">
      <c r="A516" t="s">
        <v>185</v>
      </c>
      <c r="B516" t="s">
        <v>34</v>
      </c>
      <c r="C516" t="s">
        <v>138</v>
      </c>
      <c r="D516" s="1">
        <v>43497</v>
      </c>
      <c r="E516">
        <v>1</v>
      </c>
      <c r="F516">
        <v>514</v>
      </c>
      <c r="G516" t="s">
        <v>462</v>
      </c>
      <c r="H516" t="str">
        <f>VLOOKUP(A516, product_table!$A:$C, 3, 0)</f>
        <v>Own Brand</v>
      </c>
      <c r="I516" t="str">
        <f>VLOOKUP(transactions_table8[[#This Row],[market_code]],markets_table!$A:$B,2,0)</f>
        <v>Mumbai</v>
      </c>
      <c r="J516" t="str">
        <f>VLOOKUP(transactions_table8[[#This Row],[market_code]],markets_table!$A:$C,3,0)</f>
        <v>Central</v>
      </c>
      <c r="K516" t="str">
        <f>VLOOKUP(transactions_table8[[#This Row],[customer_code]],customer_table!$A:$B,2,0)</f>
        <v>Logic Stores</v>
      </c>
      <c r="L516" t="str">
        <f>VLOOKUP(transactions_table8[[#This Row],[customer_code]],customer_table!$A:$C,3,0)</f>
        <v>Brick &amp; Mortar</v>
      </c>
      <c r="M516">
        <f>IF(TRIM(CLEAN(transactions_table8[[#This Row],[currency]]))="USD",transactions_table8[[#This Row],[sales_amount]]*83,transactions_table8[[#This Row],[sales_amount]])</f>
        <v>514</v>
      </c>
    </row>
    <row r="517" spans="1:13" x14ac:dyDescent="0.3">
      <c r="A517" t="s">
        <v>185</v>
      </c>
      <c r="B517" t="s">
        <v>34</v>
      </c>
      <c r="C517" t="s">
        <v>138</v>
      </c>
      <c r="D517" s="1">
        <v>43504</v>
      </c>
      <c r="E517">
        <v>1</v>
      </c>
      <c r="F517">
        <v>1028</v>
      </c>
      <c r="G517" t="s">
        <v>462</v>
      </c>
      <c r="H517" t="str">
        <f>VLOOKUP(A517, product_table!$A:$C, 3, 0)</f>
        <v>Own Brand</v>
      </c>
      <c r="I517" t="str">
        <f>VLOOKUP(transactions_table8[[#This Row],[market_code]],markets_table!$A:$B,2,0)</f>
        <v>Mumbai</v>
      </c>
      <c r="J517" t="str">
        <f>VLOOKUP(transactions_table8[[#This Row],[market_code]],markets_table!$A:$C,3,0)</f>
        <v>Central</v>
      </c>
      <c r="K517" t="str">
        <f>VLOOKUP(transactions_table8[[#This Row],[customer_code]],customer_table!$A:$B,2,0)</f>
        <v>Logic Stores</v>
      </c>
      <c r="L517" t="str">
        <f>VLOOKUP(transactions_table8[[#This Row],[customer_code]],customer_table!$A:$C,3,0)</f>
        <v>Brick &amp; Mortar</v>
      </c>
      <c r="M517">
        <f>IF(TRIM(CLEAN(transactions_table8[[#This Row],[currency]]))="USD",transactions_table8[[#This Row],[sales_amount]]*83,transactions_table8[[#This Row],[sales_amount]])</f>
        <v>1028</v>
      </c>
    </row>
    <row r="518" spans="1:13" x14ac:dyDescent="0.3">
      <c r="A518" t="s">
        <v>185</v>
      </c>
      <c r="B518" t="s">
        <v>34</v>
      </c>
      <c r="C518" t="s">
        <v>138</v>
      </c>
      <c r="D518" s="1">
        <v>43511</v>
      </c>
      <c r="E518">
        <v>1</v>
      </c>
      <c r="F518">
        <v>2056</v>
      </c>
      <c r="G518" t="s">
        <v>462</v>
      </c>
      <c r="H518" t="str">
        <f>VLOOKUP(A518, product_table!$A:$C, 3, 0)</f>
        <v>Own Brand</v>
      </c>
      <c r="I518" t="str">
        <f>VLOOKUP(transactions_table8[[#This Row],[market_code]],markets_table!$A:$B,2,0)</f>
        <v>Mumbai</v>
      </c>
      <c r="J518" t="str">
        <f>VLOOKUP(transactions_table8[[#This Row],[market_code]],markets_table!$A:$C,3,0)</f>
        <v>Central</v>
      </c>
      <c r="K518" t="str">
        <f>VLOOKUP(transactions_table8[[#This Row],[customer_code]],customer_table!$A:$B,2,0)</f>
        <v>Logic Stores</v>
      </c>
      <c r="L518" t="str">
        <f>VLOOKUP(transactions_table8[[#This Row],[customer_code]],customer_table!$A:$C,3,0)</f>
        <v>Brick &amp; Mortar</v>
      </c>
      <c r="M518">
        <f>IF(TRIM(CLEAN(transactions_table8[[#This Row],[currency]]))="USD",transactions_table8[[#This Row],[sales_amount]]*83,transactions_table8[[#This Row],[sales_amount]])</f>
        <v>2056</v>
      </c>
    </row>
    <row r="519" spans="1:13" x14ac:dyDescent="0.3">
      <c r="A519" t="s">
        <v>185</v>
      </c>
      <c r="B519" t="s">
        <v>16</v>
      </c>
      <c r="C519" t="s">
        <v>144</v>
      </c>
      <c r="D519" s="1">
        <v>43518</v>
      </c>
      <c r="E519">
        <v>1</v>
      </c>
      <c r="F519">
        <v>796</v>
      </c>
      <c r="G519" t="s">
        <v>462</v>
      </c>
      <c r="H519" t="str">
        <f>VLOOKUP(A519, product_table!$A:$C, 3, 0)</f>
        <v>Own Brand</v>
      </c>
      <c r="I519" t="str">
        <f>VLOOKUP(transactions_table8[[#This Row],[market_code]],markets_table!$A:$B,2,0)</f>
        <v>Delhi NCR</v>
      </c>
      <c r="J519" t="str">
        <f>VLOOKUP(transactions_table8[[#This Row],[market_code]],markets_table!$A:$C,3,0)</f>
        <v>North</v>
      </c>
      <c r="K519" t="str">
        <f>VLOOKUP(transactions_table8[[#This Row],[customer_code]],customer_table!$A:$B,2,0)</f>
        <v>Info Stores</v>
      </c>
      <c r="L519" t="str">
        <f>VLOOKUP(transactions_table8[[#This Row],[customer_code]],customer_table!$A:$C,3,0)</f>
        <v>Brick &amp; Mortar</v>
      </c>
      <c r="M519">
        <f>IF(TRIM(CLEAN(transactions_table8[[#This Row],[currency]]))="USD",transactions_table8[[#This Row],[sales_amount]]*83,transactions_table8[[#This Row],[sales_amount]])</f>
        <v>796</v>
      </c>
    </row>
    <row r="520" spans="1:13" x14ac:dyDescent="0.3">
      <c r="A520" t="s">
        <v>185</v>
      </c>
      <c r="B520" t="s">
        <v>34</v>
      </c>
      <c r="C520" t="s">
        <v>138</v>
      </c>
      <c r="D520" s="1">
        <v>43518</v>
      </c>
      <c r="E520">
        <v>1</v>
      </c>
      <c r="F520">
        <v>1542</v>
      </c>
      <c r="G520" t="s">
        <v>462</v>
      </c>
      <c r="H520" t="str">
        <f>VLOOKUP(A520, product_table!$A:$C, 3, 0)</f>
        <v>Own Brand</v>
      </c>
      <c r="I520" t="str">
        <f>VLOOKUP(transactions_table8[[#This Row],[market_code]],markets_table!$A:$B,2,0)</f>
        <v>Mumbai</v>
      </c>
      <c r="J520" t="str">
        <f>VLOOKUP(transactions_table8[[#This Row],[market_code]],markets_table!$A:$C,3,0)</f>
        <v>Central</v>
      </c>
      <c r="K520" t="str">
        <f>VLOOKUP(transactions_table8[[#This Row],[customer_code]],customer_table!$A:$B,2,0)</f>
        <v>Logic Stores</v>
      </c>
      <c r="L520" t="str">
        <f>VLOOKUP(transactions_table8[[#This Row],[customer_code]],customer_table!$A:$C,3,0)</f>
        <v>Brick &amp; Mortar</v>
      </c>
      <c r="M520">
        <f>IF(TRIM(CLEAN(transactions_table8[[#This Row],[currency]]))="USD",transactions_table8[[#This Row],[sales_amount]]*83,transactions_table8[[#This Row],[sales_amount]])</f>
        <v>1542</v>
      </c>
    </row>
    <row r="521" spans="1:13" x14ac:dyDescent="0.3">
      <c r="A521" t="s">
        <v>185</v>
      </c>
      <c r="B521" t="s">
        <v>34</v>
      </c>
      <c r="C521" t="s">
        <v>138</v>
      </c>
      <c r="D521" s="1">
        <v>43525</v>
      </c>
      <c r="E521">
        <v>1</v>
      </c>
      <c r="F521">
        <v>514</v>
      </c>
      <c r="G521" t="s">
        <v>462</v>
      </c>
      <c r="H521" t="str">
        <f>VLOOKUP(A521, product_table!$A:$C, 3, 0)</f>
        <v>Own Brand</v>
      </c>
      <c r="I521" t="str">
        <f>VLOOKUP(transactions_table8[[#This Row],[market_code]],markets_table!$A:$B,2,0)</f>
        <v>Mumbai</v>
      </c>
      <c r="J521" t="str">
        <f>VLOOKUP(transactions_table8[[#This Row],[market_code]],markets_table!$A:$C,3,0)</f>
        <v>Central</v>
      </c>
      <c r="K521" t="str">
        <f>VLOOKUP(transactions_table8[[#This Row],[customer_code]],customer_table!$A:$B,2,0)</f>
        <v>Logic Stores</v>
      </c>
      <c r="L521" t="str">
        <f>VLOOKUP(transactions_table8[[#This Row],[customer_code]],customer_table!$A:$C,3,0)</f>
        <v>Brick &amp; Mortar</v>
      </c>
      <c r="M521">
        <f>IF(TRIM(CLEAN(transactions_table8[[#This Row],[currency]]))="USD",transactions_table8[[#This Row],[sales_amount]]*83,transactions_table8[[#This Row],[sales_amount]])</f>
        <v>514</v>
      </c>
    </row>
    <row r="522" spans="1:13" x14ac:dyDescent="0.3">
      <c r="A522" t="s">
        <v>185</v>
      </c>
      <c r="B522" t="s">
        <v>34</v>
      </c>
      <c r="C522" t="s">
        <v>138</v>
      </c>
      <c r="D522" s="1">
        <v>43532</v>
      </c>
      <c r="E522">
        <v>1</v>
      </c>
      <c r="F522">
        <v>1028</v>
      </c>
      <c r="G522" t="s">
        <v>462</v>
      </c>
      <c r="H522" t="str">
        <f>VLOOKUP(A522, product_table!$A:$C, 3, 0)</f>
        <v>Own Brand</v>
      </c>
      <c r="I522" t="str">
        <f>VLOOKUP(transactions_table8[[#This Row],[market_code]],markets_table!$A:$B,2,0)</f>
        <v>Mumbai</v>
      </c>
      <c r="J522" t="str">
        <f>VLOOKUP(transactions_table8[[#This Row],[market_code]],markets_table!$A:$C,3,0)</f>
        <v>Central</v>
      </c>
      <c r="K522" t="str">
        <f>VLOOKUP(transactions_table8[[#This Row],[customer_code]],customer_table!$A:$B,2,0)</f>
        <v>Logic Stores</v>
      </c>
      <c r="L522" t="str">
        <f>VLOOKUP(transactions_table8[[#This Row],[customer_code]],customer_table!$A:$C,3,0)</f>
        <v>Brick &amp; Mortar</v>
      </c>
      <c r="M522">
        <f>IF(TRIM(CLEAN(transactions_table8[[#This Row],[currency]]))="USD",transactions_table8[[#This Row],[sales_amount]]*83,transactions_table8[[#This Row],[sales_amount]])</f>
        <v>1028</v>
      </c>
    </row>
    <row r="523" spans="1:13" x14ac:dyDescent="0.3">
      <c r="A523" t="s">
        <v>185</v>
      </c>
      <c r="B523" t="s">
        <v>16</v>
      </c>
      <c r="C523" t="s">
        <v>144</v>
      </c>
      <c r="D523" s="1">
        <v>43567</v>
      </c>
      <c r="E523">
        <v>1</v>
      </c>
      <c r="F523">
        <v>796</v>
      </c>
      <c r="G523" t="s">
        <v>462</v>
      </c>
      <c r="H523" t="str">
        <f>VLOOKUP(A523, product_table!$A:$C, 3, 0)</f>
        <v>Own Brand</v>
      </c>
      <c r="I523" t="str">
        <f>VLOOKUP(transactions_table8[[#This Row],[market_code]],markets_table!$A:$B,2,0)</f>
        <v>Delhi NCR</v>
      </c>
      <c r="J523" t="str">
        <f>VLOOKUP(transactions_table8[[#This Row],[market_code]],markets_table!$A:$C,3,0)</f>
        <v>North</v>
      </c>
      <c r="K523" t="str">
        <f>VLOOKUP(transactions_table8[[#This Row],[customer_code]],customer_table!$A:$B,2,0)</f>
        <v>Info Stores</v>
      </c>
      <c r="L523" t="str">
        <f>VLOOKUP(transactions_table8[[#This Row],[customer_code]],customer_table!$A:$C,3,0)</f>
        <v>Brick &amp; Mortar</v>
      </c>
      <c r="M523">
        <f>IF(TRIM(CLEAN(transactions_table8[[#This Row],[currency]]))="USD",transactions_table8[[#This Row],[sales_amount]]*83,transactions_table8[[#This Row],[sales_amount]])</f>
        <v>796</v>
      </c>
    </row>
    <row r="524" spans="1:13" x14ac:dyDescent="0.3">
      <c r="A524" t="s">
        <v>185</v>
      </c>
      <c r="B524" t="s">
        <v>16</v>
      </c>
      <c r="C524" t="s">
        <v>144</v>
      </c>
      <c r="D524" s="1">
        <v>43619</v>
      </c>
      <c r="E524">
        <v>1</v>
      </c>
      <c r="F524">
        <v>796</v>
      </c>
      <c r="G524" t="s">
        <v>462</v>
      </c>
      <c r="H524" t="str">
        <f>VLOOKUP(A524, product_table!$A:$C, 3, 0)</f>
        <v>Own Brand</v>
      </c>
      <c r="I524" t="str">
        <f>VLOOKUP(transactions_table8[[#This Row],[market_code]],markets_table!$A:$B,2,0)</f>
        <v>Delhi NCR</v>
      </c>
      <c r="J524" t="str">
        <f>VLOOKUP(transactions_table8[[#This Row],[market_code]],markets_table!$A:$C,3,0)</f>
        <v>North</v>
      </c>
      <c r="K524" t="str">
        <f>VLOOKUP(transactions_table8[[#This Row],[customer_code]],customer_table!$A:$B,2,0)</f>
        <v>Info Stores</v>
      </c>
      <c r="L524" t="str">
        <f>VLOOKUP(transactions_table8[[#This Row],[customer_code]],customer_table!$A:$C,3,0)</f>
        <v>Brick &amp; Mortar</v>
      </c>
      <c r="M524">
        <f>IF(TRIM(CLEAN(transactions_table8[[#This Row],[currency]]))="USD",transactions_table8[[#This Row],[sales_amount]]*83,transactions_table8[[#This Row],[sales_amount]])</f>
        <v>796</v>
      </c>
    </row>
    <row r="525" spans="1:13" x14ac:dyDescent="0.3">
      <c r="A525" t="s">
        <v>185</v>
      </c>
      <c r="B525" t="s">
        <v>16</v>
      </c>
      <c r="C525" t="s">
        <v>144</v>
      </c>
      <c r="D525" s="1">
        <v>43633</v>
      </c>
      <c r="E525">
        <v>1</v>
      </c>
      <c r="F525">
        <v>1593</v>
      </c>
      <c r="G525" t="s">
        <v>462</v>
      </c>
      <c r="H525" t="str">
        <f>VLOOKUP(A525, product_table!$A:$C, 3, 0)</f>
        <v>Own Brand</v>
      </c>
      <c r="I525" t="str">
        <f>VLOOKUP(transactions_table8[[#This Row],[market_code]],markets_table!$A:$B,2,0)</f>
        <v>Delhi NCR</v>
      </c>
      <c r="J525" t="str">
        <f>VLOOKUP(transactions_table8[[#This Row],[market_code]],markets_table!$A:$C,3,0)</f>
        <v>North</v>
      </c>
      <c r="K525" t="str">
        <f>VLOOKUP(transactions_table8[[#This Row],[customer_code]],customer_table!$A:$B,2,0)</f>
        <v>Info Stores</v>
      </c>
      <c r="L525" t="str">
        <f>VLOOKUP(transactions_table8[[#This Row],[customer_code]],customer_table!$A:$C,3,0)</f>
        <v>Brick &amp; Mortar</v>
      </c>
      <c r="M525">
        <f>IF(TRIM(CLEAN(transactions_table8[[#This Row],[currency]]))="USD",transactions_table8[[#This Row],[sales_amount]]*83,transactions_table8[[#This Row],[sales_amount]])</f>
        <v>1593</v>
      </c>
    </row>
    <row r="526" spans="1:13" x14ac:dyDescent="0.3">
      <c r="A526" t="s">
        <v>185</v>
      </c>
      <c r="B526" t="s">
        <v>16</v>
      </c>
      <c r="C526" t="s">
        <v>144</v>
      </c>
      <c r="D526" s="1">
        <v>43640</v>
      </c>
      <c r="E526">
        <v>1</v>
      </c>
      <c r="F526">
        <v>796</v>
      </c>
      <c r="G526" t="s">
        <v>462</v>
      </c>
      <c r="H526" t="str">
        <f>VLOOKUP(A526, product_table!$A:$C, 3, 0)</f>
        <v>Own Brand</v>
      </c>
      <c r="I526" t="str">
        <f>VLOOKUP(transactions_table8[[#This Row],[market_code]],markets_table!$A:$B,2,0)</f>
        <v>Delhi NCR</v>
      </c>
      <c r="J526" t="str">
        <f>VLOOKUP(transactions_table8[[#This Row],[market_code]],markets_table!$A:$C,3,0)</f>
        <v>North</v>
      </c>
      <c r="K526" t="str">
        <f>VLOOKUP(transactions_table8[[#This Row],[customer_code]],customer_table!$A:$B,2,0)</f>
        <v>Info Stores</v>
      </c>
      <c r="L526" t="str">
        <f>VLOOKUP(transactions_table8[[#This Row],[customer_code]],customer_table!$A:$C,3,0)</f>
        <v>Brick &amp; Mortar</v>
      </c>
      <c r="M526">
        <f>IF(TRIM(CLEAN(transactions_table8[[#This Row],[currency]]))="USD",transactions_table8[[#This Row],[sales_amount]]*83,transactions_table8[[#This Row],[sales_amount]])</f>
        <v>796</v>
      </c>
    </row>
    <row r="527" spans="1:13" x14ac:dyDescent="0.3">
      <c r="A527" t="s">
        <v>185</v>
      </c>
      <c r="B527" t="s">
        <v>24</v>
      </c>
      <c r="C527" t="s">
        <v>141</v>
      </c>
      <c r="D527" s="1">
        <v>43661</v>
      </c>
      <c r="E527">
        <v>1</v>
      </c>
      <c r="F527">
        <v>611</v>
      </c>
      <c r="G527" t="s">
        <v>462</v>
      </c>
      <c r="H527" t="str">
        <f>VLOOKUP(A527, product_table!$A:$C, 3, 0)</f>
        <v>Own Brand</v>
      </c>
      <c r="I527" t="str">
        <f>VLOOKUP(transactions_table8[[#This Row],[market_code]],markets_table!$A:$B,2,0)</f>
        <v>Ahmedabad</v>
      </c>
      <c r="J527" t="str">
        <f>VLOOKUP(transactions_table8[[#This Row],[market_code]],markets_table!$A:$C,3,0)</f>
        <v>North</v>
      </c>
      <c r="K527" t="str">
        <f>VLOOKUP(transactions_table8[[#This Row],[customer_code]],customer_table!$A:$B,2,0)</f>
        <v>Flawless Stores</v>
      </c>
      <c r="L527" t="str">
        <f>VLOOKUP(transactions_table8[[#This Row],[customer_code]],customer_table!$A:$C,3,0)</f>
        <v>Brick &amp; Mortar</v>
      </c>
      <c r="M527">
        <f>IF(TRIM(CLEAN(transactions_table8[[#This Row],[currency]]))="USD",transactions_table8[[#This Row],[sales_amount]]*83,transactions_table8[[#This Row],[sales_amount]])</f>
        <v>611</v>
      </c>
    </row>
    <row r="528" spans="1:13" x14ac:dyDescent="0.3">
      <c r="A528" t="s">
        <v>185</v>
      </c>
      <c r="B528" t="s">
        <v>34</v>
      </c>
      <c r="C528" t="s">
        <v>138</v>
      </c>
      <c r="D528" s="1">
        <v>43693</v>
      </c>
      <c r="E528">
        <v>1</v>
      </c>
      <c r="F528">
        <v>1028</v>
      </c>
      <c r="G528" t="s">
        <v>462</v>
      </c>
      <c r="H528" t="str">
        <f>VLOOKUP(A528, product_table!$A:$C, 3, 0)</f>
        <v>Own Brand</v>
      </c>
      <c r="I528" t="str">
        <f>VLOOKUP(transactions_table8[[#This Row],[market_code]],markets_table!$A:$B,2,0)</f>
        <v>Mumbai</v>
      </c>
      <c r="J528" t="str">
        <f>VLOOKUP(transactions_table8[[#This Row],[market_code]],markets_table!$A:$C,3,0)</f>
        <v>Central</v>
      </c>
      <c r="K528" t="str">
        <f>VLOOKUP(transactions_table8[[#This Row],[customer_code]],customer_table!$A:$B,2,0)</f>
        <v>Logic Stores</v>
      </c>
      <c r="L528" t="str">
        <f>VLOOKUP(transactions_table8[[#This Row],[customer_code]],customer_table!$A:$C,3,0)</f>
        <v>Brick &amp; Mortar</v>
      </c>
      <c r="M528">
        <f>IF(TRIM(CLEAN(transactions_table8[[#This Row],[currency]]))="USD",transactions_table8[[#This Row],[sales_amount]]*83,transactions_table8[[#This Row],[sales_amount]])</f>
        <v>1028</v>
      </c>
    </row>
    <row r="529" spans="1:13" x14ac:dyDescent="0.3">
      <c r="A529" t="s">
        <v>185</v>
      </c>
      <c r="B529" t="s">
        <v>34</v>
      </c>
      <c r="C529" t="s">
        <v>138</v>
      </c>
      <c r="D529" s="1">
        <v>43735</v>
      </c>
      <c r="E529">
        <v>1</v>
      </c>
      <c r="F529">
        <v>514</v>
      </c>
      <c r="G529" t="s">
        <v>462</v>
      </c>
      <c r="H529" t="str">
        <f>VLOOKUP(A529, product_table!$A:$C, 3, 0)</f>
        <v>Own Brand</v>
      </c>
      <c r="I529" t="str">
        <f>VLOOKUP(transactions_table8[[#This Row],[market_code]],markets_table!$A:$B,2,0)</f>
        <v>Mumbai</v>
      </c>
      <c r="J529" t="str">
        <f>VLOOKUP(transactions_table8[[#This Row],[market_code]],markets_table!$A:$C,3,0)</f>
        <v>Central</v>
      </c>
      <c r="K529" t="str">
        <f>VLOOKUP(transactions_table8[[#This Row],[customer_code]],customer_table!$A:$B,2,0)</f>
        <v>Logic Stores</v>
      </c>
      <c r="L529" t="str">
        <f>VLOOKUP(transactions_table8[[#This Row],[customer_code]],customer_table!$A:$C,3,0)</f>
        <v>Brick &amp; Mortar</v>
      </c>
      <c r="M529">
        <f>IF(TRIM(CLEAN(transactions_table8[[#This Row],[currency]]))="USD",transactions_table8[[#This Row],[sales_amount]]*83,transactions_table8[[#This Row],[sales_amount]])</f>
        <v>514</v>
      </c>
    </row>
    <row r="530" spans="1:13" x14ac:dyDescent="0.3">
      <c r="A530" t="s">
        <v>185</v>
      </c>
      <c r="B530" t="s">
        <v>34</v>
      </c>
      <c r="C530" t="s">
        <v>138</v>
      </c>
      <c r="D530" s="1">
        <v>43742</v>
      </c>
      <c r="E530">
        <v>1</v>
      </c>
      <c r="F530">
        <v>514</v>
      </c>
      <c r="G530" t="s">
        <v>462</v>
      </c>
      <c r="H530" t="str">
        <f>VLOOKUP(A530, product_table!$A:$C, 3, 0)</f>
        <v>Own Brand</v>
      </c>
      <c r="I530" t="str">
        <f>VLOOKUP(transactions_table8[[#This Row],[market_code]],markets_table!$A:$B,2,0)</f>
        <v>Mumbai</v>
      </c>
      <c r="J530" t="str">
        <f>VLOOKUP(transactions_table8[[#This Row],[market_code]],markets_table!$A:$C,3,0)</f>
        <v>Central</v>
      </c>
      <c r="K530" t="str">
        <f>VLOOKUP(transactions_table8[[#This Row],[customer_code]],customer_table!$A:$B,2,0)</f>
        <v>Logic Stores</v>
      </c>
      <c r="L530" t="str">
        <f>VLOOKUP(transactions_table8[[#This Row],[customer_code]],customer_table!$A:$C,3,0)</f>
        <v>Brick &amp; Mortar</v>
      </c>
      <c r="M530">
        <f>IF(TRIM(CLEAN(transactions_table8[[#This Row],[currency]]))="USD",transactions_table8[[#This Row],[sales_amount]]*83,transactions_table8[[#This Row],[sales_amount]])</f>
        <v>514</v>
      </c>
    </row>
    <row r="531" spans="1:13" x14ac:dyDescent="0.3">
      <c r="A531" t="s">
        <v>185</v>
      </c>
      <c r="B531" t="s">
        <v>34</v>
      </c>
      <c r="C531" t="s">
        <v>138</v>
      </c>
      <c r="D531" s="1">
        <v>43756</v>
      </c>
      <c r="E531">
        <v>1</v>
      </c>
      <c r="F531">
        <v>514</v>
      </c>
      <c r="G531" t="s">
        <v>462</v>
      </c>
      <c r="H531" t="str">
        <f>VLOOKUP(A531, product_table!$A:$C, 3, 0)</f>
        <v>Own Brand</v>
      </c>
      <c r="I531" t="str">
        <f>VLOOKUP(transactions_table8[[#This Row],[market_code]],markets_table!$A:$B,2,0)</f>
        <v>Mumbai</v>
      </c>
      <c r="J531" t="str">
        <f>VLOOKUP(transactions_table8[[#This Row],[market_code]],markets_table!$A:$C,3,0)</f>
        <v>Central</v>
      </c>
      <c r="K531" t="str">
        <f>VLOOKUP(transactions_table8[[#This Row],[customer_code]],customer_table!$A:$B,2,0)</f>
        <v>Logic Stores</v>
      </c>
      <c r="L531" t="str">
        <f>VLOOKUP(transactions_table8[[#This Row],[customer_code]],customer_table!$A:$C,3,0)</f>
        <v>Brick &amp; Mortar</v>
      </c>
      <c r="M531">
        <f>IF(TRIM(CLEAN(transactions_table8[[#This Row],[currency]]))="USD",transactions_table8[[#This Row],[sales_amount]]*83,transactions_table8[[#This Row],[sales_amount]])</f>
        <v>514</v>
      </c>
    </row>
    <row r="532" spans="1:13" x14ac:dyDescent="0.3">
      <c r="A532" t="s">
        <v>185</v>
      </c>
      <c r="B532" t="s">
        <v>16</v>
      </c>
      <c r="C532" t="s">
        <v>144</v>
      </c>
      <c r="D532" s="1">
        <v>43759</v>
      </c>
      <c r="E532">
        <v>1</v>
      </c>
      <c r="F532">
        <v>796</v>
      </c>
      <c r="G532" t="s">
        <v>462</v>
      </c>
      <c r="H532" t="str">
        <f>VLOOKUP(A532, product_table!$A:$C, 3, 0)</f>
        <v>Own Brand</v>
      </c>
      <c r="I532" t="str">
        <f>VLOOKUP(transactions_table8[[#This Row],[market_code]],markets_table!$A:$B,2,0)</f>
        <v>Delhi NCR</v>
      </c>
      <c r="J532" t="str">
        <f>VLOOKUP(transactions_table8[[#This Row],[market_code]],markets_table!$A:$C,3,0)</f>
        <v>North</v>
      </c>
      <c r="K532" t="str">
        <f>VLOOKUP(transactions_table8[[#This Row],[customer_code]],customer_table!$A:$B,2,0)</f>
        <v>Info Stores</v>
      </c>
      <c r="L532" t="str">
        <f>VLOOKUP(transactions_table8[[#This Row],[customer_code]],customer_table!$A:$C,3,0)</f>
        <v>Brick &amp; Mortar</v>
      </c>
      <c r="M532">
        <f>IF(TRIM(CLEAN(transactions_table8[[#This Row],[currency]]))="USD",transactions_table8[[#This Row],[sales_amount]]*83,transactions_table8[[#This Row],[sales_amount]])</f>
        <v>796</v>
      </c>
    </row>
    <row r="533" spans="1:13" x14ac:dyDescent="0.3">
      <c r="A533" t="s">
        <v>185</v>
      </c>
      <c r="B533" t="s">
        <v>16</v>
      </c>
      <c r="C533" t="s">
        <v>144</v>
      </c>
      <c r="D533" s="1">
        <v>43763</v>
      </c>
      <c r="E533">
        <v>1</v>
      </c>
      <c r="F533">
        <v>796</v>
      </c>
      <c r="G533" t="s">
        <v>462</v>
      </c>
      <c r="H533" t="str">
        <f>VLOOKUP(A533, product_table!$A:$C, 3, 0)</f>
        <v>Own Brand</v>
      </c>
      <c r="I533" t="str">
        <f>VLOOKUP(transactions_table8[[#This Row],[market_code]],markets_table!$A:$B,2,0)</f>
        <v>Delhi NCR</v>
      </c>
      <c r="J533" t="str">
        <f>VLOOKUP(transactions_table8[[#This Row],[market_code]],markets_table!$A:$C,3,0)</f>
        <v>North</v>
      </c>
      <c r="K533" t="str">
        <f>VLOOKUP(transactions_table8[[#This Row],[customer_code]],customer_table!$A:$B,2,0)</f>
        <v>Info Stores</v>
      </c>
      <c r="L533" t="str">
        <f>VLOOKUP(transactions_table8[[#This Row],[customer_code]],customer_table!$A:$C,3,0)</f>
        <v>Brick &amp; Mortar</v>
      </c>
      <c r="M533">
        <f>IF(TRIM(CLEAN(transactions_table8[[#This Row],[currency]]))="USD",transactions_table8[[#This Row],[sales_amount]]*83,transactions_table8[[#This Row],[sales_amount]])</f>
        <v>796</v>
      </c>
    </row>
    <row r="534" spans="1:13" x14ac:dyDescent="0.3">
      <c r="A534" t="s">
        <v>185</v>
      </c>
      <c r="B534" t="s">
        <v>34</v>
      </c>
      <c r="C534" t="s">
        <v>138</v>
      </c>
      <c r="D534" s="1">
        <v>43770</v>
      </c>
      <c r="E534">
        <v>1</v>
      </c>
      <c r="F534">
        <v>514</v>
      </c>
      <c r="G534" t="s">
        <v>462</v>
      </c>
      <c r="H534" t="str">
        <f>VLOOKUP(A534, product_table!$A:$C, 3, 0)</f>
        <v>Own Brand</v>
      </c>
      <c r="I534" t="str">
        <f>VLOOKUP(transactions_table8[[#This Row],[market_code]],markets_table!$A:$B,2,0)</f>
        <v>Mumbai</v>
      </c>
      <c r="J534" t="str">
        <f>VLOOKUP(transactions_table8[[#This Row],[market_code]],markets_table!$A:$C,3,0)</f>
        <v>Central</v>
      </c>
      <c r="K534" t="str">
        <f>VLOOKUP(transactions_table8[[#This Row],[customer_code]],customer_table!$A:$B,2,0)</f>
        <v>Logic Stores</v>
      </c>
      <c r="L534" t="str">
        <f>VLOOKUP(transactions_table8[[#This Row],[customer_code]],customer_table!$A:$C,3,0)</f>
        <v>Brick &amp; Mortar</v>
      </c>
      <c r="M534">
        <f>IF(TRIM(CLEAN(transactions_table8[[#This Row],[currency]]))="USD",transactions_table8[[#This Row],[sales_amount]]*83,transactions_table8[[#This Row],[sales_amount]])</f>
        <v>514</v>
      </c>
    </row>
    <row r="535" spans="1:13" x14ac:dyDescent="0.3">
      <c r="A535" t="s">
        <v>185</v>
      </c>
      <c r="B535" t="s">
        <v>16</v>
      </c>
      <c r="C535" t="s">
        <v>144</v>
      </c>
      <c r="D535" s="1">
        <v>43773</v>
      </c>
      <c r="E535">
        <v>1</v>
      </c>
      <c r="F535">
        <v>796</v>
      </c>
      <c r="G535" t="s">
        <v>462</v>
      </c>
      <c r="H535" t="str">
        <f>VLOOKUP(A535, product_table!$A:$C, 3, 0)</f>
        <v>Own Brand</v>
      </c>
      <c r="I535" t="str">
        <f>VLOOKUP(transactions_table8[[#This Row],[market_code]],markets_table!$A:$B,2,0)</f>
        <v>Delhi NCR</v>
      </c>
      <c r="J535" t="str">
        <f>VLOOKUP(transactions_table8[[#This Row],[market_code]],markets_table!$A:$C,3,0)</f>
        <v>North</v>
      </c>
      <c r="K535" t="str">
        <f>VLOOKUP(transactions_table8[[#This Row],[customer_code]],customer_table!$A:$B,2,0)</f>
        <v>Info Stores</v>
      </c>
      <c r="L535" t="str">
        <f>VLOOKUP(transactions_table8[[#This Row],[customer_code]],customer_table!$A:$C,3,0)</f>
        <v>Brick &amp; Mortar</v>
      </c>
      <c r="M535">
        <f>IF(TRIM(CLEAN(transactions_table8[[#This Row],[currency]]))="USD",transactions_table8[[#This Row],[sales_amount]]*83,transactions_table8[[#This Row],[sales_amount]])</f>
        <v>796</v>
      </c>
    </row>
    <row r="536" spans="1:13" x14ac:dyDescent="0.3">
      <c r="A536" t="s">
        <v>185</v>
      </c>
      <c r="B536" t="s">
        <v>16</v>
      </c>
      <c r="C536" t="s">
        <v>144</v>
      </c>
      <c r="D536" s="1">
        <v>43777</v>
      </c>
      <c r="E536">
        <v>1</v>
      </c>
      <c r="F536">
        <v>1593</v>
      </c>
      <c r="G536" t="s">
        <v>462</v>
      </c>
      <c r="H536" t="str">
        <f>VLOOKUP(A536, product_table!$A:$C, 3, 0)</f>
        <v>Own Brand</v>
      </c>
      <c r="I536" t="str">
        <f>VLOOKUP(transactions_table8[[#This Row],[market_code]],markets_table!$A:$B,2,0)</f>
        <v>Delhi NCR</v>
      </c>
      <c r="J536" t="str">
        <f>VLOOKUP(transactions_table8[[#This Row],[market_code]],markets_table!$A:$C,3,0)</f>
        <v>North</v>
      </c>
      <c r="K536" t="str">
        <f>VLOOKUP(transactions_table8[[#This Row],[customer_code]],customer_table!$A:$B,2,0)</f>
        <v>Info Stores</v>
      </c>
      <c r="L536" t="str">
        <f>VLOOKUP(transactions_table8[[#This Row],[customer_code]],customer_table!$A:$C,3,0)</f>
        <v>Brick &amp; Mortar</v>
      </c>
      <c r="M536">
        <f>IF(TRIM(CLEAN(transactions_table8[[#This Row],[currency]]))="USD",transactions_table8[[#This Row],[sales_amount]]*83,transactions_table8[[#This Row],[sales_amount]])</f>
        <v>1593</v>
      </c>
    </row>
    <row r="537" spans="1:13" x14ac:dyDescent="0.3">
      <c r="A537" t="s">
        <v>185</v>
      </c>
      <c r="B537" t="s">
        <v>34</v>
      </c>
      <c r="C537" t="s">
        <v>138</v>
      </c>
      <c r="D537" s="1">
        <v>43777</v>
      </c>
      <c r="E537">
        <v>1</v>
      </c>
      <c r="F537">
        <v>514</v>
      </c>
      <c r="G537" t="s">
        <v>462</v>
      </c>
      <c r="H537" t="str">
        <f>VLOOKUP(A537, product_table!$A:$C, 3, 0)</f>
        <v>Own Brand</v>
      </c>
      <c r="I537" t="str">
        <f>VLOOKUP(transactions_table8[[#This Row],[market_code]],markets_table!$A:$B,2,0)</f>
        <v>Mumbai</v>
      </c>
      <c r="J537" t="str">
        <f>VLOOKUP(transactions_table8[[#This Row],[market_code]],markets_table!$A:$C,3,0)</f>
        <v>Central</v>
      </c>
      <c r="K537" t="str">
        <f>VLOOKUP(transactions_table8[[#This Row],[customer_code]],customer_table!$A:$B,2,0)</f>
        <v>Logic Stores</v>
      </c>
      <c r="L537" t="str">
        <f>VLOOKUP(transactions_table8[[#This Row],[customer_code]],customer_table!$A:$C,3,0)</f>
        <v>Brick &amp; Mortar</v>
      </c>
      <c r="M537">
        <f>IF(TRIM(CLEAN(transactions_table8[[#This Row],[currency]]))="USD",transactions_table8[[#This Row],[sales_amount]]*83,transactions_table8[[#This Row],[sales_amount]])</f>
        <v>514</v>
      </c>
    </row>
    <row r="538" spans="1:13" x14ac:dyDescent="0.3">
      <c r="A538" t="s">
        <v>185</v>
      </c>
      <c r="B538" t="s">
        <v>16</v>
      </c>
      <c r="C538" t="s">
        <v>144</v>
      </c>
      <c r="D538" s="1">
        <v>43784</v>
      </c>
      <c r="E538">
        <v>1</v>
      </c>
      <c r="F538">
        <v>3185</v>
      </c>
      <c r="G538" t="s">
        <v>462</v>
      </c>
      <c r="H538" t="str">
        <f>VLOOKUP(A538, product_table!$A:$C, 3, 0)</f>
        <v>Own Brand</v>
      </c>
      <c r="I538" t="str">
        <f>VLOOKUP(transactions_table8[[#This Row],[market_code]],markets_table!$A:$B,2,0)</f>
        <v>Delhi NCR</v>
      </c>
      <c r="J538" t="str">
        <f>VLOOKUP(transactions_table8[[#This Row],[market_code]],markets_table!$A:$C,3,0)</f>
        <v>North</v>
      </c>
      <c r="K538" t="str">
        <f>VLOOKUP(transactions_table8[[#This Row],[customer_code]],customer_table!$A:$B,2,0)</f>
        <v>Info Stores</v>
      </c>
      <c r="L538" t="str">
        <f>VLOOKUP(transactions_table8[[#This Row],[customer_code]],customer_table!$A:$C,3,0)</f>
        <v>Brick &amp; Mortar</v>
      </c>
      <c r="M538">
        <f>IF(TRIM(CLEAN(transactions_table8[[#This Row],[currency]]))="USD",transactions_table8[[#This Row],[sales_amount]]*83,transactions_table8[[#This Row],[sales_amount]])</f>
        <v>3185</v>
      </c>
    </row>
    <row r="539" spans="1:13" x14ac:dyDescent="0.3">
      <c r="A539" t="s">
        <v>185</v>
      </c>
      <c r="B539" t="s">
        <v>34</v>
      </c>
      <c r="C539" t="s">
        <v>138</v>
      </c>
      <c r="D539" s="1">
        <v>43784</v>
      </c>
      <c r="E539">
        <v>1</v>
      </c>
      <c r="F539">
        <v>514</v>
      </c>
      <c r="G539" t="s">
        <v>462</v>
      </c>
      <c r="H539" t="str">
        <f>VLOOKUP(A539, product_table!$A:$C, 3, 0)</f>
        <v>Own Brand</v>
      </c>
      <c r="I539" t="str">
        <f>VLOOKUP(transactions_table8[[#This Row],[market_code]],markets_table!$A:$B,2,0)</f>
        <v>Mumbai</v>
      </c>
      <c r="J539" t="str">
        <f>VLOOKUP(transactions_table8[[#This Row],[market_code]],markets_table!$A:$C,3,0)</f>
        <v>Central</v>
      </c>
      <c r="K539" t="str">
        <f>VLOOKUP(transactions_table8[[#This Row],[customer_code]],customer_table!$A:$B,2,0)</f>
        <v>Logic Stores</v>
      </c>
      <c r="L539" t="str">
        <f>VLOOKUP(transactions_table8[[#This Row],[customer_code]],customer_table!$A:$C,3,0)</f>
        <v>Brick &amp; Mortar</v>
      </c>
      <c r="M539">
        <f>IF(TRIM(CLEAN(transactions_table8[[#This Row],[currency]]))="USD",transactions_table8[[#This Row],[sales_amount]]*83,transactions_table8[[#This Row],[sales_amount]])</f>
        <v>514</v>
      </c>
    </row>
    <row r="540" spans="1:13" x14ac:dyDescent="0.3">
      <c r="A540" t="s">
        <v>185</v>
      </c>
      <c r="B540" t="s">
        <v>34</v>
      </c>
      <c r="C540" t="s">
        <v>138</v>
      </c>
      <c r="D540" s="1">
        <v>43787</v>
      </c>
      <c r="E540">
        <v>1</v>
      </c>
      <c r="F540">
        <v>514</v>
      </c>
      <c r="G540" t="s">
        <v>462</v>
      </c>
      <c r="H540" t="str">
        <f>VLOOKUP(A540, product_table!$A:$C, 3, 0)</f>
        <v>Own Brand</v>
      </c>
      <c r="I540" t="str">
        <f>VLOOKUP(transactions_table8[[#This Row],[market_code]],markets_table!$A:$B,2,0)</f>
        <v>Mumbai</v>
      </c>
      <c r="J540" t="str">
        <f>VLOOKUP(transactions_table8[[#This Row],[market_code]],markets_table!$A:$C,3,0)</f>
        <v>Central</v>
      </c>
      <c r="K540" t="str">
        <f>VLOOKUP(transactions_table8[[#This Row],[customer_code]],customer_table!$A:$B,2,0)</f>
        <v>Logic Stores</v>
      </c>
      <c r="L540" t="str">
        <f>VLOOKUP(transactions_table8[[#This Row],[customer_code]],customer_table!$A:$C,3,0)</f>
        <v>Brick &amp; Mortar</v>
      </c>
      <c r="M540">
        <f>IF(TRIM(CLEAN(transactions_table8[[#This Row],[currency]]))="USD",transactions_table8[[#This Row],[sales_amount]]*83,transactions_table8[[#This Row],[sales_amount]])</f>
        <v>514</v>
      </c>
    </row>
    <row r="541" spans="1:13" x14ac:dyDescent="0.3">
      <c r="A541" t="s">
        <v>185</v>
      </c>
      <c r="B541" t="s">
        <v>16</v>
      </c>
      <c r="C541" t="s">
        <v>144</v>
      </c>
      <c r="D541" s="1">
        <v>43805</v>
      </c>
      <c r="E541">
        <v>2</v>
      </c>
      <c r="F541">
        <v>4778</v>
      </c>
      <c r="G541" t="s">
        <v>462</v>
      </c>
      <c r="H541" t="str">
        <f>VLOOKUP(A541, product_table!$A:$C, 3, 0)</f>
        <v>Own Brand</v>
      </c>
      <c r="I541" t="str">
        <f>VLOOKUP(transactions_table8[[#This Row],[market_code]],markets_table!$A:$B,2,0)</f>
        <v>Delhi NCR</v>
      </c>
      <c r="J541" t="str">
        <f>VLOOKUP(transactions_table8[[#This Row],[market_code]],markets_table!$A:$C,3,0)</f>
        <v>North</v>
      </c>
      <c r="K541" t="str">
        <f>VLOOKUP(transactions_table8[[#This Row],[customer_code]],customer_table!$A:$B,2,0)</f>
        <v>Info Stores</v>
      </c>
      <c r="L541" t="str">
        <f>VLOOKUP(transactions_table8[[#This Row],[customer_code]],customer_table!$A:$C,3,0)</f>
        <v>Brick &amp; Mortar</v>
      </c>
      <c r="M541">
        <f>IF(TRIM(CLEAN(transactions_table8[[#This Row],[currency]]))="USD",transactions_table8[[#This Row],[sales_amount]]*83,transactions_table8[[#This Row],[sales_amount]])</f>
        <v>4778</v>
      </c>
    </row>
    <row r="542" spans="1:13" x14ac:dyDescent="0.3">
      <c r="A542" t="s">
        <v>185</v>
      </c>
      <c r="B542" t="s">
        <v>34</v>
      </c>
      <c r="C542" t="s">
        <v>138</v>
      </c>
      <c r="D542" s="1">
        <v>43805</v>
      </c>
      <c r="E542">
        <v>1</v>
      </c>
      <c r="F542">
        <v>514</v>
      </c>
      <c r="G542" t="s">
        <v>462</v>
      </c>
      <c r="H542" t="str">
        <f>VLOOKUP(A542, product_table!$A:$C, 3, 0)</f>
        <v>Own Brand</v>
      </c>
      <c r="I542" t="str">
        <f>VLOOKUP(transactions_table8[[#This Row],[market_code]],markets_table!$A:$B,2,0)</f>
        <v>Mumbai</v>
      </c>
      <c r="J542" t="str">
        <f>VLOOKUP(transactions_table8[[#This Row],[market_code]],markets_table!$A:$C,3,0)</f>
        <v>Central</v>
      </c>
      <c r="K542" t="str">
        <f>VLOOKUP(transactions_table8[[#This Row],[customer_code]],customer_table!$A:$B,2,0)</f>
        <v>Logic Stores</v>
      </c>
      <c r="L542" t="str">
        <f>VLOOKUP(transactions_table8[[#This Row],[customer_code]],customer_table!$A:$C,3,0)</f>
        <v>Brick &amp; Mortar</v>
      </c>
      <c r="M542">
        <f>IF(TRIM(CLEAN(transactions_table8[[#This Row],[currency]]))="USD",transactions_table8[[#This Row],[sales_amount]]*83,transactions_table8[[#This Row],[sales_amount]])</f>
        <v>514</v>
      </c>
    </row>
    <row r="543" spans="1:13" x14ac:dyDescent="0.3">
      <c r="A543" t="s">
        <v>185</v>
      </c>
      <c r="B543" t="s">
        <v>16</v>
      </c>
      <c r="C543" t="s">
        <v>144</v>
      </c>
      <c r="D543" s="1">
        <v>43812</v>
      </c>
      <c r="E543">
        <v>4</v>
      </c>
      <c r="F543">
        <v>10352</v>
      </c>
      <c r="G543" t="s">
        <v>462</v>
      </c>
      <c r="H543" t="str">
        <f>VLOOKUP(A543, product_table!$A:$C, 3, 0)</f>
        <v>Own Brand</v>
      </c>
      <c r="I543" t="str">
        <f>VLOOKUP(transactions_table8[[#This Row],[market_code]],markets_table!$A:$B,2,0)</f>
        <v>Delhi NCR</v>
      </c>
      <c r="J543" t="str">
        <f>VLOOKUP(transactions_table8[[#This Row],[market_code]],markets_table!$A:$C,3,0)</f>
        <v>North</v>
      </c>
      <c r="K543" t="str">
        <f>VLOOKUP(transactions_table8[[#This Row],[customer_code]],customer_table!$A:$B,2,0)</f>
        <v>Info Stores</v>
      </c>
      <c r="L543" t="str">
        <f>VLOOKUP(transactions_table8[[#This Row],[customer_code]],customer_table!$A:$C,3,0)</f>
        <v>Brick &amp; Mortar</v>
      </c>
      <c r="M543">
        <f>IF(TRIM(CLEAN(transactions_table8[[#This Row],[currency]]))="USD",transactions_table8[[#This Row],[sales_amount]]*83,transactions_table8[[#This Row],[sales_amount]])</f>
        <v>10352</v>
      </c>
    </row>
    <row r="544" spans="1:13" x14ac:dyDescent="0.3">
      <c r="A544" t="s">
        <v>185</v>
      </c>
      <c r="B544" t="s">
        <v>16</v>
      </c>
      <c r="C544" t="s">
        <v>144</v>
      </c>
      <c r="D544" s="1">
        <v>43819</v>
      </c>
      <c r="E544">
        <v>1</v>
      </c>
      <c r="F544">
        <v>796</v>
      </c>
      <c r="G544" t="s">
        <v>462</v>
      </c>
      <c r="H544" t="str">
        <f>VLOOKUP(A544, product_table!$A:$C, 3, 0)</f>
        <v>Own Brand</v>
      </c>
      <c r="I544" t="str">
        <f>VLOOKUP(transactions_table8[[#This Row],[market_code]],markets_table!$A:$B,2,0)</f>
        <v>Delhi NCR</v>
      </c>
      <c r="J544" t="str">
        <f>VLOOKUP(transactions_table8[[#This Row],[market_code]],markets_table!$A:$C,3,0)</f>
        <v>North</v>
      </c>
      <c r="K544" t="str">
        <f>VLOOKUP(transactions_table8[[#This Row],[customer_code]],customer_table!$A:$B,2,0)</f>
        <v>Info Stores</v>
      </c>
      <c r="L544" t="str">
        <f>VLOOKUP(transactions_table8[[#This Row],[customer_code]],customer_table!$A:$C,3,0)</f>
        <v>Brick &amp; Mortar</v>
      </c>
      <c r="M544">
        <f>IF(TRIM(CLEAN(transactions_table8[[#This Row],[currency]]))="USD",transactions_table8[[#This Row],[sales_amount]]*83,transactions_table8[[#This Row],[sales_amount]])</f>
        <v>796</v>
      </c>
    </row>
    <row r="545" spans="1:13" x14ac:dyDescent="0.3">
      <c r="A545" t="s">
        <v>185</v>
      </c>
      <c r="B545" t="s">
        <v>34</v>
      </c>
      <c r="C545" t="s">
        <v>138</v>
      </c>
      <c r="D545" s="1">
        <v>43994</v>
      </c>
      <c r="E545">
        <v>1</v>
      </c>
      <c r="F545">
        <v>1028</v>
      </c>
      <c r="G545" t="s">
        <v>462</v>
      </c>
      <c r="H545" t="str">
        <f>VLOOKUP(A545, product_table!$A:$C, 3, 0)</f>
        <v>Own Brand</v>
      </c>
      <c r="I545" t="str">
        <f>VLOOKUP(transactions_table8[[#This Row],[market_code]],markets_table!$A:$B,2,0)</f>
        <v>Mumbai</v>
      </c>
      <c r="J545" t="str">
        <f>VLOOKUP(transactions_table8[[#This Row],[market_code]],markets_table!$A:$C,3,0)</f>
        <v>Central</v>
      </c>
      <c r="K545" t="str">
        <f>VLOOKUP(transactions_table8[[#This Row],[customer_code]],customer_table!$A:$B,2,0)</f>
        <v>Logic Stores</v>
      </c>
      <c r="L545" t="str">
        <f>VLOOKUP(transactions_table8[[#This Row],[customer_code]],customer_table!$A:$C,3,0)</f>
        <v>Brick &amp; Mortar</v>
      </c>
      <c r="M545">
        <f>IF(TRIM(CLEAN(transactions_table8[[#This Row],[currency]]))="USD",transactions_table8[[#This Row],[sales_amount]]*83,transactions_table8[[#This Row],[sales_amount]])</f>
        <v>1028</v>
      </c>
    </row>
    <row r="546" spans="1:13" x14ac:dyDescent="0.3">
      <c r="A546" t="s">
        <v>185</v>
      </c>
      <c r="B546" t="s">
        <v>34</v>
      </c>
      <c r="C546" t="s">
        <v>138</v>
      </c>
      <c r="D546" s="1">
        <v>43998</v>
      </c>
      <c r="E546">
        <v>1</v>
      </c>
      <c r="F546">
        <v>514</v>
      </c>
      <c r="G546" t="s">
        <v>462</v>
      </c>
      <c r="H546" t="str">
        <f>VLOOKUP(A546, product_table!$A:$C, 3, 0)</f>
        <v>Own Brand</v>
      </c>
      <c r="I546" t="str">
        <f>VLOOKUP(transactions_table8[[#This Row],[market_code]],markets_table!$A:$B,2,0)</f>
        <v>Mumbai</v>
      </c>
      <c r="J546" t="str">
        <f>VLOOKUP(transactions_table8[[#This Row],[market_code]],markets_table!$A:$C,3,0)</f>
        <v>Central</v>
      </c>
      <c r="K546" t="str">
        <f>VLOOKUP(transactions_table8[[#This Row],[customer_code]],customer_table!$A:$B,2,0)</f>
        <v>Logic Stores</v>
      </c>
      <c r="L546" t="str">
        <f>VLOOKUP(transactions_table8[[#This Row],[customer_code]],customer_table!$A:$C,3,0)</f>
        <v>Brick &amp; Mortar</v>
      </c>
      <c r="M546">
        <f>IF(TRIM(CLEAN(transactions_table8[[#This Row],[currency]]))="USD",transactions_table8[[#This Row],[sales_amount]]*83,transactions_table8[[#This Row],[sales_amount]])</f>
        <v>514</v>
      </c>
    </row>
    <row r="547" spans="1:13" x14ac:dyDescent="0.3">
      <c r="A547" t="s">
        <v>186</v>
      </c>
      <c r="B547" t="s">
        <v>40</v>
      </c>
      <c r="C547" t="s">
        <v>138</v>
      </c>
      <c r="D547" s="1">
        <v>43256</v>
      </c>
      <c r="E547">
        <v>33</v>
      </c>
      <c r="F547">
        <v>29648</v>
      </c>
      <c r="G547" t="s">
        <v>462</v>
      </c>
      <c r="H547" t="str">
        <f>VLOOKUP(A547, product_table!$A:$C, 3, 0)</f>
        <v>Own Brand</v>
      </c>
      <c r="I547" t="str">
        <f>VLOOKUP(transactions_table8[[#This Row],[market_code]],markets_table!$A:$B,2,0)</f>
        <v>Mumbai</v>
      </c>
      <c r="J547" t="str">
        <f>VLOOKUP(transactions_table8[[#This Row],[market_code]],markets_table!$A:$C,3,0)</f>
        <v>Central</v>
      </c>
      <c r="K547" t="str">
        <f>VLOOKUP(transactions_table8[[#This Row],[customer_code]],customer_table!$A:$B,2,0)</f>
        <v>Electricalsopedia Stores</v>
      </c>
      <c r="L547" t="str">
        <f>VLOOKUP(transactions_table8[[#This Row],[customer_code]],customer_table!$A:$C,3,0)</f>
        <v>Brick &amp; Mortar</v>
      </c>
      <c r="M547">
        <f>IF(TRIM(CLEAN(transactions_table8[[#This Row],[currency]]))="USD",transactions_table8[[#This Row],[sales_amount]]*83,transactions_table8[[#This Row],[sales_amount]])</f>
        <v>29648</v>
      </c>
    </row>
    <row r="548" spans="1:13" x14ac:dyDescent="0.3">
      <c r="A548" t="s">
        <v>187</v>
      </c>
      <c r="B548" t="s">
        <v>3</v>
      </c>
      <c r="C548" t="s">
        <v>135</v>
      </c>
      <c r="D548" s="1">
        <v>43018</v>
      </c>
      <c r="E548">
        <v>240</v>
      </c>
      <c r="F548">
        <v>143560</v>
      </c>
      <c r="G548" t="s">
        <v>462</v>
      </c>
      <c r="H548" t="str">
        <f>VLOOKUP(A548, product_table!$A:$C, 3, 0)</f>
        <v>Own Brand</v>
      </c>
      <c r="I548" t="str">
        <f>VLOOKUP(transactions_table8[[#This Row],[market_code]],markets_table!$A:$B,2,0)</f>
        <v>Chennai</v>
      </c>
      <c r="J548" t="str">
        <f>VLOOKUP(transactions_table8[[#This Row],[market_code]],markets_table!$A:$C,3,0)</f>
        <v>South</v>
      </c>
      <c r="K548" t="str">
        <f>VLOOKUP(transactions_table8[[#This Row],[customer_code]],customer_table!$A:$B,2,0)</f>
        <v>Surge Stores</v>
      </c>
      <c r="L548" t="str">
        <f>VLOOKUP(transactions_table8[[#This Row],[customer_code]],customer_table!$A:$C,3,0)</f>
        <v>Brick &amp; Mortar</v>
      </c>
      <c r="M548">
        <f>IF(TRIM(CLEAN(transactions_table8[[#This Row],[currency]]))="USD",transactions_table8[[#This Row],[sales_amount]]*83,transactions_table8[[#This Row],[sales_amount]])</f>
        <v>143560</v>
      </c>
    </row>
    <row r="549" spans="1:13" x14ac:dyDescent="0.3">
      <c r="A549" t="s">
        <v>187</v>
      </c>
      <c r="B549" t="s">
        <v>12</v>
      </c>
      <c r="C549" t="s">
        <v>144</v>
      </c>
      <c r="D549" s="1">
        <v>43019</v>
      </c>
      <c r="E549">
        <v>7</v>
      </c>
      <c r="F549">
        <v>6204</v>
      </c>
      <c r="G549" t="s">
        <v>462</v>
      </c>
      <c r="H549" t="str">
        <f>VLOOKUP(A549, product_table!$A:$C, 3, 0)</f>
        <v>Own Brand</v>
      </c>
      <c r="I549" t="str">
        <f>VLOOKUP(transactions_table8[[#This Row],[market_code]],markets_table!$A:$B,2,0)</f>
        <v>Delhi NCR</v>
      </c>
      <c r="J549" t="str">
        <f>VLOOKUP(transactions_table8[[#This Row],[market_code]],markets_table!$A:$C,3,0)</f>
        <v>North</v>
      </c>
      <c r="K549" t="str">
        <f>VLOOKUP(transactions_table8[[#This Row],[customer_code]],customer_table!$A:$B,2,0)</f>
        <v>Premium Stores</v>
      </c>
      <c r="L549" t="str">
        <f>VLOOKUP(transactions_table8[[#This Row],[customer_code]],customer_table!$A:$C,3,0)</f>
        <v>Brick &amp; Mortar</v>
      </c>
      <c r="M549">
        <f>IF(TRIM(CLEAN(transactions_table8[[#This Row],[currency]]))="USD",transactions_table8[[#This Row],[sales_amount]]*83,transactions_table8[[#This Row],[sales_amount]])</f>
        <v>6204</v>
      </c>
    </row>
    <row r="550" spans="1:13" x14ac:dyDescent="0.3">
      <c r="A550" t="s">
        <v>187</v>
      </c>
      <c r="B550" t="s">
        <v>16</v>
      </c>
      <c r="C550" t="s">
        <v>144</v>
      </c>
      <c r="D550" s="1">
        <v>43024</v>
      </c>
      <c r="E550">
        <v>1</v>
      </c>
      <c r="F550">
        <v>495</v>
      </c>
      <c r="G550" t="s">
        <v>462</v>
      </c>
      <c r="H550" t="str">
        <f>VLOOKUP(A550, product_table!$A:$C, 3, 0)</f>
        <v>Own Brand</v>
      </c>
      <c r="I550" t="str">
        <f>VLOOKUP(transactions_table8[[#This Row],[market_code]],markets_table!$A:$B,2,0)</f>
        <v>Delhi NCR</v>
      </c>
      <c r="J550" t="str">
        <f>VLOOKUP(transactions_table8[[#This Row],[market_code]],markets_table!$A:$C,3,0)</f>
        <v>North</v>
      </c>
      <c r="K550" t="str">
        <f>VLOOKUP(transactions_table8[[#This Row],[customer_code]],customer_table!$A:$B,2,0)</f>
        <v>Info Stores</v>
      </c>
      <c r="L550" t="str">
        <f>VLOOKUP(transactions_table8[[#This Row],[customer_code]],customer_table!$A:$C,3,0)</f>
        <v>Brick &amp; Mortar</v>
      </c>
      <c r="M550">
        <f>IF(TRIM(CLEAN(transactions_table8[[#This Row],[currency]]))="USD",transactions_table8[[#This Row],[sales_amount]]*83,transactions_table8[[#This Row],[sales_amount]])</f>
        <v>495</v>
      </c>
    </row>
    <row r="551" spans="1:13" x14ac:dyDescent="0.3">
      <c r="A551" t="s">
        <v>187</v>
      </c>
      <c r="B551" t="s">
        <v>14</v>
      </c>
      <c r="C551" t="s">
        <v>144</v>
      </c>
      <c r="D551" s="1">
        <v>43031</v>
      </c>
      <c r="E551">
        <v>20</v>
      </c>
      <c r="F551">
        <v>25130</v>
      </c>
      <c r="G551" t="s">
        <v>462</v>
      </c>
      <c r="H551" t="str">
        <f>VLOOKUP(A551, product_table!$A:$C, 3, 0)</f>
        <v>Own Brand</v>
      </c>
      <c r="I551" t="str">
        <f>VLOOKUP(transactions_table8[[#This Row],[market_code]],markets_table!$A:$B,2,0)</f>
        <v>Delhi NCR</v>
      </c>
      <c r="J551" t="str">
        <f>VLOOKUP(transactions_table8[[#This Row],[market_code]],markets_table!$A:$C,3,0)</f>
        <v>North</v>
      </c>
      <c r="K551" t="str">
        <f>VLOOKUP(transactions_table8[[#This Row],[customer_code]],customer_table!$A:$B,2,0)</f>
        <v>Electricalsara Stores</v>
      </c>
      <c r="L551" t="str">
        <f>VLOOKUP(transactions_table8[[#This Row],[customer_code]],customer_table!$A:$C,3,0)</f>
        <v>Brick &amp; Mortar</v>
      </c>
      <c r="M551">
        <f>IF(TRIM(CLEAN(transactions_table8[[#This Row],[currency]]))="USD",transactions_table8[[#This Row],[sales_amount]]*83,transactions_table8[[#This Row],[sales_amount]])</f>
        <v>25130</v>
      </c>
    </row>
    <row r="552" spans="1:13" x14ac:dyDescent="0.3">
      <c r="A552" t="s">
        <v>187</v>
      </c>
      <c r="B552" t="s">
        <v>16</v>
      </c>
      <c r="C552" t="s">
        <v>144</v>
      </c>
      <c r="D552" s="1">
        <v>43033</v>
      </c>
      <c r="E552">
        <v>1</v>
      </c>
      <c r="F552">
        <v>986</v>
      </c>
      <c r="G552" t="s">
        <v>462</v>
      </c>
      <c r="H552" t="str">
        <f>VLOOKUP(A552, product_table!$A:$C, 3, 0)</f>
        <v>Own Brand</v>
      </c>
      <c r="I552" t="str">
        <f>VLOOKUP(transactions_table8[[#This Row],[market_code]],markets_table!$A:$B,2,0)</f>
        <v>Delhi NCR</v>
      </c>
      <c r="J552" t="str">
        <f>VLOOKUP(transactions_table8[[#This Row],[market_code]],markets_table!$A:$C,3,0)</f>
        <v>North</v>
      </c>
      <c r="K552" t="str">
        <f>VLOOKUP(transactions_table8[[#This Row],[customer_code]],customer_table!$A:$B,2,0)</f>
        <v>Info Stores</v>
      </c>
      <c r="L552" t="str">
        <f>VLOOKUP(transactions_table8[[#This Row],[customer_code]],customer_table!$A:$C,3,0)</f>
        <v>Brick &amp; Mortar</v>
      </c>
      <c r="M552">
        <f>IF(TRIM(CLEAN(transactions_table8[[#This Row],[currency]]))="USD",transactions_table8[[#This Row],[sales_amount]]*83,transactions_table8[[#This Row],[sales_amount]])</f>
        <v>986</v>
      </c>
    </row>
    <row r="553" spans="1:13" x14ac:dyDescent="0.3">
      <c r="A553" t="s">
        <v>187</v>
      </c>
      <c r="B553" t="s">
        <v>42</v>
      </c>
      <c r="C553" t="s">
        <v>144</v>
      </c>
      <c r="D553" s="1">
        <v>43041</v>
      </c>
      <c r="E553">
        <v>13</v>
      </c>
      <c r="F553">
        <v>23898</v>
      </c>
      <c r="G553" t="s">
        <v>462</v>
      </c>
      <c r="H553" t="str">
        <f>VLOOKUP(A553, product_table!$A:$C, 3, 0)</f>
        <v>Own Brand</v>
      </c>
      <c r="I553" t="str">
        <f>VLOOKUP(transactions_table8[[#This Row],[market_code]],markets_table!$A:$B,2,0)</f>
        <v>Delhi NCR</v>
      </c>
      <c r="J553" t="str">
        <f>VLOOKUP(transactions_table8[[#This Row],[market_code]],markets_table!$A:$C,3,0)</f>
        <v>North</v>
      </c>
      <c r="K553" t="str">
        <f>VLOOKUP(transactions_table8[[#This Row],[customer_code]],customer_table!$A:$B,2,0)</f>
        <v>Nixon</v>
      </c>
      <c r="L553" t="str">
        <f>VLOOKUP(transactions_table8[[#This Row],[customer_code]],customer_table!$A:$C,3,0)</f>
        <v>E-Commerce</v>
      </c>
      <c r="M553">
        <f>IF(TRIM(CLEAN(transactions_table8[[#This Row],[currency]]))="USD",transactions_table8[[#This Row],[sales_amount]]*83,transactions_table8[[#This Row],[sales_amount]])</f>
        <v>23898</v>
      </c>
    </row>
    <row r="554" spans="1:13" x14ac:dyDescent="0.3">
      <c r="A554" t="s">
        <v>187</v>
      </c>
      <c r="B554" t="s">
        <v>12</v>
      </c>
      <c r="C554" t="s">
        <v>144</v>
      </c>
      <c r="D554" s="1">
        <v>43042</v>
      </c>
      <c r="E554">
        <v>1</v>
      </c>
      <c r="F554">
        <v>296</v>
      </c>
      <c r="G554" t="s">
        <v>462</v>
      </c>
      <c r="H554" t="str">
        <f>VLOOKUP(A554, product_table!$A:$C, 3, 0)</f>
        <v>Own Brand</v>
      </c>
      <c r="I554" t="str">
        <f>VLOOKUP(transactions_table8[[#This Row],[market_code]],markets_table!$A:$B,2,0)</f>
        <v>Delhi NCR</v>
      </c>
      <c r="J554" t="str">
        <f>VLOOKUP(transactions_table8[[#This Row],[market_code]],markets_table!$A:$C,3,0)</f>
        <v>North</v>
      </c>
      <c r="K554" t="str">
        <f>VLOOKUP(transactions_table8[[#This Row],[customer_code]],customer_table!$A:$B,2,0)</f>
        <v>Premium Stores</v>
      </c>
      <c r="L554" t="str">
        <f>VLOOKUP(transactions_table8[[#This Row],[customer_code]],customer_table!$A:$C,3,0)</f>
        <v>Brick &amp; Mortar</v>
      </c>
      <c r="M554">
        <f>IF(TRIM(CLEAN(transactions_table8[[#This Row],[currency]]))="USD",transactions_table8[[#This Row],[sales_amount]]*83,transactions_table8[[#This Row],[sales_amount]])</f>
        <v>296</v>
      </c>
    </row>
    <row r="555" spans="1:13" x14ac:dyDescent="0.3">
      <c r="A555" t="s">
        <v>187</v>
      </c>
      <c r="B555" t="s">
        <v>14</v>
      </c>
      <c r="C555" t="s">
        <v>144</v>
      </c>
      <c r="D555" s="1">
        <v>43047</v>
      </c>
      <c r="E555">
        <v>1</v>
      </c>
      <c r="F555">
        <v>356</v>
      </c>
      <c r="G555" t="s">
        <v>462</v>
      </c>
      <c r="H555" t="str">
        <f>VLOOKUP(A555, product_table!$A:$C, 3, 0)</f>
        <v>Own Brand</v>
      </c>
      <c r="I555" t="str">
        <f>VLOOKUP(transactions_table8[[#This Row],[market_code]],markets_table!$A:$B,2,0)</f>
        <v>Delhi NCR</v>
      </c>
      <c r="J555" t="str">
        <f>VLOOKUP(transactions_table8[[#This Row],[market_code]],markets_table!$A:$C,3,0)</f>
        <v>North</v>
      </c>
      <c r="K555" t="str">
        <f>VLOOKUP(transactions_table8[[#This Row],[customer_code]],customer_table!$A:$B,2,0)</f>
        <v>Electricalsara Stores</v>
      </c>
      <c r="L555" t="str">
        <f>VLOOKUP(transactions_table8[[#This Row],[customer_code]],customer_table!$A:$C,3,0)</f>
        <v>Brick &amp; Mortar</v>
      </c>
      <c r="M555">
        <f>IF(TRIM(CLEAN(transactions_table8[[#This Row],[currency]]))="USD",transactions_table8[[#This Row],[sales_amount]]*83,transactions_table8[[#This Row],[sales_amount]])</f>
        <v>356</v>
      </c>
    </row>
    <row r="556" spans="1:13" x14ac:dyDescent="0.3">
      <c r="A556" t="s">
        <v>187</v>
      </c>
      <c r="B556" t="s">
        <v>16</v>
      </c>
      <c r="C556" t="s">
        <v>144</v>
      </c>
      <c r="D556" s="1">
        <v>43053</v>
      </c>
      <c r="E556">
        <v>1</v>
      </c>
      <c r="F556">
        <v>1977</v>
      </c>
      <c r="G556" t="s">
        <v>462</v>
      </c>
      <c r="H556" t="str">
        <f>VLOOKUP(A556, product_table!$A:$C, 3, 0)</f>
        <v>Own Brand</v>
      </c>
      <c r="I556" t="str">
        <f>VLOOKUP(transactions_table8[[#This Row],[market_code]],markets_table!$A:$B,2,0)</f>
        <v>Delhi NCR</v>
      </c>
      <c r="J556" t="str">
        <f>VLOOKUP(transactions_table8[[#This Row],[market_code]],markets_table!$A:$C,3,0)</f>
        <v>North</v>
      </c>
      <c r="K556" t="str">
        <f>VLOOKUP(transactions_table8[[#This Row],[customer_code]],customer_table!$A:$B,2,0)</f>
        <v>Info Stores</v>
      </c>
      <c r="L556" t="str">
        <f>VLOOKUP(transactions_table8[[#This Row],[customer_code]],customer_table!$A:$C,3,0)</f>
        <v>Brick &amp; Mortar</v>
      </c>
      <c r="M556">
        <f>IF(TRIM(CLEAN(transactions_table8[[#This Row],[currency]]))="USD",transactions_table8[[#This Row],[sales_amount]]*83,transactions_table8[[#This Row],[sales_amount]])</f>
        <v>1977</v>
      </c>
    </row>
    <row r="557" spans="1:13" x14ac:dyDescent="0.3">
      <c r="A557" t="s">
        <v>187</v>
      </c>
      <c r="B557" t="s">
        <v>12</v>
      </c>
      <c r="C557" t="s">
        <v>144</v>
      </c>
      <c r="D557" s="1">
        <v>43061</v>
      </c>
      <c r="E557">
        <v>1</v>
      </c>
      <c r="F557">
        <v>296</v>
      </c>
      <c r="G557" t="s">
        <v>462</v>
      </c>
      <c r="H557" t="str">
        <f>VLOOKUP(A557, product_table!$A:$C, 3, 0)</f>
        <v>Own Brand</v>
      </c>
      <c r="I557" t="str">
        <f>VLOOKUP(transactions_table8[[#This Row],[market_code]],markets_table!$A:$B,2,0)</f>
        <v>Delhi NCR</v>
      </c>
      <c r="J557" t="str">
        <f>VLOOKUP(transactions_table8[[#This Row],[market_code]],markets_table!$A:$C,3,0)</f>
        <v>North</v>
      </c>
      <c r="K557" t="str">
        <f>VLOOKUP(transactions_table8[[#This Row],[customer_code]],customer_table!$A:$B,2,0)</f>
        <v>Premium Stores</v>
      </c>
      <c r="L557" t="str">
        <f>VLOOKUP(transactions_table8[[#This Row],[customer_code]],customer_table!$A:$C,3,0)</f>
        <v>Brick &amp; Mortar</v>
      </c>
      <c r="M557">
        <f>IF(TRIM(CLEAN(transactions_table8[[#This Row],[currency]]))="USD",transactions_table8[[#This Row],[sales_amount]]*83,transactions_table8[[#This Row],[sales_amount]])</f>
        <v>296</v>
      </c>
    </row>
    <row r="558" spans="1:13" x14ac:dyDescent="0.3">
      <c r="A558" t="s">
        <v>187</v>
      </c>
      <c r="B558" t="s">
        <v>14</v>
      </c>
      <c r="C558" t="s">
        <v>144</v>
      </c>
      <c r="D558" s="1">
        <v>43061</v>
      </c>
      <c r="E558">
        <v>7</v>
      </c>
      <c r="F558">
        <v>8375</v>
      </c>
      <c r="G558" t="s">
        <v>462</v>
      </c>
      <c r="H558" t="str">
        <f>VLOOKUP(A558, product_table!$A:$C, 3, 0)</f>
        <v>Own Brand</v>
      </c>
      <c r="I558" t="str">
        <f>VLOOKUP(transactions_table8[[#This Row],[market_code]],markets_table!$A:$B,2,0)</f>
        <v>Delhi NCR</v>
      </c>
      <c r="J558" t="str">
        <f>VLOOKUP(transactions_table8[[#This Row],[market_code]],markets_table!$A:$C,3,0)</f>
        <v>North</v>
      </c>
      <c r="K558" t="str">
        <f>VLOOKUP(transactions_table8[[#This Row],[customer_code]],customer_table!$A:$B,2,0)</f>
        <v>Electricalsara Stores</v>
      </c>
      <c r="L558" t="str">
        <f>VLOOKUP(transactions_table8[[#This Row],[customer_code]],customer_table!$A:$C,3,0)</f>
        <v>Brick &amp; Mortar</v>
      </c>
      <c r="M558">
        <f>IF(TRIM(CLEAN(transactions_table8[[#This Row],[currency]]))="USD",transactions_table8[[#This Row],[sales_amount]]*83,transactions_table8[[#This Row],[sales_amount]])</f>
        <v>8375</v>
      </c>
    </row>
    <row r="559" spans="1:13" x14ac:dyDescent="0.3">
      <c r="A559" t="s">
        <v>187</v>
      </c>
      <c r="B559" t="s">
        <v>42</v>
      </c>
      <c r="C559" t="s">
        <v>144</v>
      </c>
      <c r="D559" s="1">
        <v>43074</v>
      </c>
      <c r="E559">
        <v>4</v>
      </c>
      <c r="F559">
        <v>7171</v>
      </c>
      <c r="G559" t="s">
        <v>462</v>
      </c>
      <c r="H559" t="str">
        <f>VLOOKUP(A559, product_table!$A:$C, 3, 0)</f>
        <v>Own Brand</v>
      </c>
      <c r="I559" t="str">
        <f>VLOOKUP(transactions_table8[[#This Row],[market_code]],markets_table!$A:$B,2,0)</f>
        <v>Delhi NCR</v>
      </c>
      <c r="J559" t="str">
        <f>VLOOKUP(transactions_table8[[#This Row],[market_code]],markets_table!$A:$C,3,0)</f>
        <v>North</v>
      </c>
      <c r="K559" t="str">
        <f>VLOOKUP(transactions_table8[[#This Row],[customer_code]],customer_table!$A:$B,2,0)</f>
        <v>Nixon</v>
      </c>
      <c r="L559" t="str">
        <f>VLOOKUP(transactions_table8[[#This Row],[customer_code]],customer_table!$A:$C,3,0)</f>
        <v>E-Commerce</v>
      </c>
      <c r="M559">
        <f>IF(TRIM(CLEAN(transactions_table8[[#This Row],[currency]]))="USD",transactions_table8[[#This Row],[sales_amount]]*83,transactions_table8[[#This Row],[sales_amount]])</f>
        <v>7171</v>
      </c>
    </row>
    <row r="560" spans="1:13" x14ac:dyDescent="0.3">
      <c r="A560" t="s">
        <v>187</v>
      </c>
      <c r="B560" t="s">
        <v>14</v>
      </c>
      <c r="C560" t="s">
        <v>144</v>
      </c>
      <c r="D560" s="1">
        <v>43084</v>
      </c>
      <c r="E560">
        <v>1</v>
      </c>
      <c r="F560">
        <v>356</v>
      </c>
      <c r="G560" t="s">
        <v>462</v>
      </c>
      <c r="H560" t="str">
        <f>VLOOKUP(A560, product_table!$A:$C, 3, 0)</f>
        <v>Own Brand</v>
      </c>
      <c r="I560" t="str">
        <f>VLOOKUP(transactions_table8[[#This Row],[market_code]],markets_table!$A:$B,2,0)</f>
        <v>Delhi NCR</v>
      </c>
      <c r="J560" t="str">
        <f>VLOOKUP(transactions_table8[[#This Row],[market_code]],markets_table!$A:$C,3,0)</f>
        <v>North</v>
      </c>
      <c r="K560" t="str">
        <f>VLOOKUP(transactions_table8[[#This Row],[customer_code]],customer_table!$A:$B,2,0)</f>
        <v>Electricalsara Stores</v>
      </c>
      <c r="L560" t="str">
        <f>VLOOKUP(transactions_table8[[#This Row],[customer_code]],customer_table!$A:$C,3,0)</f>
        <v>Brick &amp; Mortar</v>
      </c>
      <c r="M560">
        <f>IF(TRIM(CLEAN(transactions_table8[[#This Row],[currency]]))="USD",transactions_table8[[#This Row],[sales_amount]]*83,transactions_table8[[#This Row],[sales_amount]])</f>
        <v>356</v>
      </c>
    </row>
    <row r="561" spans="1:13" x14ac:dyDescent="0.3">
      <c r="A561" t="s">
        <v>187</v>
      </c>
      <c r="B561" t="s">
        <v>14</v>
      </c>
      <c r="C561" t="s">
        <v>144</v>
      </c>
      <c r="D561" s="1">
        <v>43115</v>
      </c>
      <c r="E561">
        <v>1</v>
      </c>
      <c r="F561">
        <v>356</v>
      </c>
      <c r="G561" t="s">
        <v>462</v>
      </c>
      <c r="H561" t="str">
        <f>VLOOKUP(A561, product_table!$A:$C, 3, 0)</f>
        <v>Own Brand</v>
      </c>
      <c r="I561" t="str">
        <f>VLOOKUP(transactions_table8[[#This Row],[market_code]],markets_table!$A:$B,2,0)</f>
        <v>Delhi NCR</v>
      </c>
      <c r="J561" t="str">
        <f>VLOOKUP(transactions_table8[[#This Row],[market_code]],markets_table!$A:$C,3,0)</f>
        <v>North</v>
      </c>
      <c r="K561" t="str">
        <f>VLOOKUP(transactions_table8[[#This Row],[customer_code]],customer_table!$A:$B,2,0)</f>
        <v>Electricalsara Stores</v>
      </c>
      <c r="L561" t="str">
        <f>VLOOKUP(transactions_table8[[#This Row],[customer_code]],customer_table!$A:$C,3,0)</f>
        <v>Brick &amp; Mortar</v>
      </c>
      <c r="M561">
        <f>IF(TRIM(CLEAN(transactions_table8[[#This Row],[currency]]))="USD",transactions_table8[[#This Row],[sales_amount]]*83,transactions_table8[[#This Row],[sales_amount]])</f>
        <v>356</v>
      </c>
    </row>
    <row r="562" spans="1:13" x14ac:dyDescent="0.3">
      <c r="A562" t="s">
        <v>187</v>
      </c>
      <c r="B562" t="s">
        <v>14</v>
      </c>
      <c r="C562" t="s">
        <v>144</v>
      </c>
      <c r="D562" s="1">
        <v>43122</v>
      </c>
      <c r="E562">
        <v>7</v>
      </c>
      <c r="F562">
        <v>8375</v>
      </c>
      <c r="G562" t="s">
        <v>462</v>
      </c>
      <c r="H562" t="str">
        <f>VLOOKUP(A562, product_table!$A:$C, 3, 0)</f>
        <v>Own Brand</v>
      </c>
      <c r="I562" t="str">
        <f>VLOOKUP(transactions_table8[[#This Row],[market_code]],markets_table!$A:$B,2,0)</f>
        <v>Delhi NCR</v>
      </c>
      <c r="J562" t="str">
        <f>VLOOKUP(transactions_table8[[#This Row],[market_code]],markets_table!$A:$C,3,0)</f>
        <v>North</v>
      </c>
      <c r="K562" t="str">
        <f>VLOOKUP(transactions_table8[[#This Row],[customer_code]],customer_table!$A:$B,2,0)</f>
        <v>Electricalsara Stores</v>
      </c>
      <c r="L562" t="str">
        <f>VLOOKUP(transactions_table8[[#This Row],[customer_code]],customer_table!$A:$C,3,0)</f>
        <v>Brick &amp; Mortar</v>
      </c>
      <c r="M562">
        <f>IF(TRIM(CLEAN(transactions_table8[[#This Row],[currency]]))="USD",transactions_table8[[#This Row],[sales_amount]]*83,transactions_table8[[#This Row],[sales_amount]])</f>
        <v>8375</v>
      </c>
    </row>
    <row r="563" spans="1:13" x14ac:dyDescent="0.3">
      <c r="A563" t="s">
        <v>187</v>
      </c>
      <c r="B563" t="s">
        <v>16</v>
      </c>
      <c r="C563" t="s">
        <v>144</v>
      </c>
      <c r="D563" s="1">
        <v>43137</v>
      </c>
      <c r="E563">
        <v>208</v>
      </c>
      <c r="F563">
        <v>77931</v>
      </c>
      <c r="G563" t="s">
        <v>462</v>
      </c>
      <c r="H563" t="str">
        <f>VLOOKUP(A563, product_table!$A:$C, 3, 0)</f>
        <v>Own Brand</v>
      </c>
      <c r="I563" t="str">
        <f>VLOOKUP(transactions_table8[[#This Row],[market_code]],markets_table!$A:$B,2,0)</f>
        <v>Delhi NCR</v>
      </c>
      <c r="J563" t="str">
        <f>VLOOKUP(transactions_table8[[#This Row],[market_code]],markets_table!$A:$C,3,0)</f>
        <v>North</v>
      </c>
      <c r="K563" t="str">
        <f>VLOOKUP(transactions_table8[[#This Row],[customer_code]],customer_table!$A:$B,2,0)</f>
        <v>Info Stores</v>
      </c>
      <c r="L563" t="str">
        <f>VLOOKUP(transactions_table8[[#This Row],[customer_code]],customer_table!$A:$C,3,0)</f>
        <v>Brick &amp; Mortar</v>
      </c>
      <c r="M563">
        <f>IF(TRIM(CLEAN(transactions_table8[[#This Row],[currency]]))="USD",transactions_table8[[#This Row],[sales_amount]]*83,transactions_table8[[#This Row],[sales_amount]])</f>
        <v>77931</v>
      </c>
    </row>
    <row r="564" spans="1:13" x14ac:dyDescent="0.3">
      <c r="A564" t="s">
        <v>187</v>
      </c>
      <c r="B564" t="s">
        <v>16</v>
      </c>
      <c r="C564" t="s">
        <v>144</v>
      </c>
      <c r="D564" s="1">
        <v>43139</v>
      </c>
      <c r="E564">
        <v>105</v>
      </c>
      <c r="F564">
        <v>40704</v>
      </c>
      <c r="G564" t="s">
        <v>462</v>
      </c>
      <c r="H564" t="str">
        <f>VLOOKUP(A564, product_table!$A:$C, 3, 0)</f>
        <v>Own Brand</v>
      </c>
      <c r="I564" t="str">
        <f>VLOOKUP(transactions_table8[[#This Row],[market_code]],markets_table!$A:$B,2,0)</f>
        <v>Delhi NCR</v>
      </c>
      <c r="J564" t="str">
        <f>VLOOKUP(transactions_table8[[#This Row],[market_code]],markets_table!$A:$C,3,0)</f>
        <v>North</v>
      </c>
      <c r="K564" t="str">
        <f>VLOOKUP(transactions_table8[[#This Row],[customer_code]],customer_table!$A:$B,2,0)</f>
        <v>Info Stores</v>
      </c>
      <c r="L564" t="str">
        <f>VLOOKUP(transactions_table8[[#This Row],[customer_code]],customer_table!$A:$C,3,0)</f>
        <v>Brick &amp; Mortar</v>
      </c>
      <c r="M564">
        <f>IF(TRIM(CLEAN(transactions_table8[[#This Row],[currency]]))="USD",transactions_table8[[#This Row],[sales_amount]]*83,transactions_table8[[#This Row],[sales_amount]])</f>
        <v>40704</v>
      </c>
    </row>
    <row r="565" spans="1:13" x14ac:dyDescent="0.3">
      <c r="A565" t="s">
        <v>187</v>
      </c>
      <c r="B565" t="s">
        <v>16</v>
      </c>
      <c r="C565" t="s">
        <v>144</v>
      </c>
      <c r="D565" s="1">
        <v>43140</v>
      </c>
      <c r="E565">
        <v>125</v>
      </c>
      <c r="F565">
        <v>47074</v>
      </c>
      <c r="G565" t="s">
        <v>462</v>
      </c>
      <c r="H565" t="str">
        <f>VLOOKUP(A565, product_table!$A:$C, 3, 0)</f>
        <v>Own Brand</v>
      </c>
      <c r="I565" t="str">
        <f>VLOOKUP(transactions_table8[[#This Row],[market_code]],markets_table!$A:$B,2,0)</f>
        <v>Delhi NCR</v>
      </c>
      <c r="J565" t="str">
        <f>VLOOKUP(transactions_table8[[#This Row],[market_code]],markets_table!$A:$C,3,0)</f>
        <v>North</v>
      </c>
      <c r="K565" t="str">
        <f>VLOOKUP(transactions_table8[[#This Row],[customer_code]],customer_table!$A:$B,2,0)</f>
        <v>Info Stores</v>
      </c>
      <c r="L565" t="str">
        <f>VLOOKUP(transactions_table8[[#This Row],[customer_code]],customer_table!$A:$C,3,0)</f>
        <v>Brick &amp; Mortar</v>
      </c>
      <c r="M565">
        <f>IF(TRIM(CLEAN(transactions_table8[[#This Row],[currency]]))="USD",transactions_table8[[#This Row],[sales_amount]]*83,transactions_table8[[#This Row],[sales_amount]])</f>
        <v>47074</v>
      </c>
    </row>
    <row r="566" spans="1:13" x14ac:dyDescent="0.3">
      <c r="A566" t="s">
        <v>187</v>
      </c>
      <c r="B566" t="s">
        <v>16</v>
      </c>
      <c r="C566" t="s">
        <v>144</v>
      </c>
      <c r="D566" s="1">
        <v>43145</v>
      </c>
      <c r="E566">
        <v>10</v>
      </c>
      <c r="F566">
        <v>4028</v>
      </c>
      <c r="G566" t="s">
        <v>462</v>
      </c>
      <c r="H566" t="str">
        <f>VLOOKUP(A566, product_table!$A:$C, 3, 0)</f>
        <v>Own Brand</v>
      </c>
      <c r="I566" t="str">
        <f>VLOOKUP(transactions_table8[[#This Row],[market_code]],markets_table!$A:$B,2,0)</f>
        <v>Delhi NCR</v>
      </c>
      <c r="J566" t="str">
        <f>VLOOKUP(transactions_table8[[#This Row],[market_code]],markets_table!$A:$C,3,0)</f>
        <v>North</v>
      </c>
      <c r="K566" t="str">
        <f>VLOOKUP(transactions_table8[[#This Row],[customer_code]],customer_table!$A:$B,2,0)</f>
        <v>Info Stores</v>
      </c>
      <c r="L566" t="str">
        <f>VLOOKUP(transactions_table8[[#This Row],[customer_code]],customer_table!$A:$C,3,0)</f>
        <v>Brick &amp; Mortar</v>
      </c>
      <c r="M566">
        <f>IF(TRIM(CLEAN(transactions_table8[[#This Row],[currency]]))="USD",transactions_table8[[#This Row],[sales_amount]]*83,transactions_table8[[#This Row],[sales_amount]])</f>
        <v>4028</v>
      </c>
    </row>
    <row r="567" spans="1:13" x14ac:dyDescent="0.3">
      <c r="A567" t="s">
        <v>187</v>
      </c>
      <c r="B567" t="s">
        <v>6</v>
      </c>
      <c r="C567" t="s">
        <v>138</v>
      </c>
      <c r="D567" s="1">
        <v>43214</v>
      </c>
      <c r="E567">
        <v>33</v>
      </c>
      <c r="F567">
        <v>30167</v>
      </c>
      <c r="G567" t="s">
        <v>462</v>
      </c>
      <c r="H567" t="str">
        <f>VLOOKUP(A567, product_table!$A:$C, 3, 0)</f>
        <v>Own Brand</v>
      </c>
      <c r="I567" t="str">
        <f>VLOOKUP(transactions_table8[[#This Row],[market_code]],markets_table!$A:$B,2,0)</f>
        <v>Mumbai</v>
      </c>
      <c r="J567" t="str">
        <f>VLOOKUP(transactions_table8[[#This Row],[market_code]],markets_table!$A:$C,3,0)</f>
        <v>Central</v>
      </c>
      <c r="K567" t="str">
        <f>VLOOKUP(transactions_table8[[#This Row],[customer_code]],customer_table!$A:$B,2,0)</f>
        <v>Nomad Stores</v>
      </c>
      <c r="L567" t="str">
        <f>VLOOKUP(transactions_table8[[#This Row],[customer_code]],customer_table!$A:$C,3,0)</f>
        <v>Brick &amp; Mortar</v>
      </c>
      <c r="M567">
        <f>IF(TRIM(CLEAN(transactions_table8[[#This Row],[currency]]))="USD",transactions_table8[[#This Row],[sales_amount]]*83,transactions_table8[[#This Row],[sales_amount]])</f>
        <v>30167</v>
      </c>
    </row>
    <row r="568" spans="1:13" x14ac:dyDescent="0.3">
      <c r="A568" t="s">
        <v>187</v>
      </c>
      <c r="B568" t="s">
        <v>16</v>
      </c>
      <c r="C568" t="s">
        <v>144</v>
      </c>
      <c r="D568" s="1">
        <v>43244</v>
      </c>
      <c r="E568">
        <v>6</v>
      </c>
      <c r="F568">
        <v>1968</v>
      </c>
      <c r="G568" t="s">
        <v>462</v>
      </c>
      <c r="H568" t="str">
        <f>VLOOKUP(A568, product_table!$A:$C, 3, 0)</f>
        <v>Own Brand</v>
      </c>
      <c r="I568" t="str">
        <f>VLOOKUP(transactions_table8[[#This Row],[market_code]],markets_table!$A:$B,2,0)</f>
        <v>Delhi NCR</v>
      </c>
      <c r="J568" t="str">
        <f>VLOOKUP(transactions_table8[[#This Row],[market_code]],markets_table!$A:$C,3,0)</f>
        <v>North</v>
      </c>
      <c r="K568" t="str">
        <f>VLOOKUP(transactions_table8[[#This Row],[customer_code]],customer_table!$A:$B,2,0)</f>
        <v>Info Stores</v>
      </c>
      <c r="L568" t="str">
        <f>VLOOKUP(transactions_table8[[#This Row],[customer_code]],customer_table!$A:$C,3,0)</f>
        <v>Brick &amp; Mortar</v>
      </c>
      <c r="M568">
        <f>IF(TRIM(CLEAN(transactions_table8[[#This Row],[currency]]))="USD",transactions_table8[[#This Row],[sales_amount]]*83,transactions_table8[[#This Row],[sales_amount]])</f>
        <v>1968</v>
      </c>
    </row>
    <row r="569" spans="1:13" x14ac:dyDescent="0.3">
      <c r="A569" t="s">
        <v>188</v>
      </c>
      <c r="B569" t="s">
        <v>16</v>
      </c>
      <c r="C569" t="s">
        <v>144</v>
      </c>
      <c r="D569" s="1">
        <v>43059</v>
      </c>
      <c r="E569">
        <v>3</v>
      </c>
      <c r="F569">
        <v>1366</v>
      </c>
      <c r="G569" t="s">
        <v>462</v>
      </c>
      <c r="H569" t="str">
        <f>VLOOKUP(A569, product_table!$A:$C, 3, 0)</f>
        <v>Own Brand</v>
      </c>
      <c r="I569" t="str">
        <f>VLOOKUP(transactions_table8[[#This Row],[market_code]],markets_table!$A:$B,2,0)</f>
        <v>Delhi NCR</v>
      </c>
      <c r="J569" t="str">
        <f>VLOOKUP(transactions_table8[[#This Row],[market_code]],markets_table!$A:$C,3,0)</f>
        <v>North</v>
      </c>
      <c r="K569" t="str">
        <f>VLOOKUP(transactions_table8[[#This Row],[customer_code]],customer_table!$A:$B,2,0)</f>
        <v>Info Stores</v>
      </c>
      <c r="L569" t="str">
        <f>VLOOKUP(transactions_table8[[#This Row],[customer_code]],customer_table!$A:$C,3,0)</f>
        <v>Brick &amp; Mortar</v>
      </c>
      <c r="M569">
        <f>IF(TRIM(CLEAN(transactions_table8[[#This Row],[currency]]))="USD",transactions_table8[[#This Row],[sales_amount]]*83,transactions_table8[[#This Row],[sales_amount]])</f>
        <v>1366</v>
      </c>
    </row>
    <row r="570" spans="1:13" x14ac:dyDescent="0.3">
      <c r="A570" t="s">
        <v>188</v>
      </c>
      <c r="B570" t="s">
        <v>16</v>
      </c>
      <c r="C570" t="s">
        <v>144</v>
      </c>
      <c r="D570" s="1">
        <v>43070</v>
      </c>
      <c r="E570">
        <v>1</v>
      </c>
      <c r="F570">
        <v>495</v>
      </c>
      <c r="G570" t="s">
        <v>462</v>
      </c>
      <c r="H570" t="str">
        <f>VLOOKUP(A570, product_table!$A:$C, 3, 0)</f>
        <v>Own Brand</v>
      </c>
      <c r="I570" t="str">
        <f>VLOOKUP(transactions_table8[[#This Row],[market_code]],markets_table!$A:$B,2,0)</f>
        <v>Delhi NCR</v>
      </c>
      <c r="J570" t="str">
        <f>VLOOKUP(transactions_table8[[#This Row],[market_code]],markets_table!$A:$C,3,0)</f>
        <v>North</v>
      </c>
      <c r="K570" t="str">
        <f>VLOOKUP(transactions_table8[[#This Row],[customer_code]],customer_table!$A:$B,2,0)</f>
        <v>Info Stores</v>
      </c>
      <c r="L570" t="str">
        <f>VLOOKUP(transactions_table8[[#This Row],[customer_code]],customer_table!$A:$C,3,0)</f>
        <v>Brick &amp; Mortar</v>
      </c>
      <c r="M570">
        <f>IF(TRIM(CLEAN(transactions_table8[[#This Row],[currency]]))="USD",transactions_table8[[#This Row],[sales_amount]]*83,transactions_table8[[#This Row],[sales_amount]])</f>
        <v>495</v>
      </c>
    </row>
    <row r="571" spans="1:13" x14ac:dyDescent="0.3">
      <c r="A571" t="s">
        <v>188</v>
      </c>
      <c r="B571" t="s">
        <v>16</v>
      </c>
      <c r="C571" t="s">
        <v>144</v>
      </c>
      <c r="D571" s="1">
        <v>43181</v>
      </c>
      <c r="E571">
        <v>17</v>
      </c>
      <c r="F571">
        <v>6713</v>
      </c>
      <c r="G571" t="s">
        <v>462</v>
      </c>
      <c r="H571" t="str">
        <f>VLOOKUP(A571, product_table!$A:$C, 3, 0)</f>
        <v>Own Brand</v>
      </c>
      <c r="I571" t="str">
        <f>VLOOKUP(transactions_table8[[#This Row],[market_code]],markets_table!$A:$B,2,0)</f>
        <v>Delhi NCR</v>
      </c>
      <c r="J571" t="str">
        <f>VLOOKUP(transactions_table8[[#This Row],[market_code]],markets_table!$A:$C,3,0)</f>
        <v>North</v>
      </c>
      <c r="K571" t="str">
        <f>VLOOKUP(transactions_table8[[#This Row],[customer_code]],customer_table!$A:$B,2,0)</f>
        <v>Info Stores</v>
      </c>
      <c r="L571" t="str">
        <f>VLOOKUP(transactions_table8[[#This Row],[customer_code]],customer_table!$A:$C,3,0)</f>
        <v>Brick &amp; Mortar</v>
      </c>
      <c r="M571">
        <f>IF(TRIM(CLEAN(transactions_table8[[#This Row],[currency]]))="USD",transactions_table8[[#This Row],[sales_amount]]*83,transactions_table8[[#This Row],[sales_amount]])</f>
        <v>6713</v>
      </c>
    </row>
    <row r="572" spans="1:13" x14ac:dyDescent="0.3">
      <c r="A572" t="s">
        <v>189</v>
      </c>
      <c r="B572" t="s">
        <v>16</v>
      </c>
      <c r="C572" t="s">
        <v>144</v>
      </c>
      <c r="D572" s="1">
        <v>43238</v>
      </c>
      <c r="E572">
        <v>57</v>
      </c>
      <c r="F572">
        <v>27708</v>
      </c>
      <c r="G572" t="s">
        <v>462</v>
      </c>
      <c r="H572" t="str">
        <f>VLOOKUP(A572, product_table!$A:$C, 3, 0)</f>
        <v>Own Brand</v>
      </c>
      <c r="I572" t="str">
        <f>VLOOKUP(transactions_table8[[#This Row],[market_code]],markets_table!$A:$B,2,0)</f>
        <v>Delhi NCR</v>
      </c>
      <c r="J572" t="str">
        <f>VLOOKUP(transactions_table8[[#This Row],[market_code]],markets_table!$A:$C,3,0)</f>
        <v>North</v>
      </c>
      <c r="K572" t="str">
        <f>VLOOKUP(transactions_table8[[#This Row],[customer_code]],customer_table!$A:$B,2,0)</f>
        <v>Info Stores</v>
      </c>
      <c r="L572" t="str">
        <f>VLOOKUP(transactions_table8[[#This Row],[customer_code]],customer_table!$A:$C,3,0)</f>
        <v>Brick &amp; Mortar</v>
      </c>
      <c r="M572">
        <f>IF(TRIM(CLEAN(transactions_table8[[#This Row],[currency]]))="USD",transactions_table8[[#This Row],[sales_amount]]*83,transactions_table8[[#This Row],[sales_amount]])</f>
        <v>27708</v>
      </c>
    </row>
    <row r="573" spans="1:13" x14ac:dyDescent="0.3">
      <c r="A573" t="s">
        <v>190</v>
      </c>
      <c r="B573" t="s">
        <v>16</v>
      </c>
      <c r="C573" t="s">
        <v>144</v>
      </c>
      <c r="D573" s="1">
        <v>43021</v>
      </c>
      <c r="E573">
        <v>1</v>
      </c>
      <c r="F573">
        <v>537</v>
      </c>
      <c r="G573" t="s">
        <v>462</v>
      </c>
      <c r="H573" t="str">
        <f>VLOOKUP(A573, product_table!$A:$C, 3, 0)</f>
        <v>Own Brand</v>
      </c>
      <c r="I573" t="str">
        <f>VLOOKUP(transactions_table8[[#This Row],[market_code]],markets_table!$A:$B,2,0)</f>
        <v>Delhi NCR</v>
      </c>
      <c r="J573" t="str">
        <f>VLOOKUP(transactions_table8[[#This Row],[market_code]],markets_table!$A:$C,3,0)</f>
        <v>North</v>
      </c>
      <c r="K573" t="str">
        <f>VLOOKUP(transactions_table8[[#This Row],[customer_code]],customer_table!$A:$B,2,0)</f>
        <v>Info Stores</v>
      </c>
      <c r="L573" t="str">
        <f>VLOOKUP(transactions_table8[[#This Row],[customer_code]],customer_table!$A:$C,3,0)</f>
        <v>Brick &amp; Mortar</v>
      </c>
      <c r="M573">
        <f>IF(TRIM(CLEAN(transactions_table8[[#This Row],[currency]]))="USD",transactions_table8[[#This Row],[sales_amount]]*83,transactions_table8[[#This Row],[sales_amount]])</f>
        <v>537</v>
      </c>
    </row>
    <row r="574" spans="1:13" x14ac:dyDescent="0.3">
      <c r="A574" t="s">
        <v>190</v>
      </c>
      <c r="B574" t="s">
        <v>12</v>
      </c>
      <c r="C574" t="s">
        <v>144</v>
      </c>
      <c r="D574" s="1">
        <v>43025</v>
      </c>
      <c r="E574">
        <v>7</v>
      </c>
      <c r="F574">
        <v>7644</v>
      </c>
      <c r="G574" t="s">
        <v>462</v>
      </c>
      <c r="H574" t="str">
        <f>VLOOKUP(A574, product_table!$A:$C, 3, 0)</f>
        <v>Own Brand</v>
      </c>
      <c r="I574" t="str">
        <f>VLOOKUP(transactions_table8[[#This Row],[market_code]],markets_table!$A:$B,2,0)</f>
        <v>Delhi NCR</v>
      </c>
      <c r="J574" t="str">
        <f>VLOOKUP(transactions_table8[[#This Row],[market_code]],markets_table!$A:$C,3,0)</f>
        <v>North</v>
      </c>
      <c r="K574" t="str">
        <f>VLOOKUP(transactions_table8[[#This Row],[customer_code]],customer_table!$A:$B,2,0)</f>
        <v>Premium Stores</v>
      </c>
      <c r="L574" t="str">
        <f>VLOOKUP(transactions_table8[[#This Row],[customer_code]],customer_table!$A:$C,3,0)</f>
        <v>Brick &amp; Mortar</v>
      </c>
      <c r="M574">
        <f>IF(TRIM(CLEAN(transactions_table8[[#This Row],[currency]]))="USD",transactions_table8[[#This Row],[sales_amount]]*83,transactions_table8[[#This Row],[sales_amount]])</f>
        <v>7644</v>
      </c>
    </row>
    <row r="575" spans="1:13" x14ac:dyDescent="0.3">
      <c r="A575" t="s">
        <v>190</v>
      </c>
      <c r="B575" t="s">
        <v>12</v>
      </c>
      <c r="C575" t="s">
        <v>144</v>
      </c>
      <c r="D575" s="1">
        <v>43060</v>
      </c>
      <c r="E575">
        <v>1</v>
      </c>
      <c r="F575">
        <v>157</v>
      </c>
      <c r="G575" t="s">
        <v>462</v>
      </c>
      <c r="H575" t="str">
        <f>VLOOKUP(A575, product_table!$A:$C, 3, 0)</f>
        <v>Own Brand</v>
      </c>
      <c r="I575" t="str">
        <f>VLOOKUP(transactions_table8[[#This Row],[market_code]],markets_table!$A:$B,2,0)</f>
        <v>Delhi NCR</v>
      </c>
      <c r="J575" t="str">
        <f>VLOOKUP(transactions_table8[[#This Row],[market_code]],markets_table!$A:$C,3,0)</f>
        <v>North</v>
      </c>
      <c r="K575" t="str">
        <f>VLOOKUP(transactions_table8[[#This Row],[customer_code]],customer_table!$A:$B,2,0)</f>
        <v>Premium Stores</v>
      </c>
      <c r="L575" t="str">
        <f>VLOOKUP(transactions_table8[[#This Row],[customer_code]],customer_table!$A:$C,3,0)</f>
        <v>Brick &amp; Mortar</v>
      </c>
      <c r="M575">
        <f>IF(TRIM(CLEAN(transactions_table8[[#This Row],[currency]]))="USD",transactions_table8[[#This Row],[sales_amount]]*83,transactions_table8[[#This Row],[sales_amount]])</f>
        <v>157</v>
      </c>
    </row>
    <row r="576" spans="1:13" x14ac:dyDescent="0.3">
      <c r="A576" t="s">
        <v>190</v>
      </c>
      <c r="B576" t="s">
        <v>16</v>
      </c>
      <c r="C576" t="s">
        <v>144</v>
      </c>
      <c r="D576" s="1">
        <v>43063</v>
      </c>
      <c r="E576">
        <v>8</v>
      </c>
      <c r="F576">
        <v>10972</v>
      </c>
      <c r="G576" t="s">
        <v>462</v>
      </c>
      <c r="H576" t="str">
        <f>VLOOKUP(A576, product_table!$A:$C, 3, 0)</f>
        <v>Own Brand</v>
      </c>
      <c r="I576" t="str">
        <f>VLOOKUP(transactions_table8[[#This Row],[market_code]],markets_table!$A:$B,2,0)</f>
        <v>Delhi NCR</v>
      </c>
      <c r="J576" t="str">
        <f>VLOOKUP(transactions_table8[[#This Row],[market_code]],markets_table!$A:$C,3,0)</f>
        <v>North</v>
      </c>
      <c r="K576" t="str">
        <f>VLOOKUP(transactions_table8[[#This Row],[customer_code]],customer_table!$A:$B,2,0)</f>
        <v>Info Stores</v>
      </c>
      <c r="L576" t="str">
        <f>VLOOKUP(transactions_table8[[#This Row],[customer_code]],customer_table!$A:$C,3,0)</f>
        <v>Brick &amp; Mortar</v>
      </c>
      <c r="M576">
        <f>IF(TRIM(CLEAN(transactions_table8[[#This Row],[currency]]))="USD",transactions_table8[[#This Row],[sales_amount]]*83,transactions_table8[[#This Row],[sales_amount]])</f>
        <v>10972</v>
      </c>
    </row>
    <row r="577" spans="1:13" x14ac:dyDescent="0.3">
      <c r="A577" t="s">
        <v>190</v>
      </c>
      <c r="B577" t="s">
        <v>16</v>
      </c>
      <c r="C577" t="s">
        <v>144</v>
      </c>
      <c r="D577" s="1">
        <v>43070</v>
      </c>
      <c r="E577">
        <v>1</v>
      </c>
      <c r="F577">
        <v>1218</v>
      </c>
      <c r="G577" t="s">
        <v>462</v>
      </c>
      <c r="H577" t="str">
        <f>VLOOKUP(A577, product_table!$A:$C, 3, 0)</f>
        <v>Own Brand</v>
      </c>
      <c r="I577" t="str">
        <f>VLOOKUP(transactions_table8[[#This Row],[market_code]],markets_table!$A:$B,2,0)</f>
        <v>Delhi NCR</v>
      </c>
      <c r="J577" t="str">
        <f>VLOOKUP(transactions_table8[[#This Row],[market_code]],markets_table!$A:$C,3,0)</f>
        <v>North</v>
      </c>
      <c r="K577" t="str">
        <f>VLOOKUP(transactions_table8[[#This Row],[customer_code]],customer_table!$A:$B,2,0)</f>
        <v>Info Stores</v>
      </c>
      <c r="L577" t="str">
        <f>VLOOKUP(transactions_table8[[#This Row],[customer_code]],customer_table!$A:$C,3,0)</f>
        <v>Brick &amp; Mortar</v>
      </c>
      <c r="M577">
        <f>IF(TRIM(CLEAN(transactions_table8[[#This Row],[currency]]))="USD",transactions_table8[[#This Row],[sales_amount]]*83,transactions_table8[[#This Row],[sales_amount]])</f>
        <v>1218</v>
      </c>
    </row>
    <row r="578" spans="1:13" x14ac:dyDescent="0.3">
      <c r="A578" t="s">
        <v>190</v>
      </c>
      <c r="B578" t="s">
        <v>16</v>
      </c>
      <c r="C578" t="s">
        <v>144</v>
      </c>
      <c r="D578" s="1">
        <v>43073</v>
      </c>
      <c r="E578">
        <v>9</v>
      </c>
      <c r="F578">
        <v>13407</v>
      </c>
      <c r="G578" t="s">
        <v>462</v>
      </c>
      <c r="H578" t="str">
        <f>VLOOKUP(A578, product_table!$A:$C, 3, 0)</f>
        <v>Own Brand</v>
      </c>
      <c r="I578" t="str">
        <f>VLOOKUP(transactions_table8[[#This Row],[market_code]],markets_table!$A:$B,2,0)</f>
        <v>Delhi NCR</v>
      </c>
      <c r="J578" t="str">
        <f>VLOOKUP(transactions_table8[[#This Row],[market_code]],markets_table!$A:$C,3,0)</f>
        <v>North</v>
      </c>
      <c r="K578" t="str">
        <f>VLOOKUP(transactions_table8[[#This Row],[customer_code]],customer_table!$A:$B,2,0)</f>
        <v>Info Stores</v>
      </c>
      <c r="L578" t="str">
        <f>VLOOKUP(transactions_table8[[#This Row],[customer_code]],customer_table!$A:$C,3,0)</f>
        <v>Brick &amp; Mortar</v>
      </c>
      <c r="M578">
        <f>IF(TRIM(CLEAN(transactions_table8[[#This Row],[currency]]))="USD",transactions_table8[[#This Row],[sales_amount]]*83,transactions_table8[[#This Row],[sales_amount]])</f>
        <v>13407</v>
      </c>
    </row>
    <row r="579" spans="1:13" x14ac:dyDescent="0.3">
      <c r="A579" t="s">
        <v>190</v>
      </c>
      <c r="B579" t="s">
        <v>16</v>
      </c>
      <c r="C579" t="s">
        <v>144</v>
      </c>
      <c r="D579" s="1">
        <v>43112</v>
      </c>
      <c r="E579">
        <v>1</v>
      </c>
      <c r="F579">
        <v>245</v>
      </c>
      <c r="G579" t="s">
        <v>462</v>
      </c>
      <c r="H579" t="str">
        <f>VLOOKUP(A579, product_table!$A:$C, 3, 0)</f>
        <v>Own Brand</v>
      </c>
      <c r="I579" t="str">
        <f>VLOOKUP(transactions_table8[[#This Row],[market_code]],markets_table!$A:$B,2,0)</f>
        <v>Delhi NCR</v>
      </c>
      <c r="J579" t="str">
        <f>VLOOKUP(transactions_table8[[#This Row],[market_code]],markets_table!$A:$C,3,0)</f>
        <v>North</v>
      </c>
      <c r="K579" t="str">
        <f>VLOOKUP(transactions_table8[[#This Row],[customer_code]],customer_table!$A:$B,2,0)</f>
        <v>Info Stores</v>
      </c>
      <c r="L579" t="str">
        <f>VLOOKUP(transactions_table8[[#This Row],[customer_code]],customer_table!$A:$C,3,0)</f>
        <v>Brick &amp; Mortar</v>
      </c>
      <c r="M579">
        <f>IF(TRIM(CLEAN(transactions_table8[[#This Row],[currency]]))="USD",transactions_table8[[#This Row],[sales_amount]]*83,transactions_table8[[#This Row],[sales_amount]])</f>
        <v>245</v>
      </c>
    </row>
    <row r="580" spans="1:13" x14ac:dyDescent="0.3">
      <c r="A580" t="s">
        <v>190</v>
      </c>
      <c r="B580" t="s">
        <v>16</v>
      </c>
      <c r="C580" t="s">
        <v>144</v>
      </c>
      <c r="D580" s="1">
        <v>43153</v>
      </c>
      <c r="E580">
        <v>1</v>
      </c>
      <c r="F580">
        <v>245</v>
      </c>
      <c r="G580" t="s">
        <v>462</v>
      </c>
      <c r="H580" t="str">
        <f>VLOOKUP(A580, product_table!$A:$C, 3, 0)</f>
        <v>Own Brand</v>
      </c>
      <c r="I580" t="str">
        <f>VLOOKUP(transactions_table8[[#This Row],[market_code]],markets_table!$A:$B,2,0)</f>
        <v>Delhi NCR</v>
      </c>
      <c r="J580" t="str">
        <f>VLOOKUP(transactions_table8[[#This Row],[market_code]],markets_table!$A:$C,3,0)</f>
        <v>North</v>
      </c>
      <c r="K580" t="str">
        <f>VLOOKUP(transactions_table8[[#This Row],[customer_code]],customer_table!$A:$B,2,0)</f>
        <v>Info Stores</v>
      </c>
      <c r="L580" t="str">
        <f>VLOOKUP(transactions_table8[[#This Row],[customer_code]],customer_table!$A:$C,3,0)</f>
        <v>Brick &amp; Mortar</v>
      </c>
      <c r="M580">
        <f>IF(TRIM(CLEAN(transactions_table8[[#This Row],[currency]]))="USD",transactions_table8[[#This Row],[sales_amount]]*83,transactions_table8[[#This Row],[sales_amount]])</f>
        <v>245</v>
      </c>
    </row>
    <row r="581" spans="1:13" x14ac:dyDescent="0.3">
      <c r="A581" t="s">
        <v>190</v>
      </c>
      <c r="B581" t="s">
        <v>3</v>
      </c>
      <c r="C581" t="s">
        <v>135</v>
      </c>
      <c r="D581" s="1">
        <v>43279</v>
      </c>
      <c r="E581">
        <v>187</v>
      </c>
      <c r="F581">
        <v>115481</v>
      </c>
      <c r="G581" t="s">
        <v>462</v>
      </c>
      <c r="H581" t="str">
        <f>VLOOKUP(A581, product_table!$A:$C, 3, 0)</f>
        <v>Own Brand</v>
      </c>
      <c r="I581" t="str">
        <f>VLOOKUP(transactions_table8[[#This Row],[market_code]],markets_table!$A:$B,2,0)</f>
        <v>Chennai</v>
      </c>
      <c r="J581" t="str">
        <f>VLOOKUP(transactions_table8[[#This Row],[market_code]],markets_table!$A:$C,3,0)</f>
        <v>South</v>
      </c>
      <c r="K581" t="str">
        <f>VLOOKUP(transactions_table8[[#This Row],[customer_code]],customer_table!$A:$B,2,0)</f>
        <v>Surge Stores</v>
      </c>
      <c r="L581" t="str">
        <f>VLOOKUP(transactions_table8[[#This Row],[customer_code]],customer_table!$A:$C,3,0)</f>
        <v>Brick &amp; Mortar</v>
      </c>
      <c r="M581">
        <f>IF(TRIM(CLEAN(transactions_table8[[#This Row],[currency]]))="USD",transactions_table8[[#This Row],[sales_amount]]*83,transactions_table8[[#This Row],[sales_amount]])</f>
        <v>115481</v>
      </c>
    </row>
    <row r="582" spans="1:13" x14ac:dyDescent="0.3">
      <c r="A582" t="s">
        <v>190</v>
      </c>
      <c r="B582" t="s">
        <v>14</v>
      </c>
      <c r="C582" t="s">
        <v>144</v>
      </c>
      <c r="D582" s="1">
        <v>43280</v>
      </c>
      <c r="E582">
        <v>38</v>
      </c>
      <c r="F582">
        <v>78986</v>
      </c>
      <c r="G582" t="s">
        <v>462</v>
      </c>
      <c r="H582" t="str">
        <f>VLOOKUP(A582, product_table!$A:$C, 3, 0)</f>
        <v>Own Brand</v>
      </c>
      <c r="I582" t="str">
        <f>VLOOKUP(transactions_table8[[#This Row],[market_code]],markets_table!$A:$B,2,0)</f>
        <v>Delhi NCR</v>
      </c>
      <c r="J582" t="str">
        <f>VLOOKUP(transactions_table8[[#This Row],[market_code]],markets_table!$A:$C,3,0)</f>
        <v>North</v>
      </c>
      <c r="K582" t="str">
        <f>VLOOKUP(transactions_table8[[#This Row],[customer_code]],customer_table!$A:$B,2,0)</f>
        <v>Electricalsara Stores</v>
      </c>
      <c r="L582" t="str">
        <f>VLOOKUP(transactions_table8[[#This Row],[customer_code]],customer_table!$A:$C,3,0)</f>
        <v>Brick &amp; Mortar</v>
      </c>
      <c r="M582">
        <f>IF(TRIM(CLEAN(transactions_table8[[#This Row],[currency]]))="USD",transactions_table8[[#This Row],[sales_amount]]*83,transactions_table8[[#This Row],[sales_amount]])</f>
        <v>78986</v>
      </c>
    </row>
    <row r="583" spans="1:13" x14ac:dyDescent="0.3">
      <c r="A583" t="s">
        <v>190</v>
      </c>
      <c r="B583" t="s">
        <v>14</v>
      </c>
      <c r="C583" t="s">
        <v>144</v>
      </c>
      <c r="D583" s="1">
        <v>43283</v>
      </c>
      <c r="E583">
        <v>119</v>
      </c>
      <c r="F583">
        <v>245546</v>
      </c>
      <c r="G583" t="s">
        <v>462</v>
      </c>
      <c r="H583" t="str">
        <f>VLOOKUP(A583, product_table!$A:$C, 3, 0)</f>
        <v>Own Brand</v>
      </c>
      <c r="I583" t="str">
        <f>VLOOKUP(transactions_table8[[#This Row],[market_code]],markets_table!$A:$B,2,0)</f>
        <v>Delhi NCR</v>
      </c>
      <c r="J583" t="str">
        <f>VLOOKUP(transactions_table8[[#This Row],[market_code]],markets_table!$A:$C,3,0)</f>
        <v>North</v>
      </c>
      <c r="K583" t="str">
        <f>VLOOKUP(transactions_table8[[#This Row],[customer_code]],customer_table!$A:$B,2,0)</f>
        <v>Electricalsara Stores</v>
      </c>
      <c r="L583" t="str">
        <f>VLOOKUP(transactions_table8[[#This Row],[customer_code]],customer_table!$A:$C,3,0)</f>
        <v>Brick &amp; Mortar</v>
      </c>
      <c r="M583">
        <f>IF(TRIM(CLEAN(transactions_table8[[#This Row],[currency]]))="USD",transactions_table8[[#This Row],[sales_amount]]*83,transactions_table8[[#This Row],[sales_amount]])</f>
        <v>245546</v>
      </c>
    </row>
    <row r="584" spans="1:13" x14ac:dyDescent="0.3">
      <c r="A584" t="s">
        <v>190</v>
      </c>
      <c r="B584" t="s">
        <v>14</v>
      </c>
      <c r="C584" t="s">
        <v>144</v>
      </c>
      <c r="D584" s="1">
        <v>43284</v>
      </c>
      <c r="E584">
        <v>79</v>
      </c>
      <c r="F584">
        <v>162292</v>
      </c>
      <c r="G584" t="s">
        <v>462</v>
      </c>
      <c r="H584" t="str">
        <f>VLOOKUP(A584, product_table!$A:$C, 3, 0)</f>
        <v>Own Brand</v>
      </c>
      <c r="I584" t="str">
        <f>VLOOKUP(transactions_table8[[#This Row],[market_code]],markets_table!$A:$B,2,0)</f>
        <v>Delhi NCR</v>
      </c>
      <c r="J584" t="str">
        <f>VLOOKUP(transactions_table8[[#This Row],[market_code]],markets_table!$A:$C,3,0)</f>
        <v>North</v>
      </c>
      <c r="K584" t="str">
        <f>VLOOKUP(transactions_table8[[#This Row],[customer_code]],customer_table!$A:$B,2,0)</f>
        <v>Electricalsara Stores</v>
      </c>
      <c r="L584" t="str">
        <f>VLOOKUP(transactions_table8[[#This Row],[customer_code]],customer_table!$A:$C,3,0)</f>
        <v>Brick &amp; Mortar</v>
      </c>
      <c r="M584">
        <f>IF(TRIM(CLEAN(transactions_table8[[#This Row],[currency]]))="USD",transactions_table8[[#This Row],[sales_amount]]*83,transactions_table8[[#This Row],[sales_amount]])</f>
        <v>162292</v>
      </c>
    </row>
    <row r="585" spans="1:13" x14ac:dyDescent="0.3">
      <c r="A585" t="s">
        <v>190</v>
      </c>
      <c r="B585" t="s">
        <v>14</v>
      </c>
      <c r="C585" t="s">
        <v>144</v>
      </c>
      <c r="D585" s="1">
        <v>43285</v>
      </c>
      <c r="E585">
        <v>1</v>
      </c>
      <c r="F585">
        <v>412</v>
      </c>
      <c r="G585" t="s">
        <v>462</v>
      </c>
      <c r="H585" t="str">
        <f>VLOOKUP(A585, product_table!$A:$C, 3, 0)</f>
        <v>Own Brand</v>
      </c>
      <c r="I585" t="str">
        <f>VLOOKUP(transactions_table8[[#This Row],[market_code]],markets_table!$A:$B,2,0)</f>
        <v>Delhi NCR</v>
      </c>
      <c r="J585" t="str">
        <f>VLOOKUP(transactions_table8[[#This Row],[market_code]],markets_table!$A:$C,3,0)</f>
        <v>North</v>
      </c>
      <c r="K585" t="str">
        <f>VLOOKUP(transactions_table8[[#This Row],[customer_code]],customer_table!$A:$B,2,0)</f>
        <v>Electricalsara Stores</v>
      </c>
      <c r="L585" t="str">
        <f>VLOOKUP(transactions_table8[[#This Row],[customer_code]],customer_table!$A:$C,3,0)</f>
        <v>Brick &amp; Mortar</v>
      </c>
      <c r="M585">
        <f>IF(TRIM(CLEAN(transactions_table8[[#This Row],[currency]]))="USD",transactions_table8[[#This Row],[sales_amount]]*83,transactions_table8[[#This Row],[sales_amount]])</f>
        <v>412</v>
      </c>
    </row>
    <row r="586" spans="1:13" x14ac:dyDescent="0.3">
      <c r="A586" t="s">
        <v>190</v>
      </c>
      <c r="B586" t="s">
        <v>14</v>
      </c>
      <c r="C586" t="s">
        <v>144</v>
      </c>
      <c r="D586" s="1">
        <v>43287</v>
      </c>
      <c r="E586">
        <v>5</v>
      </c>
      <c r="F586">
        <v>7981</v>
      </c>
      <c r="G586" t="s">
        <v>462</v>
      </c>
      <c r="H586" t="str">
        <f>VLOOKUP(A586, product_table!$A:$C, 3, 0)</f>
        <v>Own Brand</v>
      </c>
      <c r="I586" t="str">
        <f>VLOOKUP(transactions_table8[[#This Row],[market_code]],markets_table!$A:$B,2,0)</f>
        <v>Delhi NCR</v>
      </c>
      <c r="J586" t="str">
        <f>VLOOKUP(transactions_table8[[#This Row],[market_code]],markets_table!$A:$C,3,0)</f>
        <v>North</v>
      </c>
      <c r="K586" t="str">
        <f>VLOOKUP(transactions_table8[[#This Row],[customer_code]],customer_table!$A:$B,2,0)</f>
        <v>Electricalsara Stores</v>
      </c>
      <c r="L586" t="str">
        <f>VLOOKUP(transactions_table8[[#This Row],[customer_code]],customer_table!$A:$C,3,0)</f>
        <v>Brick &amp; Mortar</v>
      </c>
      <c r="M586">
        <f>IF(TRIM(CLEAN(transactions_table8[[#This Row],[currency]]))="USD",transactions_table8[[#This Row],[sales_amount]]*83,transactions_table8[[#This Row],[sales_amount]])</f>
        <v>7981</v>
      </c>
    </row>
    <row r="587" spans="1:13" x14ac:dyDescent="0.3">
      <c r="A587" t="s">
        <v>190</v>
      </c>
      <c r="B587" t="s">
        <v>14</v>
      </c>
      <c r="C587" t="s">
        <v>144</v>
      </c>
      <c r="D587" s="1">
        <v>43292</v>
      </c>
      <c r="E587">
        <v>19</v>
      </c>
      <c r="F587">
        <v>27505</v>
      </c>
      <c r="G587" t="s">
        <v>462</v>
      </c>
      <c r="H587" t="str">
        <f>VLOOKUP(A587, product_table!$A:$C, 3, 0)</f>
        <v>Own Brand</v>
      </c>
      <c r="I587" t="str">
        <f>VLOOKUP(transactions_table8[[#This Row],[market_code]],markets_table!$A:$B,2,0)</f>
        <v>Delhi NCR</v>
      </c>
      <c r="J587" t="str">
        <f>VLOOKUP(transactions_table8[[#This Row],[market_code]],markets_table!$A:$C,3,0)</f>
        <v>North</v>
      </c>
      <c r="K587" t="str">
        <f>VLOOKUP(transactions_table8[[#This Row],[customer_code]],customer_table!$A:$B,2,0)</f>
        <v>Electricalsara Stores</v>
      </c>
      <c r="L587" t="str">
        <f>VLOOKUP(transactions_table8[[#This Row],[customer_code]],customer_table!$A:$C,3,0)</f>
        <v>Brick &amp; Mortar</v>
      </c>
      <c r="M587">
        <f>IF(TRIM(CLEAN(transactions_table8[[#This Row],[currency]]))="USD",transactions_table8[[#This Row],[sales_amount]]*83,transactions_table8[[#This Row],[sales_amount]])</f>
        <v>27505</v>
      </c>
    </row>
    <row r="588" spans="1:13" x14ac:dyDescent="0.3">
      <c r="A588" t="s">
        <v>190</v>
      </c>
      <c r="B588" t="s">
        <v>45</v>
      </c>
      <c r="C588" t="s">
        <v>146</v>
      </c>
      <c r="D588" s="1">
        <v>43294</v>
      </c>
      <c r="E588">
        <v>173</v>
      </c>
      <c r="F588">
        <v>145921</v>
      </c>
      <c r="G588" t="s">
        <v>462</v>
      </c>
      <c r="H588" t="str">
        <f>VLOOKUP(A588, product_table!$A:$C, 3, 0)</f>
        <v>Own Brand</v>
      </c>
      <c r="I588" t="str">
        <f>VLOOKUP(transactions_table8[[#This Row],[market_code]],markets_table!$A:$B,2,0)</f>
        <v>Kanpur</v>
      </c>
      <c r="J588" t="str">
        <f>VLOOKUP(transactions_table8[[#This Row],[market_code]],markets_table!$A:$C,3,0)</f>
        <v>North</v>
      </c>
      <c r="K588" t="str">
        <f>VLOOKUP(transactions_table8[[#This Row],[customer_code]],customer_table!$A:$B,2,0)</f>
        <v>Modular</v>
      </c>
      <c r="L588" t="str">
        <f>VLOOKUP(transactions_table8[[#This Row],[customer_code]],customer_table!$A:$C,3,0)</f>
        <v>E-Commerce</v>
      </c>
      <c r="M588">
        <f>IF(TRIM(CLEAN(transactions_table8[[#This Row],[currency]]))="USD",transactions_table8[[#This Row],[sales_amount]]*83,transactions_table8[[#This Row],[sales_amount]])</f>
        <v>145921</v>
      </c>
    </row>
    <row r="589" spans="1:13" x14ac:dyDescent="0.3">
      <c r="A589" t="s">
        <v>190</v>
      </c>
      <c r="B589" t="s">
        <v>14</v>
      </c>
      <c r="C589" t="s">
        <v>144</v>
      </c>
      <c r="D589" s="1">
        <v>43294</v>
      </c>
      <c r="E589">
        <v>1</v>
      </c>
      <c r="F589">
        <v>546</v>
      </c>
      <c r="G589" t="s">
        <v>462</v>
      </c>
      <c r="H589" t="str">
        <f>VLOOKUP(A589, product_table!$A:$C, 3, 0)</f>
        <v>Own Brand</v>
      </c>
      <c r="I589" t="str">
        <f>VLOOKUP(transactions_table8[[#This Row],[market_code]],markets_table!$A:$B,2,0)</f>
        <v>Delhi NCR</v>
      </c>
      <c r="J589" t="str">
        <f>VLOOKUP(transactions_table8[[#This Row],[market_code]],markets_table!$A:$C,3,0)</f>
        <v>North</v>
      </c>
      <c r="K589" t="str">
        <f>VLOOKUP(transactions_table8[[#This Row],[customer_code]],customer_table!$A:$B,2,0)</f>
        <v>Electricalsara Stores</v>
      </c>
      <c r="L589" t="str">
        <f>VLOOKUP(transactions_table8[[#This Row],[customer_code]],customer_table!$A:$C,3,0)</f>
        <v>Brick &amp; Mortar</v>
      </c>
      <c r="M589">
        <f>IF(TRIM(CLEAN(transactions_table8[[#This Row],[currency]]))="USD",transactions_table8[[#This Row],[sales_amount]]*83,transactions_table8[[#This Row],[sales_amount]])</f>
        <v>546</v>
      </c>
    </row>
    <row r="590" spans="1:13" x14ac:dyDescent="0.3">
      <c r="A590" t="s">
        <v>190</v>
      </c>
      <c r="B590" t="s">
        <v>14</v>
      </c>
      <c r="C590" t="s">
        <v>144</v>
      </c>
      <c r="D590" s="1">
        <v>43300</v>
      </c>
      <c r="E590">
        <v>20</v>
      </c>
      <c r="F590">
        <v>28167</v>
      </c>
      <c r="G590" t="s">
        <v>462</v>
      </c>
      <c r="H590" t="str">
        <f>VLOOKUP(A590, product_table!$A:$C, 3, 0)</f>
        <v>Own Brand</v>
      </c>
      <c r="I590" t="str">
        <f>VLOOKUP(transactions_table8[[#This Row],[market_code]],markets_table!$A:$B,2,0)</f>
        <v>Delhi NCR</v>
      </c>
      <c r="J590" t="str">
        <f>VLOOKUP(transactions_table8[[#This Row],[market_code]],markets_table!$A:$C,3,0)</f>
        <v>North</v>
      </c>
      <c r="K590" t="str">
        <f>VLOOKUP(transactions_table8[[#This Row],[customer_code]],customer_table!$A:$B,2,0)</f>
        <v>Electricalsara Stores</v>
      </c>
      <c r="L590" t="str">
        <f>VLOOKUP(transactions_table8[[#This Row],[customer_code]],customer_table!$A:$C,3,0)</f>
        <v>Brick &amp; Mortar</v>
      </c>
      <c r="M590">
        <f>IF(TRIM(CLEAN(transactions_table8[[#This Row],[currency]]))="USD",transactions_table8[[#This Row],[sales_amount]]*83,transactions_table8[[#This Row],[sales_amount]])</f>
        <v>28167</v>
      </c>
    </row>
    <row r="591" spans="1:13" x14ac:dyDescent="0.3">
      <c r="A591" t="s">
        <v>190</v>
      </c>
      <c r="B591" t="s">
        <v>14</v>
      </c>
      <c r="C591" t="s">
        <v>144</v>
      </c>
      <c r="D591" s="1">
        <v>43305</v>
      </c>
      <c r="E591">
        <v>23</v>
      </c>
      <c r="F591">
        <v>32764</v>
      </c>
      <c r="G591" t="s">
        <v>462</v>
      </c>
      <c r="H591" t="str">
        <f>VLOOKUP(A591, product_table!$A:$C, 3, 0)</f>
        <v>Own Brand</v>
      </c>
      <c r="I591" t="str">
        <f>VLOOKUP(transactions_table8[[#This Row],[market_code]],markets_table!$A:$B,2,0)</f>
        <v>Delhi NCR</v>
      </c>
      <c r="J591" t="str">
        <f>VLOOKUP(transactions_table8[[#This Row],[market_code]],markets_table!$A:$C,3,0)</f>
        <v>North</v>
      </c>
      <c r="K591" t="str">
        <f>VLOOKUP(transactions_table8[[#This Row],[customer_code]],customer_table!$A:$B,2,0)</f>
        <v>Electricalsara Stores</v>
      </c>
      <c r="L591" t="str">
        <f>VLOOKUP(transactions_table8[[#This Row],[customer_code]],customer_table!$A:$C,3,0)</f>
        <v>Brick &amp; Mortar</v>
      </c>
      <c r="M591">
        <f>IF(TRIM(CLEAN(transactions_table8[[#This Row],[currency]]))="USD",transactions_table8[[#This Row],[sales_amount]]*83,transactions_table8[[#This Row],[sales_amount]])</f>
        <v>32764</v>
      </c>
    </row>
    <row r="592" spans="1:13" x14ac:dyDescent="0.3">
      <c r="A592" t="s">
        <v>190</v>
      </c>
      <c r="B592" t="s">
        <v>14</v>
      </c>
      <c r="C592" t="s">
        <v>144</v>
      </c>
      <c r="D592" s="1">
        <v>43306</v>
      </c>
      <c r="E592">
        <v>5</v>
      </c>
      <c r="F592">
        <v>6648</v>
      </c>
      <c r="G592" t="s">
        <v>462</v>
      </c>
      <c r="H592" t="str">
        <f>VLOOKUP(A592, product_table!$A:$C, 3, 0)</f>
        <v>Own Brand</v>
      </c>
      <c r="I592" t="str">
        <f>VLOOKUP(transactions_table8[[#This Row],[market_code]],markets_table!$A:$B,2,0)</f>
        <v>Delhi NCR</v>
      </c>
      <c r="J592" t="str">
        <f>VLOOKUP(transactions_table8[[#This Row],[market_code]],markets_table!$A:$C,3,0)</f>
        <v>North</v>
      </c>
      <c r="K592" t="str">
        <f>VLOOKUP(transactions_table8[[#This Row],[customer_code]],customer_table!$A:$B,2,0)</f>
        <v>Electricalsara Stores</v>
      </c>
      <c r="L592" t="str">
        <f>VLOOKUP(transactions_table8[[#This Row],[customer_code]],customer_table!$A:$C,3,0)</f>
        <v>Brick &amp; Mortar</v>
      </c>
      <c r="M592">
        <f>IF(TRIM(CLEAN(transactions_table8[[#This Row],[currency]]))="USD",transactions_table8[[#This Row],[sales_amount]]*83,transactions_table8[[#This Row],[sales_amount]])</f>
        <v>6648</v>
      </c>
    </row>
    <row r="593" spans="1:13" x14ac:dyDescent="0.3">
      <c r="A593" t="s">
        <v>190</v>
      </c>
      <c r="B593" t="s">
        <v>14</v>
      </c>
      <c r="C593" t="s">
        <v>144</v>
      </c>
      <c r="D593" s="1">
        <v>43307</v>
      </c>
      <c r="E593">
        <v>28</v>
      </c>
      <c r="F593">
        <v>40366</v>
      </c>
      <c r="G593" t="s">
        <v>462</v>
      </c>
      <c r="H593" t="str">
        <f>VLOOKUP(A593, product_table!$A:$C, 3, 0)</f>
        <v>Own Brand</v>
      </c>
      <c r="I593" t="str">
        <f>VLOOKUP(transactions_table8[[#This Row],[market_code]],markets_table!$A:$B,2,0)</f>
        <v>Delhi NCR</v>
      </c>
      <c r="J593" t="str">
        <f>VLOOKUP(transactions_table8[[#This Row],[market_code]],markets_table!$A:$C,3,0)</f>
        <v>North</v>
      </c>
      <c r="K593" t="str">
        <f>VLOOKUP(transactions_table8[[#This Row],[customer_code]],customer_table!$A:$B,2,0)</f>
        <v>Electricalsara Stores</v>
      </c>
      <c r="L593" t="str">
        <f>VLOOKUP(transactions_table8[[#This Row],[customer_code]],customer_table!$A:$C,3,0)</f>
        <v>Brick &amp; Mortar</v>
      </c>
      <c r="M593">
        <f>IF(TRIM(CLEAN(transactions_table8[[#This Row],[currency]]))="USD",transactions_table8[[#This Row],[sales_amount]]*83,transactions_table8[[#This Row],[sales_amount]])</f>
        <v>40366</v>
      </c>
    </row>
    <row r="594" spans="1:13" x14ac:dyDescent="0.3">
      <c r="A594" t="s">
        <v>190</v>
      </c>
      <c r="B594" t="s">
        <v>14</v>
      </c>
      <c r="C594" t="s">
        <v>144</v>
      </c>
      <c r="D594" s="1">
        <v>43308</v>
      </c>
      <c r="E594">
        <v>3</v>
      </c>
      <c r="F594">
        <v>4273</v>
      </c>
      <c r="G594" t="s">
        <v>462</v>
      </c>
      <c r="H594" t="str">
        <f>VLOOKUP(A594, product_table!$A:$C, 3, 0)</f>
        <v>Own Brand</v>
      </c>
      <c r="I594" t="str">
        <f>VLOOKUP(transactions_table8[[#This Row],[market_code]],markets_table!$A:$B,2,0)</f>
        <v>Delhi NCR</v>
      </c>
      <c r="J594" t="str">
        <f>VLOOKUP(transactions_table8[[#This Row],[market_code]],markets_table!$A:$C,3,0)</f>
        <v>North</v>
      </c>
      <c r="K594" t="str">
        <f>VLOOKUP(transactions_table8[[#This Row],[customer_code]],customer_table!$A:$B,2,0)</f>
        <v>Electricalsara Stores</v>
      </c>
      <c r="L594" t="str">
        <f>VLOOKUP(transactions_table8[[#This Row],[customer_code]],customer_table!$A:$C,3,0)</f>
        <v>Brick &amp; Mortar</v>
      </c>
      <c r="M594">
        <f>IF(TRIM(CLEAN(transactions_table8[[#This Row],[currency]]))="USD",transactions_table8[[#This Row],[sales_amount]]*83,transactions_table8[[#This Row],[sales_amount]])</f>
        <v>4273</v>
      </c>
    </row>
    <row r="595" spans="1:13" x14ac:dyDescent="0.3">
      <c r="A595" t="s">
        <v>190</v>
      </c>
      <c r="B595" t="s">
        <v>14</v>
      </c>
      <c r="C595" t="s">
        <v>144</v>
      </c>
      <c r="D595" s="1">
        <v>43312</v>
      </c>
      <c r="E595">
        <v>1</v>
      </c>
      <c r="F595">
        <v>949</v>
      </c>
      <c r="G595" t="s">
        <v>462</v>
      </c>
      <c r="H595" t="str">
        <f>VLOOKUP(A595, product_table!$A:$C, 3, 0)</f>
        <v>Own Brand</v>
      </c>
      <c r="I595" t="str">
        <f>VLOOKUP(transactions_table8[[#This Row],[market_code]],markets_table!$A:$B,2,0)</f>
        <v>Delhi NCR</v>
      </c>
      <c r="J595" t="str">
        <f>VLOOKUP(transactions_table8[[#This Row],[market_code]],markets_table!$A:$C,3,0)</f>
        <v>North</v>
      </c>
      <c r="K595" t="str">
        <f>VLOOKUP(transactions_table8[[#This Row],[customer_code]],customer_table!$A:$B,2,0)</f>
        <v>Electricalsara Stores</v>
      </c>
      <c r="L595" t="str">
        <f>VLOOKUP(transactions_table8[[#This Row],[customer_code]],customer_table!$A:$C,3,0)</f>
        <v>Brick &amp; Mortar</v>
      </c>
      <c r="M595">
        <f>IF(TRIM(CLEAN(transactions_table8[[#This Row],[currency]]))="USD",transactions_table8[[#This Row],[sales_amount]]*83,transactions_table8[[#This Row],[sales_amount]])</f>
        <v>949</v>
      </c>
    </row>
    <row r="596" spans="1:13" x14ac:dyDescent="0.3">
      <c r="A596" t="s">
        <v>190</v>
      </c>
      <c r="B596" t="s">
        <v>14</v>
      </c>
      <c r="C596" t="s">
        <v>144</v>
      </c>
      <c r="D596" s="1">
        <v>43313</v>
      </c>
      <c r="E596">
        <v>1</v>
      </c>
      <c r="F596">
        <v>477</v>
      </c>
      <c r="G596" t="s">
        <v>462</v>
      </c>
      <c r="H596" t="str">
        <f>VLOOKUP(A596, product_table!$A:$C, 3, 0)</f>
        <v>Own Brand</v>
      </c>
      <c r="I596" t="str">
        <f>VLOOKUP(transactions_table8[[#This Row],[market_code]],markets_table!$A:$B,2,0)</f>
        <v>Delhi NCR</v>
      </c>
      <c r="J596" t="str">
        <f>VLOOKUP(transactions_table8[[#This Row],[market_code]],markets_table!$A:$C,3,0)</f>
        <v>North</v>
      </c>
      <c r="K596" t="str">
        <f>VLOOKUP(transactions_table8[[#This Row],[customer_code]],customer_table!$A:$B,2,0)</f>
        <v>Electricalsara Stores</v>
      </c>
      <c r="L596" t="str">
        <f>VLOOKUP(transactions_table8[[#This Row],[customer_code]],customer_table!$A:$C,3,0)</f>
        <v>Brick &amp; Mortar</v>
      </c>
      <c r="M596">
        <f>IF(TRIM(CLEAN(transactions_table8[[#This Row],[currency]]))="USD",transactions_table8[[#This Row],[sales_amount]]*83,transactions_table8[[#This Row],[sales_amount]])</f>
        <v>477</v>
      </c>
    </row>
    <row r="597" spans="1:13" x14ac:dyDescent="0.3">
      <c r="A597" t="s">
        <v>190</v>
      </c>
      <c r="B597" t="s">
        <v>14</v>
      </c>
      <c r="C597" t="s">
        <v>144</v>
      </c>
      <c r="D597" s="1">
        <v>43314</v>
      </c>
      <c r="E597">
        <v>1</v>
      </c>
      <c r="F597">
        <v>949</v>
      </c>
      <c r="G597" t="s">
        <v>462</v>
      </c>
      <c r="H597" t="str">
        <f>VLOOKUP(A597, product_table!$A:$C, 3, 0)</f>
        <v>Own Brand</v>
      </c>
      <c r="I597" t="str">
        <f>VLOOKUP(transactions_table8[[#This Row],[market_code]],markets_table!$A:$B,2,0)</f>
        <v>Delhi NCR</v>
      </c>
      <c r="J597" t="str">
        <f>VLOOKUP(transactions_table8[[#This Row],[market_code]],markets_table!$A:$C,3,0)</f>
        <v>North</v>
      </c>
      <c r="K597" t="str">
        <f>VLOOKUP(transactions_table8[[#This Row],[customer_code]],customer_table!$A:$B,2,0)</f>
        <v>Electricalsara Stores</v>
      </c>
      <c r="L597" t="str">
        <f>VLOOKUP(transactions_table8[[#This Row],[customer_code]],customer_table!$A:$C,3,0)</f>
        <v>Brick &amp; Mortar</v>
      </c>
      <c r="M597">
        <f>IF(TRIM(CLEAN(transactions_table8[[#This Row],[currency]]))="USD",transactions_table8[[#This Row],[sales_amount]]*83,transactions_table8[[#This Row],[sales_amount]])</f>
        <v>949</v>
      </c>
    </row>
    <row r="598" spans="1:13" x14ac:dyDescent="0.3">
      <c r="A598" t="s">
        <v>190</v>
      </c>
      <c r="B598" t="s">
        <v>14</v>
      </c>
      <c r="C598" t="s">
        <v>144</v>
      </c>
      <c r="D598" s="1">
        <v>43315</v>
      </c>
      <c r="E598">
        <v>41</v>
      </c>
      <c r="F598">
        <v>70356</v>
      </c>
      <c r="G598" t="s">
        <v>462</v>
      </c>
      <c r="H598" t="str">
        <f>VLOOKUP(A598, product_table!$A:$C, 3, 0)</f>
        <v>Own Brand</v>
      </c>
      <c r="I598" t="str">
        <f>VLOOKUP(transactions_table8[[#This Row],[market_code]],markets_table!$A:$B,2,0)</f>
        <v>Delhi NCR</v>
      </c>
      <c r="J598" t="str">
        <f>VLOOKUP(transactions_table8[[#This Row],[market_code]],markets_table!$A:$C,3,0)</f>
        <v>North</v>
      </c>
      <c r="K598" t="str">
        <f>VLOOKUP(transactions_table8[[#This Row],[customer_code]],customer_table!$A:$B,2,0)</f>
        <v>Electricalsara Stores</v>
      </c>
      <c r="L598" t="str">
        <f>VLOOKUP(transactions_table8[[#This Row],[customer_code]],customer_table!$A:$C,3,0)</f>
        <v>Brick &amp; Mortar</v>
      </c>
      <c r="M598">
        <f>IF(TRIM(CLEAN(transactions_table8[[#This Row],[currency]]))="USD",transactions_table8[[#This Row],[sales_amount]]*83,transactions_table8[[#This Row],[sales_amount]])</f>
        <v>70356</v>
      </c>
    </row>
    <row r="599" spans="1:13" x14ac:dyDescent="0.3">
      <c r="A599" t="s">
        <v>190</v>
      </c>
      <c r="B599" t="s">
        <v>12</v>
      </c>
      <c r="C599" t="s">
        <v>144</v>
      </c>
      <c r="D599" s="1">
        <v>43319</v>
      </c>
      <c r="E599">
        <v>7</v>
      </c>
      <c r="F599">
        <v>6528</v>
      </c>
      <c r="G599" t="s">
        <v>462</v>
      </c>
      <c r="H599" t="str">
        <f>VLOOKUP(A599, product_table!$A:$C, 3, 0)</f>
        <v>Own Brand</v>
      </c>
      <c r="I599" t="str">
        <f>VLOOKUP(transactions_table8[[#This Row],[market_code]],markets_table!$A:$B,2,0)</f>
        <v>Delhi NCR</v>
      </c>
      <c r="J599" t="str">
        <f>VLOOKUP(transactions_table8[[#This Row],[market_code]],markets_table!$A:$C,3,0)</f>
        <v>North</v>
      </c>
      <c r="K599" t="str">
        <f>VLOOKUP(transactions_table8[[#This Row],[customer_code]],customer_table!$A:$B,2,0)</f>
        <v>Premium Stores</v>
      </c>
      <c r="L599" t="str">
        <f>VLOOKUP(transactions_table8[[#This Row],[customer_code]],customer_table!$A:$C,3,0)</f>
        <v>Brick &amp; Mortar</v>
      </c>
      <c r="M599">
        <f>IF(TRIM(CLEAN(transactions_table8[[#This Row],[currency]]))="USD",transactions_table8[[#This Row],[sales_amount]]*83,transactions_table8[[#This Row],[sales_amount]])</f>
        <v>6528</v>
      </c>
    </row>
    <row r="600" spans="1:13" x14ac:dyDescent="0.3">
      <c r="A600" t="s">
        <v>190</v>
      </c>
      <c r="B600" t="s">
        <v>14</v>
      </c>
      <c r="C600" t="s">
        <v>144</v>
      </c>
      <c r="D600" s="1">
        <v>43319</v>
      </c>
      <c r="E600">
        <v>1</v>
      </c>
      <c r="F600">
        <v>477</v>
      </c>
      <c r="G600" t="s">
        <v>462</v>
      </c>
      <c r="H600" t="str">
        <f>VLOOKUP(A600, product_table!$A:$C, 3, 0)</f>
        <v>Own Brand</v>
      </c>
      <c r="I600" t="str">
        <f>VLOOKUP(transactions_table8[[#This Row],[market_code]],markets_table!$A:$B,2,0)</f>
        <v>Delhi NCR</v>
      </c>
      <c r="J600" t="str">
        <f>VLOOKUP(transactions_table8[[#This Row],[market_code]],markets_table!$A:$C,3,0)</f>
        <v>North</v>
      </c>
      <c r="K600" t="str">
        <f>VLOOKUP(transactions_table8[[#This Row],[customer_code]],customer_table!$A:$B,2,0)</f>
        <v>Electricalsara Stores</v>
      </c>
      <c r="L600" t="str">
        <f>VLOOKUP(transactions_table8[[#This Row],[customer_code]],customer_table!$A:$C,3,0)</f>
        <v>Brick &amp; Mortar</v>
      </c>
      <c r="M600">
        <f>IF(TRIM(CLEAN(transactions_table8[[#This Row],[currency]]))="USD",transactions_table8[[#This Row],[sales_amount]]*83,transactions_table8[[#This Row],[sales_amount]])</f>
        <v>477</v>
      </c>
    </row>
    <row r="601" spans="1:13" x14ac:dyDescent="0.3">
      <c r="A601" t="s">
        <v>190</v>
      </c>
      <c r="B601" t="s">
        <v>14</v>
      </c>
      <c r="C601" t="s">
        <v>144</v>
      </c>
      <c r="D601" s="1">
        <v>43322</v>
      </c>
      <c r="E601">
        <v>12</v>
      </c>
      <c r="F601">
        <v>19727</v>
      </c>
      <c r="G601" t="s">
        <v>462</v>
      </c>
      <c r="H601" t="str">
        <f>VLOOKUP(A601, product_table!$A:$C, 3, 0)</f>
        <v>Own Brand</v>
      </c>
      <c r="I601" t="str">
        <f>VLOOKUP(transactions_table8[[#This Row],[market_code]],markets_table!$A:$B,2,0)</f>
        <v>Delhi NCR</v>
      </c>
      <c r="J601" t="str">
        <f>VLOOKUP(transactions_table8[[#This Row],[market_code]],markets_table!$A:$C,3,0)</f>
        <v>North</v>
      </c>
      <c r="K601" t="str">
        <f>VLOOKUP(transactions_table8[[#This Row],[customer_code]],customer_table!$A:$B,2,0)</f>
        <v>Electricalsara Stores</v>
      </c>
      <c r="L601" t="str">
        <f>VLOOKUP(transactions_table8[[#This Row],[customer_code]],customer_table!$A:$C,3,0)</f>
        <v>Brick &amp; Mortar</v>
      </c>
      <c r="M601">
        <f>IF(TRIM(CLEAN(transactions_table8[[#This Row],[currency]]))="USD",transactions_table8[[#This Row],[sales_amount]]*83,transactions_table8[[#This Row],[sales_amount]])</f>
        <v>19727</v>
      </c>
    </row>
    <row r="602" spans="1:13" x14ac:dyDescent="0.3">
      <c r="A602" t="s">
        <v>190</v>
      </c>
      <c r="B602" t="s">
        <v>14</v>
      </c>
      <c r="C602" t="s">
        <v>144</v>
      </c>
      <c r="D602" s="1">
        <v>43327</v>
      </c>
      <c r="E602">
        <v>2</v>
      </c>
      <c r="F602">
        <v>3324</v>
      </c>
      <c r="G602" t="s">
        <v>462</v>
      </c>
      <c r="H602" t="str">
        <f>VLOOKUP(A602, product_table!$A:$C, 3, 0)</f>
        <v>Own Brand</v>
      </c>
      <c r="I602" t="str">
        <f>VLOOKUP(transactions_table8[[#This Row],[market_code]],markets_table!$A:$B,2,0)</f>
        <v>Delhi NCR</v>
      </c>
      <c r="J602" t="str">
        <f>VLOOKUP(transactions_table8[[#This Row],[market_code]],markets_table!$A:$C,3,0)</f>
        <v>North</v>
      </c>
      <c r="K602" t="str">
        <f>VLOOKUP(transactions_table8[[#This Row],[customer_code]],customer_table!$A:$B,2,0)</f>
        <v>Electricalsara Stores</v>
      </c>
      <c r="L602" t="str">
        <f>VLOOKUP(transactions_table8[[#This Row],[customer_code]],customer_table!$A:$C,3,0)</f>
        <v>Brick &amp; Mortar</v>
      </c>
      <c r="M602">
        <f>IF(TRIM(CLEAN(transactions_table8[[#This Row],[currency]]))="USD",transactions_table8[[#This Row],[sales_amount]]*83,transactions_table8[[#This Row],[sales_amount]])</f>
        <v>3324</v>
      </c>
    </row>
    <row r="603" spans="1:13" x14ac:dyDescent="0.3">
      <c r="A603" t="s">
        <v>190</v>
      </c>
      <c r="B603" t="s">
        <v>16</v>
      </c>
      <c r="C603" t="s">
        <v>144</v>
      </c>
      <c r="D603" s="1">
        <v>43355</v>
      </c>
      <c r="E603">
        <v>227</v>
      </c>
      <c r="F603">
        <v>103889</v>
      </c>
      <c r="G603" t="s">
        <v>462</v>
      </c>
      <c r="H603" t="str">
        <f>VLOOKUP(A603, product_table!$A:$C, 3, 0)</f>
        <v>Own Brand</v>
      </c>
      <c r="I603" t="str">
        <f>VLOOKUP(transactions_table8[[#This Row],[market_code]],markets_table!$A:$B,2,0)</f>
        <v>Delhi NCR</v>
      </c>
      <c r="J603" t="str">
        <f>VLOOKUP(transactions_table8[[#This Row],[market_code]],markets_table!$A:$C,3,0)</f>
        <v>North</v>
      </c>
      <c r="K603" t="str">
        <f>VLOOKUP(transactions_table8[[#This Row],[customer_code]],customer_table!$A:$B,2,0)</f>
        <v>Info Stores</v>
      </c>
      <c r="L603" t="str">
        <f>VLOOKUP(transactions_table8[[#This Row],[customer_code]],customer_table!$A:$C,3,0)</f>
        <v>Brick &amp; Mortar</v>
      </c>
      <c r="M603">
        <f>IF(TRIM(CLEAN(transactions_table8[[#This Row],[currency]]))="USD",transactions_table8[[#This Row],[sales_amount]]*83,transactions_table8[[#This Row],[sales_amount]])</f>
        <v>103889</v>
      </c>
    </row>
    <row r="604" spans="1:13" x14ac:dyDescent="0.3">
      <c r="A604" t="s">
        <v>190</v>
      </c>
      <c r="B604" t="s">
        <v>16</v>
      </c>
      <c r="C604" t="s">
        <v>144</v>
      </c>
      <c r="D604" s="1">
        <v>43356</v>
      </c>
      <c r="E604">
        <v>36</v>
      </c>
      <c r="F604">
        <v>18167</v>
      </c>
      <c r="G604" t="s">
        <v>462</v>
      </c>
      <c r="H604" t="str">
        <f>VLOOKUP(A604, product_table!$A:$C, 3, 0)</f>
        <v>Own Brand</v>
      </c>
      <c r="I604" t="str">
        <f>VLOOKUP(transactions_table8[[#This Row],[market_code]],markets_table!$A:$B,2,0)</f>
        <v>Delhi NCR</v>
      </c>
      <c r="J604" t="str">
        <f>VLOOKUP(transactions_table8[[#This Row],[market_code]],markets_table!$A:$C,3,0)</f>
        <v>North</v>
      </c>
      <c r="K604" t="str">
        <f>VLOOKUP(transactions_table8[[#This Row],[customer_code]],customer_table!$A:$B,2,0)</f>
        <v>Info Stores</v>
      </c>
      <c r="L604" t="str">
        <f>VLOOKUP(transactions_table8[[#This Row],[customer_code]],customer_table!$A:$C,3,0)</f>
        <v>Brick &amp; Mortar</v>
      </c>
      <c r="M604">
        <f>IF(TRIM(CLEAN(transactions_table8[[#This Row],[currency]]))="USD",transactions_table8[[#This Row],[sales_amount]]*83,transactions_table8[[#This Row],[sales_amount]])</f>
        <v>18167</v>
      </c>
    </row>
    <row r="605" spans="1:13" x14ac:dyDescent="0.3">
      <c r="A605" t="s">
        <v>190</v>
      </c>
      <c r="B605" t="s">
        <v>14</v>
      </c>
      <c r="C605" t="s">
        <v>144</v>
      </c>
      <c r="D605" s="1">
        <v>43502</v>
      </c>
      <c r="E605">
        <v>112</v>
      </c>
      <c r="F605">
        <v>106560</v>
      </c>
      <c r="G605" t="s">
        <v>462</v>
      </c>
      <c r="H605" t="str">
        <f>VLOOKUP(A605, product_table!$A:$C, 3, 0)</f>
        <v>Own Brand</v>
      </c>
      <c r="I605" t="str">
        <f>VLOOKUP(transactions_table8[[#This Row],[market_code]],markets_table!$A:$B,2,0)</f>
        <v>Delhi NCR</v>
      </c>
      <c r="J605" t="str">
        <f>VLOOKUP(transactions_table8[[#This Row],[market_code]],markets_table!$A:$C,3,0)</f>
        <v>North</v>
      </c>
      <c r="K605" t="str">
        <f>VLOOKUP(transactions_table8[[#This Row],[customer_code]],customer_table!$A:$B,2,0)</f>
        <v>Electricalsara Stores</v>
      </c>
      <c r="L605" t="str">
        <f>VLOOKUP(transactions_table8[[#This Row],[customer_code]],customer_table!$A:$C,3,0)</f>
        <v>Brick &amp; Mortar</v>
      </c>
      <c r="M605">
        <f>IF(TRIM(CLEAN(transactions_table8[[#This Row],[currency]]))="USD",transactions_table8[[#This Row],[sales_amount]]*83,transactions_table8[[#This Row],[sales_amount]])</f>
        <v>106560</v>
      </c>
    </row>
    <row r="606" spans="1:13" x14ac:dyDescent="0.3">
      <c r="A606" t="s">
        <v>190</v>
      </c>
      <c r="B606" t="s">
        <v>14</v>
      </c>
      <c r="C606" t="s">
        <v>144</v>
      </c>
      <c r="D606" s="1">
        <v>43539</v>
      </c>
      <c r="E606">
        <v>50</v>
      </c>
      <c r="F606">
        <v>90130</v>
      </c>
      <c r="G606" t="s">
        <v>462</v>
      </c>
      <c r="H606" t="str">
        <f>VLOOKUP(A606, product_table!$A:$C, 3, 0)</f>
        <v>Own Brand</v>
      </c>
      <c r="I606" t="str">
        <f>VLOOKUP(transactions_table8[[#This Row],[market_code]],markets_table!$A:$B,2,0)</f>
        <v>Delhi NCR</v>
      </c>
      <c r="J606" t="str">
        <f>VLOOKUP(transactions_table8[[#This Row],[market_code]],markets_table!$A:$C,3,0)</f>
        <v>North</v>
      </c>
      <c r="K606" t="str">
        <f>VLOOKUP(transactions_table8[[#This Row],[customer_code]],customer_table!$A:$B,2,0)</f>
        <v>Electricalsara Stores</v>
      </c>
      <c r="L606" t="str">
        <f>VLOOKUP(transactions_table8[[#This Row],[customer_code]],customer_table!$A:$C,3,0)</f>
        <v>Brick &amp; Mortar</v>
      </c>
      <c r="M606">
        <f>IF(TRIM(CLEAN(transactions_table8[[#This Row],[currency]]))="USD",transactions_table8[[#This Row],[sales_amount]]*83,transactions_table8[[#This Row],[sales_amount]])</f>
        <v>90130</v>
      </c>
    </row>
    <row r="607" spans="1:13" x14ac:dyDescent="0.3">
      <c r="A607" t="s">
        <v>190</v>
      </c>
      <c r="B607" t="s">
        <v>14</v>
      </c>
      <c r="C607" t="s">
        <v>144</v>
      </c>
      <c r="D607" s="1">
        <v>43546</v>
      </c>
      <c r="E607">
        <v>30</v>
      </c>
      <c r="F607">
        <v>54079</v>
      </c>
      <c r="G607" t="s">
        <v>462</v>
      </c>
      <c r="H607" t="str">
        <f>VLOOKUP(A607, product_table!$A:$C, 3, 0)</f>
        <v>Own Brand</v>
      </c>
      <c r="I607" t="str">
        <f>VLOOKUP(transactions_table8[[#This Row],[market_code]],markets_table!$A:$B,2,0)</f>
        <v>Delhi NCR</v>
      </c>
      <c r="J607" t="str">
        <f>VLOOKUP(transactions_table8[[#This Row],[market_code]],markets_table!$A:$C,3,0)</f>
        <v>North</v>
      </c>
      <c r="K607" t="str">
        <f>VLOOKUP(transactions_table8[[#This Row],[customer_code]],customer_table!$A:$B,2,0)</f>
        <v>Electricalsara Stores</v>
      </c>
      <c r="L607" t="str">
        <f>VLOOKUP(transactions_table8[[#This Row],[customer_code]],customer_table!$A:$C,3,0)</f>
        <v>Brick &amp; Mortar</v>
      </c>
      <c r="M607">
        <f>IF(TRIM(CLEAN(transactions_table8[[#This Row],[currency]]))="USD",transactions_table8[[#This Row],[sales_amount]]*83,transactions_table8[[#This Row],[sales_amount]])</f>
        <v>54079</v>
      </c>
    </row>
    <row r="608" spans="1:13" x14ac:dyDescent="0.3">
      <c r="A608" t="s">
        <v>190</v>
      </c>
      <c r="B608" t="s">
        <v>45</v>
      </c>
      <c r="C608" t="s">
        <v>146</v>
      </c>
      <c r="D608" s="1">
        <v>43593</v>
      </c>
      <c r="E608">
        <v>182</v>
      </c>
      <c r="F608">
        <v>153815</v>
      </c>
      <c r="G608" t="s">
        <v>462</v>
      </c>
      <c r="H608" t="str">
        <f>VLOOKUP(A608, product_table!$A:$C, 3, 0)</f>
        <v>Own Brand</v>
      </c>
      <c r="I608" t="str">
        <f>VLOOKUP(transactions_table8[[#This Row],[market_code]],markets_table!$A:$B,2,0)</f>
        <v>Kanpur</v>
      </c>
      <c r="J608" t="str">
        <f>VLOOKUP(transactions_table8[[#This Row],[market_code]],markets_table!$A:$C,3,0)</f>
        <v>North</v>
      </c>
      <c r="K608" t="str">
        <f>VLOOKUP(transactions_table8[[#This Row],[customer_code]],customer_table!$A:$B,2,0)</f>
        <v>Modular</v>
      </c>
      <c r="L608" t="str">
        <f>VLOOKUP(transactions_table8[[#This Row],[customer_code]],customer_table!$A:$C,3,0)</f>
        <v>E-Commerce</v>
      </c>
      <c r="M608">
        <f>IF(TRIM(CLEAN(transactions_table8[[#This Row],[currency]]))="USD",transactions_table8[[#This Row],[sales_amount]]*83,transactions_table8[[#This Row],[sales_amount]])</f>
        <v>153815</v>
      </c>
    </row>
    <row r="609" spans="1:13" x14ac:dyDescent="0.3">
      <c r="A609" t="s">
        <v>190</v>
      </c>
      <c r="B609" t="s">
        <v>12</v>
      </c>
      <c r="C609" t="s">
        <v>144</v>
      </c>
      <c r="D609" s="1">
        <v>43602</v>
      </c>
      <c r="E609">
        <v>1</v>
      </c>
      <c r="F609">
        <v>306</v>
      </c>
      <c r="G609" t="s">
        <v>462</v>
      </c>
      <c r="H609" t="str">
        <f>VLOOKUP(A609, product_table!$A:$C, 3, 0)</f>
        <v>Own Brand</v>
      </c>
      <c r="I609" t="str">
        <f>VLOOKUP(transactions_table8[[#This Row],[market_code]],markets_table!$A:$B,2,0)</f>
        <v>Delhi NCR</v>
      </c>
      <c r="J609" t="str">
        <f>VLOOKUP(transactions_table8[[#This Row],[market_code]],markets_table!$A:$C,3,0)</f>
        <v>North</v>
      </c>
      <c r="K609" t="str">
        <f>VLOOKUP(transactions_table8[[#This Row],[customer_code]],customer_table!$A:$B,2,0)</f>
        <v>Premium Stores</v>
      </c>
      <c r="L609" t="str">
        <f>VLOOKUP(transactions_table8[[#This Row],[customer_code]],customer_table!$A:$C,3,0)</f>
        <v>Brick &amp; Mortar</v>
      </c>
      <c r="M609">
        <f>IF(TRIM(CLEAN(transactions_table8[[#This Row],[currency]]))="USD",transactions_table8[[#This Row],[sales_amount]]*83,transactions_table8[[#This Row],[sales_amount]])</f>
        <v>306</v>
      </c>
    </row>
    <row r="610" spans="1:13" x14ac:dyDescent="0.3">
      <c r="A610" t="s">
        <v>190</v>
      </c>
      <c r="B610" t="s">
        <v>45</v>
      </c>
      <c r="C610" t="s">
        <v>146</v>
      </c>
      <c r="D610" s="1">
        <v>43658</v>
      </c>
      <c r="E610">
        <v>157</v>
      </c>
      <c r="F610">
        <v>132519</v>
      </c>
      <c r="G610" t="s">
        <v>462</v>
      </c>
      <c r="H610" t="str">
        <f>VLOOKUP(A610, product_table!$A:$C, 3, 0)</f>
        <v>Own Brand</v>
      </c>
      <c r="I610" t="str">
        <f>VLOOKUP(transactions_table8[[#This Row],[market_code]],markets_table!$A:$B,2,0)</f>
        <v>Kanpur</v>
      </c>
      <c r="J610" t="str">
        <f>VLOOKUP(transactions_table8[[#This Row],[market_code]],markets_table!$A:$C,3,0)</f>
        <v>North</v>
      </c>
      <c r="K610" t="str">
        <f>VLOOKUP(transactions_table8[[#This Row],[customer_code]],customer_table!$A:$B,2,0)</f>
        <v>Modular</v>
      </c>
      <c r="L610" t="str">
        <f>VLOOKUP(transactions_table8[[#This Row],[customer_code]],customer_table!$A:$C,3,0)</f>
        <v>E-Commerce</v>
      </c>
      <c r="M610">
        <f>IF(TRIM(CLEAN(transactions_table8[[#This Row],[currency]]))="USD",transactions_table8[[#This Row],[sales_amount]]*83,transactions_table8[[#This Row],[sales_amount]])</f>
        <v>132519</v>
      </c>
    </row>
    <row r="611" spans="1:13" x14ac:dyDescent="0.3">
      <c r="A611" t="s">
        <v>190</v>
      </c>
      <c r="B611" t="s">
        <v>14</v>
      </c>
      <c r="C611" t="s">
        <v>144</v>
      </c>
      <c r="D611" s="1">
        <v>43675</v>
      </c>
      <c r="E611">
        <v>111</v>
      </c>
      <c r="F611">
        <v>152833</v>
      </c>
      <c r="G611" t="s">
        <v>462</v>
      </c>
      <c r="H611" t="str">
        <f>VLOOKUP(A611, product_table!$A:$C, 3, 0)</f>
        <v>Own Brand</v>
      </c>
      <c r="I611" t="str">
        <f>VLOOKUP(transactions_table8[[#This Row],[market_code]],markets_table!$A:$B,2,0)</f>
        <v>Delhi NCR</v>
      </c>
      <c r="J611" t="str">
        <f>VLOOKUP(transactions_table8[[#This Row],[market_code]],markets_table!$A:$C,3,0)</f>
        <v>North</v>
      </c>
      <c r="K611" t="str">
        <f>VLOOKUP(transactions_table8[[#This Row],[customer_code]],customer_table!$A:$B,2,0)</f>
        <v>Electricalsara Stores</v>
      </c>
      <c r="L611" t="str">
        <f>VLOOKUP(transactions_table8[[#This Row],[customer_code]],customer_table!$A:$C,3,0)</f>
        <v>Brick &amp; Mortar</v>
      </c>
      <c r="M611">
        <f>IF(TRIM(CLEAN(transactions_table8[[#This Row],[currency]]))="USD",transactions_table8[[#This Row],[sales_amount]]*83,transactions_table8[[#This Row],[sales_amount]])</f>
        <v>152833</v>
      </c>
    </row>
    <row r="612" spans="1:13" x14ac:dyDescent="0.3">
      <c r="A612" t="s">
        <v>190</v>
      </c>
      <c r="B612" t="s">
        <v>14</v>
      </c>
      <c r="C612" t="s">
        <v>144</v>
      </c>
      <c r="D612" s="1">
        <v>43678</v>
      </c>
      <c r="E612">
        <v>7</v>
      </c>
      <c r="F612">
        <v>10144</v>
      </c>
      <c r="G612" t="s">
        <v>462</v>
      </c>
      <c r="H612" t="str">
        <f>VLOOKUP(A612, product_table!$A:$C, 3, 0)</f>
        <v>Own Brand</v>
      </c>
      <c r="I612" t="str">
        <f>VLOOKUP(transactions_table8[[#This Row],[market_code]],markets_table!$A:$B,2,0)</f>
        <v>Delhi NCR</v>
      </c>
      <c r="J612" t="str">
        <f>VLOOKUP(transactions_table8[[#This Row],[market_code]],markets_table!$A:$C,3,0)</f>
        <v>North</v>
      </c>
      <c r="K612" t="str">
        <f>VLOOKUP(transactions_table8[[#This Row],[customer_code]],customer_table!$A:$B,2,0)</f>
        <v>Electricalsara Stores</v>
      </c>
      <c r="L612" t="str">
        <f>VLOOKUP(transactions_table8[[#This Row],[customer_code]],customer_table!$A:$C,3,0)</f>
        <v>Brick &amp; Mortar</v>
      </c>
      <c r="M612">
        <f>IF(TRIM(CLEAN(transactions_table8[[#This Row],[currency]]))="USD",transactions_table8[[#This Row],[sales_amount]]*83,transactions_table8[[#This Row],[sales_amount]])</f>
        <v>10144</v>
      </c>
    </row>
    <row r="613" spans="1:13" x14ac:dyDescent="0.3">
      <c r="A613" t="s">
        <v>190</v>
      </c>
      <c r="B613" t="s">
        <v>14</v>
      </c>
      <c r="C613" t="s">
        <v>144</v>
      </c>
      <c r="D613" s="1">
        <v>43705</v>
      </c>
      <c r="E613">
        <v>7</v>
      </c>
      <c r="F613">
        <v>8991</v>
      </c>
      <c r="G613" t="s">
        <v>462</v>
      </c>
      <c r="H613" t="str">
        <f>VLOOKUP(A613, product_table!$A:$C, 3, 0)</f>
        <v>Own Brand</v>
      </c>
      <c r="I613" t="str">
        <f>VLOOKUP(transactions_table8[[#This Row],[market_code]],markets_table!$A:$B,2,0)</f>
        <v>Delhi NCR</v>
      </c>
      <c r="J613" t="str">
        <f>VLOOKUP(transactions_table8[[#This Row],[market_code]],markets_table!$A:$C,3,0)</f>
        <v>North</v>
      </c>
      <c r="K613" t="str">
        <f>VLOOKUP(transactions_table8[[#This Row],[customer_code]],customer_table!$A:$B,2,0)</f>
        <v>Electricalsara Stores</v>
      </c>
      <c r="L613" t="str">
        <f>VLOOKUP(transactions_table8[[#This Row],[customer_code]],customer_table!$A:$C,3,0)</f>
        <v>Brick &amp; Mortar</v>
      </c>
      <c r="M613">
        <f>IF(TRIM(CLEAN(transactions_table8[[#This Row],[currency]]))="USD",transactions_table8[[#This Row],[sales_amount]]*83,transactions_table8[[#This Row],[sales_amount]])</f>
        <v>8991</v>
      </c>
    </row>
    <row r="614" spans="1:13" x14ac:dyDescent="0.3">
      <c r="A614" t="s">
        <v>190</v>
      </c>
      <c r="B614" t="s">
        <v>16</v>
      </c>
      <c r="C614" t="s">
        <v>144</v>
      </c>
      <c r="D614" s="1">
        <v>43714</v>
      </c>
      <c r="E614">
        <v>1</v>
      </c>
      <c r="F614">
        <v>1218</v>
      </c>
      <c r="G614" t="s">
        <v>462</v>
      </c>
      <c r="H614" t="str">
        <f>VLOOKUP(A614, product_table!$A:$C, 3, 0)</f>
        <v>Own Brand</v>
      </c>
      <c r="I614" t="str">
        <f>VLOOKUP(transactions_table8[[#This Row],[market_code]],markets_table!$A:$B,2,0)</f>
        <v>Delhi NCR</v>
      </c>
      <c r="J614" t="str">
        <f>VLOOKUP(transactions_table8[[#This Row],[market_code]],markets_table!$A:$C,3,0)</f>
        <v>North</v>
      </c>
      <c r="K614" t="str">
        <f>VLOOKUP(transactions_table8[[#This Row],[customer_code]],customer_table!$A:$B,2,0)</f>
        <v>Info Stores</v>
      </c>
      <c r="L614" t="str">
        <f>VLOOKUP(transactions_table8[[#This Row],[customer_code]],customer_table!$A:$C,3,0)</f>
        <v>Brick &amp; Mortar</v>
      </c>
      <c r="M614">
        <f>IF(TRIM(CLEAN(transactions_table8[[#This Row],[currency]]))="USD",transactions_table8[[#This Row],[sales_amount]]*83,transactions_table8[[#This Row],[sales_amount]])</f>
        <v>1218</v>
      </c>
    </row>
    <row r="615" spans="1:13" x14ac:dyDescent="0.3">
      <c r="A615" t="s">
        <v>190</v>
      </c>
      <c r="B615" t="s">
        <v>16</v>
      </c>
      <c r="C615" t="s">
        <v>144</v>
      </c>
      <c r="D615" s="1">
        <v>43721</v>
      </c>
      <c r="E615">
        <v>1</v>
      </c>
      <c r="F615">
        <v>1708</v>
      </c>
      <c r="G615" t="s">
        <v>462</v>
      </c>
      <c r="H615" t="str">
        <f>VLOOKUP(A615, product_table!$A:$C, 3, 0)</f>
        <v>Own Brand</v>
      </c>
      <c r="I615" t="str">
        <f>VLOOKUP(transactions_table8[[#This Row],[market_code]],markets_table!$A:$B,2,0)</f>
        <v>Delhi NCR</v>
      </c>
      <c r="J615" t="str">
        <f>VLOOKUP(transactions_table8[[#This Row],[market_code]],markets_table!$A:$C,3,0)</f>
        <v>North</v>
      </c>
      <c r="K615" t="str">
        <f>VLOOKUP(transactions_table8[[#This Row],[customer_code]],customer_table!$A:$B,2,0)</f>
        <v>Info Stores</v>
      </c>
      <c r="L615" t="str">
        <f>VLOOKUP(transactions_table8[[#This Row],[customer_code]],customer_table!$A:$C,3,0)</f>
        <v>Brick &amp; Mortar</v>
      </c>
      <c r="M615">
        <f>IF(TRIM(CLEAN(transactions_table8[[#This Row],[currency]]))="USD",transactions_table8[[#This Row],[sales_amount]]*83,transactions_table8[[#This Row],[sales_amount]])</f>
        <v>1708</v>
      </c>
    </row>
    <row r="616" spans="1:13" x14ac:dyDescent="0.3">
      <c r="A616" t="s">
        <v>190</v>
      </c>
      <c r="B616" t="s">
        <v>16</v>
      </c>
      <c r="C616" t="s">
        <v>144</v>
      </c>
      <c r="D616" s="1">
        <v>43727</v>
      </c>
      <c r="E616">
        <v>177</v>
      </c>
      <c r="F616">
        <v>79676</v>
      </c>
      <c r="G616" t="s">
        <v>462</v>
      </c>
      <c r="H616" t="str">
        <f>VLOOKUP(A616, product_table!$A:$C, 3, 0)</f>
        <v>Own Brand</v>
      </c>
      <c r="I616" t="str">
        <f>VLOOKUP(transactions_table8[[#This Row],[market_code]],markets_table!$A:$B,2,0)</f>
        <v>Delhi NCR</v>
      </c>
      <c r="J616" t="str">
        <f>VLOOKUP(transactions_table8[[#This Row],[market_code]],markets_table!$A:$C,3,0)</f>
        <v>North</v>
      </c>
      <c r="K616" t="str">
        <f>VLOOKUP(transactions_table8[[#This Row],[customer_code]],customer_table!$A:$B,2,0)</f>
        <v>Info Stores</v>
      </c>
      <c r="L616" t="str">
        <f>VLOOKUP(transactions_table8[[#This Row],[customer_code]],customer_table!$A:$C,3,0)</f>
        <v>Brick &amp; Mortar</v>
      </c>
      <c r="M616">
        <f>IF(TRIM(CLEAN(transactions_table8[[#This Row],[currency]]))="USD",transactions_table8[[#This Row],[sales_amount]]*83,transactions_table8[[#This Row],[sales_amount]])</f>
        <v>79676</v>
      </c>
    </row>
    <row r="617" spans="1:13" x14ac:dyDescent="0.3">
      <c r="A617" t="s">
        <v>190</v>
      </c>
      <c r="B617" t="s">
        <v>16</v>
      </c>
      <c r="C617" t="s">
        <v>144</v>
      </c>
      <c r="D617" s="1">
        <v>43728</v>
      </c>
      <c r="E617">
        <v>1</v>
      </c>
      <c r="F617">
        <v>486</v>
      </c>
      <c r="G617" t="s">
        <v>462</v>
      </c>
      <c r="H617" t="str">
        <f>VLOOKUP(A617, product_table!$A:$C, 3, 0)</f>
        <v>Own Brand</v>
      </c>
      <c r="I617" t="str">
        <f>VLOOKUP(transactions_table8[[#This Row],[market_code]],markets_table!$A:$B,2,0)</f>
        <v>Delhi NCR</v>
      </c>
      <c r="J617" t="str">
        <f>VLOOKUP(transactions_table8[[#This Row],[market_code]],markets_table!$A:$C,3,0)</f>
        <v>North</v>
      </c>
      <c r="K617" t="str">
        <f>VLOOKUP(transactions_table8[[#This Row],[customer_code]],customer_table!$A:$B,2,0)</f>
        <v>Info Stores</v>
      </c>
      <c r="L617" t="str">
        <f>VLOOKUP(transactions_table8[[#This Row],[customer_code]],customer_table!$A:$C,3,0)</f>
        <v>Brick &amp; Mortar</v>
      </c>
      <c r="M617">
        <f>IF(TRIM(CLEAN(transactions_table8[[#This Row],[currency]]))="USD",transactions_table8[[#This Row],[sales_amount]]*83,transactions_table8[[#This Row],[sales_amount]])</f>
        <v>486</v>
      </c>
    </row>
    <row r="618" spans="1:13" x14ac:dyDescent="0.3">
      <c r="A618" t="s">
        <v>190</v>
      </c>
      <c r="B618" t="s">
        <v>14</v>
      </c>
      <c r="C618" t="s">
        <v>144</v>
      </c>
      <c r="D618" s="1">
        <v>43748</v>
      </c>
      <c r="E618">
        <v>18</v>
      </c>
      <c r="F618">
        <v>25356</v>
      </c>
      <c r="G618" t="s">
        <v>462</v>
      </c>
      <c r="H618" t="str">
        <f>VLOOKUP(A618, product_table!$A:$C, 3, 0)</f>
        <v>Own Brand</v>
      </c>
      <c r="I618" t="str">
        <f>VLOOKUP(transactions_table8[[#This Row],[market_code]],markets_table!$A:$B,2,0)</f>
        <v>Delhi NCR</v>
      </c>
      <c r="J618" t="str">
        <f>VLOOKUP(transactions_table8[[#This Row],[market_code]],markets_table!$A:$C,3,0)</f>
        <v>North</v>
      </c>
      <c r="K618" t="str">
        <f>VLOOKUP(transactions_table8[[#This Row],[customer_code]],customer_table!$A:$B,2,0)</f>
        <v>Electricalsara Stores</v>
      </c>
      <c r="L618" t="str">
        <f>VLOOKUP(transactions_table8[[#This Row],[customer_code]],customer_table!$A:$C,3,0)</f>
        <v>Brick &amp; Mortar</v>
      </c>
      <c r="M618">
        <f>IF(TRIM(CLEAN(transactions_table8[[#This Row],[currency]]))="USD",transactions_table8[[#This Row],[sales_amount]]*83,transactions_table8[[#This Row],[sales_amount]])</f>
        <v>25356</v>
      </c>
    </row>
    <row r="619" spans="1:13" x14ac:dyDescent="0.3">
      <c r="A619" t="s">
        <v>190</v>
      </c>
      <c r="B619" t="s">
        <v>14</v>
      </c>
      <c r="C619" t="s">
        <v>144</v>
      </c>
      <c r="D619" s="1">
        <v>43776</v>
      </c>
      <c r="E619">
        <v>13</v>
      </c>
      <c r="F619">
        <v>17519</v>
      </c>
      <c r="G619" t="s">
        <v>462</v>
      </c>
      <c r="H619" t="str">
        <f>VLOOKUP(A619, product_table!$A:$C, 3, 0)</f>
        <v>Own Brand</v>
      </c>
      <c r="I619" t="str">
        <f>VLOOKUP(transactions_table8[[#This Row],[market_code]],markets_table!$A:$B,2,0)</f>
        <v>Delhi NCR</v>
      </c>
      <c r="J619" t="str">
        <f>VLOOKUP(transactions_table8[[#This Row],[market_code]],markets_table!$A:$C,3,0)</f>
        <v>North</v>
      </c>
      <c r="K619" t="str">
        <f>VLOOKUP(transactions_table8[[#This Row],[customer_code]],customer_table!$A:$B,2,0)</f>
        <v>Electricalsara Stores</v>
      </c>
      <c r="L619" t="str">
        <f>VLOOKUP(transactions_table8[[#This Row],[customer_code]],customer_table!$A:$C,3,0)</f>
        <v>Brick &amp; Mortar</v>
      </c>
      <c r="M619">
        <f>IF(TRIM(CLEAN(transactions_table8[[#This Row],[currency]]))="USD",transactions_table8[[#This Row],[sales_amount]]*83,transactions_table8[[#This Row],[sales_amount]])</f>
        <v>17519</v>
      </c>
    </row>
    <row r="620" spans="1:13" x14ac:dyDescent="0.3">
      <c r="A620" t="s">
        <v>190</v>
      </c>
      <c r="B620" t="s">
        <v>16</v>
      </c>
      <c r="C620" t="s">
        <v>144</v>
      </c>
      <c r="D620" s="1">
        <v>43798</v>
      </c>
      <c r="E620">
        <v>4</v>
      </c>
      <c r="F620">
        <v>6338</v>
      </c>
      <c r="G620" t="s">
        <v>462</v>
      </c>
      <c r="H620" t="str">
        <f>VLOOKUP(A620, product_table!$A:$C, 3, 0)</f>
        <v>Own Brand</v>
      </c>
      <c r="I620" t="str">
        <f>VLOOKUP(transactions_table8[[#This Row],[market_code]],markets_table!$A:$B,2,0)</f>
        <v>Delhi NCR</v>
      </c>
      <c r="J620" t="str">
        <f>VLOOKUP(transactions_table8[[#This Row],[market_code]],markets_table!$A:$C,3,0)</f>
        <v>North</v>
      </c>
      <c r="K620" t="str">
        <f>VLOOKUP(transactions_table8[[#This Row],[customer_code]],customer_table!$A:$B,2,0)</f>
        <v>Info Stores</v>
      </c>
      <c r="L620" t="str">
        <f>VLOOKUP(transactions_table8[[#This Row],[customer_code]],customer_table!$A:$C,3,0)</f>
        <v>Brick &amp; Mortar</v>
      </c>
      <c r="M620">
        <f>IF(TRIM(CLEAN(transactions_table8[[#This Row],[currency]]))="USD",transactions_table8[[#This Row],[sales_amount]]*83,transactions_table8[[#This Row],[sales_amount]])</f>
        <v>6338</v>
      </c>
    </row>
    <row r="621" spans="1:13" x14ac:dyDescent="0.3">
      <c r="A621" t="s">
        <v>191</v>
      </c>
      <c r="B621" t="s">
        <v>47</v>
      </c>
      <c r="C621" t="s">
        <v>138</v>
      </c>
      <c r="D621" s="1">
        <v>43013</v>
      </c>
      <c r="E621">
        <v>4</v>
      </c>
      <c r="F621">
        <v>9190</v>
      </c>
      <c r="G621" t="s">
        <v>462</v>
      </c>
      <c r="H621" t="str">
        <f>VLOOKUP(A621, product_table!$A:$C, 3, 0)</f>
        <v>Own Brand</v>
      </c>
      <c r="I621" t="str">
        <f>VLOOKUP(transactions_table8[[#This Row],[market_code]],markets_table!$A:$B,2,0)</f>
        <v>Mumbai</v>
      </c>
      <c r="J621" t="str">
        <f>VLOOKUP(transactions_table8[[#This Row],[market_code]],markets_table!$A:$C,3,0)</f>
        <v>Central</v>
      </c>
      <c r="K621" t="str">
        <f>VLOOKUP(transactions_table8[[#This Row],[customer_code]],customer_table!$A:$B,2,0)</f>
        <v>Electricalslytical</v>
      </c>
      <c r="L621" t="str">
        <f>VLOOKUP(transactions_table8[[#This Row],[customer_code]],customer_table!$A:$C,3,0)</f>
        <v>E-Commerce</v>
      </c>
      <c r="M621">
        <f>IF(TRIM(CLEAN(transactions_table8[[#This Row],[currency]]))="USD",transactions_table8[[#This Row],[sales_amount]]*83,transactions_table8[[#This Row],[sales_amount]])</f>
        <v>9190</v>
      </c>
    </row>
    <row r="622" spans="1:13" x14ac:dyDescent="0.3">
      <c r="A622" t="s">
        <v>191</v>
      </c>
      <c r="B622" t="s">
        <v>34</v>
      </c>
      <c r="C622" t="s">
        <v>138</v>
      </c>
      <c r="D622" s="1">
        <v>43014</v>
      </c>
      <c r="E622">
        <v>4</v>
      </c>
      <c r="F622">
        <v>8384</v>
      </c>
      <c r="G622" t="s">
        <v>462</v>
      </c>
      <c r="H622" t="str">
        <f>VLOOKUP(A622, product_table!$A:$C, 3, 0)</f>
        <v>Own Brand</v>
      </c>
      <c r="I622" t="str">
        <f>VLOOKUP(transactions_table8[[#This Row],[market_code]],markets_table!$A:$B,2,0)</f>
        <v>Mumbai</v>
      </c>
      <c r="J622" t="str">
        <f>VLOOKUP(transactions_table8[[#This Row],[market_code]],markets_table!$A:$C,3,0)</f>
        <v>Central</v>
      </c>
      <c r="K622" t="str">
        <f>VLOOKUP(transactions_table8[[#This Row],[customer_code]],customer_table!$A:$B,2,0)</f>
        <v>Logic Stores</v>
      </c>
      <c r="L622" t="str">
        <f>VLOOKUP(transactions_table8[[#This Row],[customer_code]],customer_table!$A:$C,3,0)</f>
        <v>Brick &amp; Mortar</v>
      </c>
      <c r="M622">
        <f>IF(TRIM(CLEAN(transactions_table8[[#This Row],[currency]]))="USD",transactions_table8[[#This Row],[sales_amount]]*83,transactions_table8[[#This Row],[sales_amount]])</f>
        <v>8384</v>
      </c>
    </row>
    <row r="623" spans="1:13" x14ac:dyDescent="0.3">
      <c r="A623" t="s">
        <v>191</v>
      </c>
      <c r="B623" t="s">
        <v>34</v>
      </c>
      <c r="C623" t="s">
        <v>138</v>
      </c>
      <c r="D623" s="1">
        <v>43020</v>
      </c>
      <c r="E623">
        <v>2</v>
      </c>
      <c r="F623">
        <v>4889</v>
      </c>
      <c r="G623" t="s">
        <v>462</v>
      </c>
      <c r="H623" t="str">
        <f>VLOOKUP(A623, product_table!$A:$C, 3, 0)</f>
        <v>Own Brand</v>
      </c>
      <c r="I623" t="str">
        <f>VLOOKUP(transactions_table8[[#This Row],[market_code]],markets_table!$A:$B,2,0)</f>
        <v>Mumbai</v>
      </c>
      <c r="J623" t="str">
        <f>VLOOKUP(transactions_table8[[#This Row],[market_code]],markets_table!$A:$C,3,0)</f>
        <v>Central</v>
      </c>
      <c r="K623" t="str">
        <f>VLOOKUP(transactions_table8[[#This Row],[customer_code]],customer_table!$A:$B,2,0)</f>
        <v>Logic Stores</v>
      </c>
      <c r="L623" t="str">
        <f>VLOOKUP(transactions_table8[[#This Row],[customer_code]],customer_table!$A:$C,3,0)</f>
        <v>Brick &amp; Mortar</v>
      </c>
      <c r="M623">
        <f>IF(TRIM(CLEAN(transactions_table8[[#This Row],[currency]]))="USD",transactions_table8[[#This Row],[sales_amount]]*83,transactions_table8[[#This Row],[sales_amount]])</f>
        <v>4889</v>
      </c>
    </row>
    <row r="624" spans="1:13" x14ac:dyDescent="0.3">
      <c r="A624" t="s">
        <v>191</v>
      </c>
      <c r="B624" t="s">
        <v>34</v>
      </c>
      <c r="C624" t="s">
        <v>138</v>
      </c>
      <c r="D624" s="1">
        <v>43021</v>
      </c>
      <c r="E624">
        <v>2</v>
      </c>
      <c r="F624">
        <v>3495</v>
      </c>
      <c r="G624" t="s">
        <v>462</v>
      </c>
      <c r="H624" t="str">
        <f>VLOOKUP(A624, product_table!$A:$C, 3, 0)</f>
        <v>Own Brand</v>
      </c>
      <c r="I624" t="str">
        <f>VLOOKUP(transactions_table8[[#This Row],[market_code]],markets_table!$A:$B,2,0)</f>
        <v>Mumbai</v>
      </c>
      <c r="J624" t="str">
        <f>VLOOKUP(transactions_table8[[#This Row],[market_code]],markets_table!$A:$C,3,0)</f>
        <v>Central</v>
      </c>
      <c r="K624" t="str">
        <f>VLOOKUP(transactions_table8[[#This Row],[customer_code]],customer_table!$A:$B,2,0)</f>
        <v>Logic Stores</v>
      </c>
      <c r="L624" t="str">
        <f>VLOOKUP(transactions_table8[[#This Row],[customer_code]],customer_table!$A:$C,3,0)</f>
        <v>Brick &amp; Mortar</v>
      </c>
      <c r="M624">
        <f>IF(TRIM(CLEAN(transactions_table8[[#This Row],[currency]]))="USD",transactions_table8[[#This Row],[sales_amount]]*83,transactions_table8[[#This Row],[sales_amount]])</f>
        <v>3495</v>
      </c>
    </row>
    <row r="625" spans="1:13" x14ac:dyDescent="0.3">
      <c r="A625" t="s">
        <v>191</v>
      </c>
      <c r="B625" t="s">
        <v>49</v>
      </c>
      <c r="C625" t="s">
        <v>138</v>
      </c>
      <c r="D625" s="1">
        <v>43021</v>
      </c>
      <c r="E625">
        <v>1</v>
      </c>
      <c r="F625">
        <v>2065</v>
      </c>
      <c r="G625" t="s">
        <v>462</v>
      </c>
      <c r="H625" t="str">
        <f>VLOOKUP(A625, product_table!$A:$C, 3, 0)</f>
        <v>Own Brand</v>
      </c>
      <c r="I625" t="str">
        <f>VLOOKUP(transactions_table8[[#This Row],[market_code]],markets_table!$A:$B,2,0)</f>
        <v>Mumbai</v>
      </c>
      <c r="J625" t="str">
        <f>VLOOKUP(transactions_table8[[#This Row],[market_code]],markets_table!$A:$C,3,0)</f>
        <v>Central</v>
      </c>
      <c r="K625" t="str">
        <f>VLOOKUP(transactions_table8[[#This Row],[customer_code]],customer_table!$A:$B,2,0)</f>
        <v>Sound</v>
      </c>
      <c r="L625" t="str">
        <f>VLOOKUP(transactions_table8[[#This Row],[customer_code]],customer_table!$A:$C,3,0)</f>
        <v>E-Commerce</v>
      </c>
      <c r="M625">
        <f>IF(TRIM(CLEAN(transactions_table8[[#This Row],[currency]]))="USD",transactions_table8[[#This Row],[sales_amount]]*83,transactions_table8[[#This Row],[sales_amount]])</f>
        <v>2065</v>
      </c>
    </row>
    <row r="626" spans="1:13" x14ac:dyDescent="0.3">
      <c r="A626" t="s">
        <v>191</v>
      </c>
      <c r="B626" t="s">
        <v>49</v>
      </c>
      <c r="C626" t="s">
        <v>138</v>
      </c>
      <c r="D626" s="1">
        <v>43033</v>
      </c>
      <c r="E626">
        <v>1</v>
      </c>
      <c r="F626">
        <v>1380</v>
      </c>
      <c r="G626" t="s">
        <v>462</v>
      </c>
      <c r="H626" t="str">
        <f>VLOOKUP(A626, product_table!$A:$C, 3, 0)</f>
        <v>Own Brand</v>
      </c>
      <c r="I626" t="str">
        <f>VLOOKUP(transactions_table8[[#This Row],[market_code]],markets_table!$A:$B,2,0)</f>
        <v>Mumbai</v>
      </c>
      <c r="J626" t="str">
        <f>VLOOKUP(transactions_table8[[#This Row],[market_code]],markets_table!$A:$C,3,0)</f>
        <v>Central</v>
      </c>
      <c r="K626" t="str">
        <f>VLOOKUP(transactions_table8[[#This Row],[customer_code]],customer_table!$A:$B,2,0)</f>
        <v>Sound</v>
      </c>
      <c r="L626" t="str">
        <f>VLOOKUP(transactions_table8[[#This Row],[customer_code]],customer_table!$A:$C,3,0)</f>
        <v>E-Commerce</v>
      </c>
      <c r="M626">
        <f>IF(TRIM(CLEAN(transactions_table8[[#This Row],[currency]]))="USD",transactions_table8[[#This Row],[sales_amount]]*83,transactions_table8[[#This Row],[sales_amount]])</f>
        <v>1380</v>
      </c>
    </row>
    <row r="627" spans="1:13" x14ac:dyDescent="0.3">
      <c r="A627" t="s">
        <v>191</v>
      </c>
      <c r="B627" t="s">
        <v>34</v>
      </c>
      <c r="C627" t="s">
        <v>138</v>
      </c>
      <c r="D627" s="1">
        <v>43035</v>
      </c>
      <c r="E627">
        <v>6</v>
      </c>
      <c r="F627">
        <v>11870</v>
      </c>
      <c r="G627" t="s">
        <v>462</v>
      </c>
      <c r="H627" t="str">
        <f>VLOOKUP(A627, product_table!$A:$C, 3, 0)</f>
        <v>Own Brand</v>
      </c>
      <c r="I627" t="str">
        <f>VLOOKUP(transactions_table8[[#This Row],[market_code]],markets_table!$A:$B,2,0)</f>
        <v>Mumbai</v>
      </c>
      <c r="J627" t="str">
        <f>VLOOKUP(transactions_table8[[#This Row],[market_code]],markets_table!$A:$C,3,0)</f>
        <v>Central</v>
      </c>
      <c r="K627" t="str">
        <f>VLOOKUP(transactions_table8[[#This Row],[customer_code]],customer_table!$A:$B,2,0)</f>
        <v>Logic Stores</v>
      </c>
      <c r="L627" t="str">
        <f>VLOOKUP(transactions_table8[[#This Row],[customer_code]],customer_table!$A:$C,3,0)</f>
        <v>Brick &amp; Mortar</v>
      </c>
      <c r="M627">
        <f>IF(TRIM(CLEAN(transactions_table8[[#This Row],[currency]]))="USD",transactions_table8[[#This Row],[sales_amount]]*83,transactions_table8[[#This Row],[sales_amount]])</f>
        <v>11870</v>
      </c>
    </row>
    <row r="628" spans="1:13" x14ac:dyDescent="0.3">
      <c r="A628" t="s">
        <v>191</v>
      </c>
      <c r="B628" t="s">
        <v>34</v>
      </c>
      <c r="C628" t="s">
        <v>138</v>
      </c>
      <c r="D628" s="1">
        <v>43042</v>
      </c>
      <c r="E628">
        <v>6</v>
      </c>
      <c r="F628">
        <v>12574</v>
      </c>
      <c r="G628" t="s">
        <v>462</v>
      </c>
      <c r="H628" t="str">
        <f>VLOOKUP(A628, product_table!$A:$C, 3, 0)</f>
        <v>Own Brand</v>
      </c>
      <c r="I628" t="str">
        <f>VLOOKUP(transactions_table8[[#This Row],[market_code]],markets_table!$A:$B,2,0)</f>
        <v>Mumbai</v>
      </c>
      <c r="J628" t="str">
        <f>VLOOKUP(transactions_table8[[#This Row],[market_code]],markets_table!$A:$C,3,0)</f>
        <v>Central</v>
      </c>
      <c r="K628" t="str">
        <f>VLOOKUP(transactions_table8[[#This Row],[customer_code]],customer_table!$A:$B,2,0)</f>
        <v>Logic Stores</v>
      </c>
      <c r="L628" t="str">
        <f>VLOOKUP(transactions_table8[[#This Row],[customer_code]],customer_table!$A:$C,3,0)</f>
        <v>Brick &amp; Mortar</v>
      </c>
      <c r="M628">
        <f>IF(TRIM(CLEAN(transactions_table8[[#This Row],[currency]]))="USD",transactions_table8[[#This Row],[sales_amount]]*83,transactions_table8[[#This Row],[sales_amount]])</f>
        <v>12574</v>
      </c>
    </row>
    <row r="629" spans="1:13" x14ac:dyDescent="0.3">
      <c r="A629" t="s">
        <v>191</v>
      </c>
      <c r="B629" t="s">
        <v>34</v>
      </c>
      <c r="C629" t="s">
        <v>138</v>
      </c>
      <c r="D629" s="1">
        <v>43045</v>
      </c>
      <c r="E629">
        <v>1</v>
      </c>
      <c r="F629">
        <v>2796</v>
      </c>
      <c r="G629" t="s">
        <v>462</v>
      </c>
      <c r="H629" t="str">
        <f>VLOOKUP(A629, product_table!$A:$C, 3, 0)</f>
        <v>Own Brand</v>
      </c>
      <c r="I629" t="str">
        <f>VLOOKUP(transactions_table8[[#This Row],[market_code]],markets_table!$A:$B,2,0)</f>
        <v>Mumbai</v>
      </c>
      <c r="J629" t="str">
        <f>VLOOKUP(transactions_table8[[#This Row],[market_code]],markets_table!$A:$C,3,0)</f>
        <v>Central</v>
      </c>
      <c r="K629" t="str">
        <f>VLOOKUP(transactions_table8[[#This Row],[customer_code]],customer_table!$A:$B,2,0)</f>
        <v>Logic Stores</v>
      </c>
      <c r="L629" t="str">
        <f>VLOOKUP(transactions_table8[[#This Row],[customer_code]],customer_table!$A:$C,3,0)</f>
        <v>Brick &amp; Mortar</v>
      </c>
      <c r="M629">
        <f>IF(TRIM(CLEAN(transactions_table8[[#This Row],[currency]]))="USD",transactions_table8[[#This Row],[sales_amount]]*83,transactions_table8[[#This Row],[sales_amount]])</f>
        <v>2796</v>
      </c>
    </row>
    <row r="630" spans="1:13" x14ac:dyDescent="0.3">
      <c r="A630" t="s">
        <v>191</v>
      </c>
      <c r="B630" t="s">
        <v>34</v>
      </c>
      <c r="C630" t="s">
        <v>138</v>
      </c>
      <c r="D630" s="1">
        <v>43049</v>
      </c>
      <c r="E630">
        <v>2</v>
      </c>
      <c r="F630">
        <v>4889</v>
      </c>
      <c r="G630" t="s">
        <v>462</v>
      </c>
      <c r="H630" t="str">
        <f>VLOOKUP(A630, product_table!$A:$C, 3, 0)</f>
        <v>Own Brand</v>
      </c>
      <c r="I630" t="str">
        <f>VLOOKUP(transactions_table8[[#This Row],[market_code]],markets_table!$A:$B,2,0)</f>
        <v>Mumbai</v>
      </c>
      <c r="J630" t="str">
        <f>VLOOKUP(transactions_table8[[#This Row],[market_code]],markets_table!$A:$C,3,0)</f>
        <v>Central</v>
      </c>
      <c r="K630" t="str">
        <f>VLOOKUP(transactions_table8[[#This Row],[customer_code]],customer_table!$A:$B,2,0)</f>
        <v>Logic Stores</v>
      </c>
      <c r="L630" t="str">
        <f>VLOOKUP(transactions_table8[[#This Row],[customer_code]],customer_table!$A:$C,3,0)</f>
        <v>Brick &amp; Mortar</v>
      </c>
      <c r="M630">
        <f>IF(TRIM(CLEAN(transactions_table8[[#This Row],[currency]]))="USD",transactions_table8[[#This Row],[sales_amount]]*83,transactions_table8[[#This Row],[sales_amount]])</f>
        <v>4889</v>
      </c>
    </row>
    <row r="631" spans="1:13" x14ac:dyDescent="0.3">
      <c r="A631" t="s">
        <v>191</v>
      </c>
      <c r="B631" t="s">
        <v>34</v>
      </c>
      <c r="C631" t="s">
        <v>138</v>
      </c>
      <c r="D631" s="1">
        <v>43056</v>
      </c>
      <c r="E631">
        <v>1</v>
      </c>
      <c r="F631">
        <v>2792</v>
      </c>
      <c r="G631" t="s">
        <v>462</v>
      </c>
      <c r="H631" t="str">
        <f>VLOOKUP(A631, product_table!$A:$C, 3, 0)</f>
        <v>Own Brand</v>
      </c>
      <c r="I631" t="str">
        <f>VLOOKUP(transactions_table8[[#This Row],[market_code]],markets_table!$A:$B,2,0)</f>
        <v>Mumbai</v>
      </c>
      <c r="J631" t="str">
        <f>VLOOKUP(transactions_table8[[#This Row],[market_code]],markets_table!$A:$C,3,0)</f>
        <v>Central</v>
      </c>
      <c r="K631" t="str">
        <f>VLOOKUP(transactions_table8[[#This Row],[customer_code]],customer_table!$A:$B,2,0)</f>
        <v>Logic Stores</v>
      </c>
      <c r="L631" t="str">
        <f>VLOOKUP(transactions_table8[[#This Row],[customer_code]],customer_table!$A:$C,3,0)</f>
        <v>Brick &amp; Mortar</v>
      </c>
      <c r="M631">
        <f>IF(TRIM(CLEAN(transactions_table8[[#This Row],[currency]]))="USD",transactions_table8[[#This Row],[sales_amount]]*83,transactions_table8[[#This Row],[sales_amount]])</f>
        <v>2792</v>
      </c>
    </row>
    <row r="632" spans="1:13" x14ac:dyDescent="0.3">
      <c r="A632" t="s">
        <v>191</v>
      </c>
      <c r="B632" t="s">
        <v>49</v>
      </c>
      <c r="C632" t="s">
        <v>138</v>
      </c>
      <c r="D632" s="1">
        <v>43059</v>
      </c>
      <c r="E632">
        <v>33</v>
      </c>
      <c r="F632">
        <v>68898</v>
      </c>
      <c r="G632" t="s">
        <v>462</v>
      </c>
      <c r="H632" t="str">
        <f>VLOOKUP(A632, product_table!$A:$C, 3, 0)</f>
        <v>Own Brand</v>
      </c>
      <c r="I632" t="str">
        <f>VLOOKUP(transactions_table8[[#This Row],[market_code]],markets_table!$A:$B,2,0)</f>
        <v>Mumbai</v>
      </c>
      <c r="J632" t="str">
        <f>VLOOKUP(transactions_table8[[#This Row],[market_code]],markets_table!$A:$C,3,0)</f>
        <v>Central</v>
      </c>
      <c r="K632" t="str">
        <f>VLOOKUP(transactions_table8[[#This Row],[customer_code]],customer_table!$A:$B,2,0)</f>
        <v>Sound</v>
      </c>
      <c r="L632" t="str">
        <f>VLOOKUP(transactions_table8[[#This Row],[customer_code]],customer_table!$A:$C,3,0)</f>
        <v>E-Commerce</v>
      </c>
      <c r="M632">
        <f>IF(TRIM(CLEAN(transactions_table8[[#This Row],[currency]]))="USD",transactions_table8[[#This Row],[sales_amount]]*83,transactions_table8[[#This Row],[sales_amount]])</f>
        <v>68898</v>
      </c>
    </row>
    <row r="633" spans="1:13" x14ac:dyDescent="0.3">
      <c r="A633" t="s">
        <v>191</v>
      </c>
      <c r="B633" t="s">
        <v>34</v>
      </c>
      <c r="C633" t="s">
        <v>138</v>
      </c>
      <c r="D633" s="1">
        <v>43062</v>
      </c>
      <c r="E633">
        <v>1</v>
      </c>
      <c r="F633">
        <v>2792</v>
      </c>
      <c r="G633" t="s">
        <v>462</v>
      </c>
      <c r="H633" t="str">
        <f>VLOOKUP(A633, product_table!$A:$C, 3, 0)</f>
        <v>Own Brand</v>
      </c>
      <c r="I633" t="str">
        <f>VLOOKUP(transactions_table8[[#This Row],[market_code]],markets_table!$A:$B,2,0)</f>
        <v>Mumbai</v>
      </c>
      <c r="J633" t="str">
        <f>VLOOKUP(transactions_table8[[#This Row],[market_code]],markets_table!$A:$C,3,0)</f>
        <v>Central</v>
      </c>
      <c r="K633" t="str">
        <f>VLOOKUP(transactions_table8[[#This Row],[customer_code]],customer_table!$A:$B,2,0)</f>
        <v>Logic Stores</v>
      </c>
      <c r="L633" t="str">
        <f>VLOOKUP(transactions_table8[[#This Row],[customer_code]],customer_table!$A:$C,3,0)</f>
        <v>Brick &amp; Mortar</v>
      </c>
      <c r="M633">
        <f>IF(TRIM(CLEAN(transactions_table8[[#This Row],[currency]]))="USD",transactions_table8[[#This Row],[sales_amount]]*83,transactions_table8[[#This Row],[sales_amount]])</f>
        <v>2792</v>
      </c>
    </row>
    <row r="634" spans="1:13" x14ac:dyDescent="0.3">
      <c r="A634" t="s">
        <v>191</v>
      </c>
      <c r="B634" t="s">
        <v>34</v>
      </c>
      <c r="C634" t="s">
        <v>138</v>
      </c>
      <c r="D634" s="1">
        <v>43063</v>
      </c>
      <c r="E634">
        <v>3</v>
      </c>
      <c r="F634">
        <v>6991</v>
      </c>
      <c r="G634" t="s">
        <v>462</v>
      </c>
      <c r="H634" t="str">
        <f>VLOOKUP(A634, product_table!$A:$C, 3, 0)</f>
        <v>Own Brand</v>
      </c>
      <c r="I634" t="str">
        <f>VLOOKUP(transactions_table8[[#This Row],[market_code]],markets_table!$A:$B,2,0)</f>
        <v>Mumbai</v>
      </c>
      <c r="J634" t="str">
        <f>VLOOKUP(transactions_table8[[#This Row],[market_code]],markets_table!$A:$C,3,0)</f>
        <v>Central</v>
      </c>
      <c r="K634" t="str">
        <f>VLOOKUP(transactions_table8[[#This Row],[customer_code]],customer_table!$A:$B,2,0)</f>
        <v>Logic Stores</v>
      </c>
      <c r="L634" t="str">
        <f>VLOOKUP(transactions_table8[[#This Row],[customer_code]],customer_table!$A:$C,3,0)</f>
        <v>Brick &amp; Mortar</v>
      </c>
      <c r="M634">
        <f>IF(TRIM(CLEAN(transactions_table8[[#This Row],[currency]]))="USD",transactions_table8[[#This Row],[sales_amount]]*83,transactions_table8[[#This Row],[sales_amount]])</f>
        <v>6991</v>
      </c>
    </row>
    <row r="635" spans="1:13" x14ac:dyDescent="0.3">
      <c r="A635" t="s">
        <v>191</v>
      </c>
      <c r="B635" t="s">
        <v>51</v>
      </c>
      <c r="C635" t="s">
        <v>138</v>
      </c>
      <c r="D635" s="1">
        <v>43066</v>
      </c>
      <c r="E635">
        <v>1</v>
      </c>
      <c r="F635">
        <v>681</v>
      </c>
      <c r="G635" t="s">
        <v>462</v>
      </c>
      <c r="H635" t="str">
        <f>VLOOKUP(A635, product_table!$A:$C, 3, 0)</f>
        <v>Own Brand</v>
      </c>
      <c r="I635" t="str">
        <f>VLOOKUP(transactions_table8[[#This Row],[market_code]],markets_table!$A:$B,2,0)</f>
        <v>Mumbai</v>
      </c>
      <c r="J635" t="str">
        <f>VLOOKUP(transactions_table8[[#This Row],[market_code]],markets_table!$A:$C,3,0)</f>
        <v>Central</v>
      </c>
      <c r="K635" t="str">
        <f>VLOOKUP(transactions_table8[[#This Row],[customer_code]],customer_table!$A:$B,2,0)</f>
        <v>Power</v>
      </c>
      <c r="L635" t="str">
        <f>VLOOKUP(transactions_table8[[#This Row],[customer_code]],customer_table!$A:$C,3,0)</f>
        <v>E-Commerce</v>
      </c>
      <c r="M635">
        <f>IF(TRIM(CLEAN(transactions_table8[[#This Row],[currency]]))="USD",transactions_table8[[#This Row],[sales_amount]]*83,transactions_table8[[#This Row],[sales_amount]])</f>
        <v>681</v>
      </c>
    </row>
    <row r="636" spans="1:13" x14ac:dyDescent="0.3">
      <c r="A636" t="s">
        <v>191</v>
      </c>
      <c r="B636" t="s">
        <v>49</v>
      </c>
      <c r="C636" t="s">
        <v>138</v>
      </c>
      <c r="D636" s="1">
        <v>43069</v>
      </c>
      <c r="E636">
        <v>22</v>
      </c>
      <c r="F636">
        <v>44782</v>
      </c>
      <c r="G636" t="s">
        <v>462</v>
      </c>
      <c r="H636" t="str">
        <f>VLOOKUP(A636, product_table!$A:$C, 3, 0)</f>
        <v>Own Brand</v>
      </c>
      <c r="I636" t="str">
        <f>VLOOKUP(transactions_table8[[#This Row],[market_code]],markets_table!$A:$B,2,0)</f>
        <v>Mumbai</v>
      </c>
      <c r="J636" t="str">
        <f>VLOOKUP(transactions_table8[[#This Row],[market_code]],markets_table!$A:$C,3,0)</f>
        <v>Central</v>
      </c>
      <c r="K636" t="str">
        <f>VLOOKUP(transactions_table8[[#This Row],[customer_code]],customer_table!$A:$B,2,0)</f>
        <v>Sound</v>
      </c>
      <c r="L636" t="str">
        <f>VLOOKUP(transactions_table8[[#This Row],[customer_code]],customer_table!$A:$C,3,0)</f>
        <v>E-Commerce</v>
      </c>
      <c r="M636">
        <f>IF(TRIM(CLEAN(transactions_table8[[#This Row],[currency]]))="USD",transactions_table8[[#This Row],[sales_amount]]*83,transactions_table8[[#This Row],[sales_amount]])</f>
        <v>44782</v>
      </c>
    </row>
    <row r="637" spans="1:13" x14ac:dyDescent="0.3">
      <c r="A637" t="s">
        <v>191</v>
      </c>
      <c r="B637" t="s">
        <v>34</v>
      </c>
      <c r="C637" t="s">
        <v>138</v>
      </c>
      <c r="D637" s="1">
        <v>43070</v>
      </c>
      <c r="E637">
        <v>13</v>
      </c>
      <c r="F637">
        <v>26537</v>
      </c>
      <c r="G637" t="s">
        <v>462</v>
      </c>
      <c r="H637" t="str">
        <f>VLOOKUP(A637, product_table!$A:$C, 3, 0)</f>
        <v>Own Brand</v>
      </c>
      <c r="I637" t="str">
        <f>VLOOKUP(transactions_table8[[#This Row],[market_code]],markets_table!$A:$B,2,0)</f>
        <v>Mumbai</v>
      </c>
      <c r="J637" t="str">
        <f>VLOOKUP(transactions_table8[[#This Row],[market_code]],markets_table!$A:$C,3,0)</f>
        <v>Central</v>
      </c>
      <c r="K637" t="str">
        <f>VLOOKUP(transactions_table8[[#This Row],[customer_code]],customer_table!$A:$B,2,0)</f>
        <v>Logic Stores</v>
      </c>
      <c r="L637" t="str">
        <f>VLOOKUP(transactions_table8[[#This Row],[customer_code]],customer_table!$A:$C,3,0)</f>
        <v>Brick &amp; Mortar</v>
      </c>
      <c r="M637">
        <f>IF(TRIM(CLEAN(transactions_table8[[#This Row],[currency]]))="USD",transactions_table8[[#This Row],[sales_amount]]*83,transactions_table8[[#This Row],[sales_amount]])</f>
        <v>26537</v>
      </c>
    </row>
    <row r="638" spans="1:13" x14ac:dyDescent="0.3">
      <c r="A638" t="s">
        <v>191</v>
      </c>
      <c r="B638" t="s">
        <v>49</v>
      </c>
      <c r="C638" t="s">
        <v>138</v>
      </c>
      <c r="D638" s="1">
        <v>43075</v>
      </c>
      <c r="E638">
        <v>2</v>
      </c>
      <c r="F638">
        <v>3444</v>
      </c>
      <c r="G638" t="s">
        <v>462</v>
      </c>
      <c r="H638" t="str">
        <f>VLOOKUP(A638, product_table!$A:$C, 3, 0)</f>
        <v>Own Brand</v>
      </c>
      <c r="I638" t="str">
        <f>VLOOKUP(transactions_table8[[#This Row],[market_code]],markets_table!$A:$B,2,0)</f>
        <v>Mumbai</v>
      </c>
      <c r="J638" t="str">
        <f>VLOOKUP(transactions_table8[[#This Row],[market_code]],markets_table!$A:$C,3,0)</f>
        <v>Central</v>
      </c>
      <c r="K638" t="str">
        <f>VLOOKUP(transactions_table8[[#This Row],[customer_code]],customer_table!$A:$B,2,0)</f>
        <v>Sound</v>
      </c>
      <c r="L638" t="str">
        <f>VLOOKUP(transactions_table8[[#This Row],[customer_code]],customer_table!$A:$C,3,0)</f>
        <v>E-Commerce</v>
      </c>
      <c r="M638">
        <f>IF(TRIM(CLEAN(transactions_table8[[#This Row],[currency]]))="USD",transactions_table8[[#This Row],[sales_amount]]*83,transactions_table8[[#This Row],[sales_amount]])</f>
        <v>3444</v>
      </c>
    </row>
    <row r="639" spans="1:13" x14ac:dyDescent="0.3">
      <c r="A639" t="s">
        <v>191</v>
      </c>
      <c r="B639" t="s">
        <v>34</v>
      </c>
      <c r="C639" t="s">
        <v>138</v>
      </c>
      <c r="D639" s="1">
        <v>43076</v>
      </c>
      <c r="E639">
        <v>2</v>
      </c>
      <c r="F639">
        <v>4190</v>
      </c>
      <c r="G639" t="s">
        <v>462</v>
      </c>
      <c r="H639" t="str">
        <f>VLOOKUP(A639, product_table!$A:$C, 3, 0)</f>
        <v>Own Brand</v>
      </c>
      <c r="I639" t="str">
        <f>VLOOKUP(transactions_table8[[#This Row],[market_code]],markets_table!$A:$B,2,0)</f>
        <v>Mumbai</v>
      </c>
      <c r="J639" t="str">
        <f>VLOOKUP(transactions_table8[[#This Row],[market_code]],markets_table!$A:$C,3,0)</f>
        <v>Central</v>
      </c>
      <c r="K639" t="str">
        <f>VLOOKUP(transactions_table8[[#This Row],[customer_code]],customer_table!$A:$B,2,0)</f>
        <v>Logic Stores</v>
      </c>
      <c r="L639" t="str">
        <f>VLOOKUP(transactions_table8[[#This Row],[customer_code]],customer_table!$A:$C,3,0)</f>
        <v>Brick &amp; Mortar</v>
      </c>
      <c r="M639">
        <f>IF(TRIM(CLEAN(transactions_table8[[#This Row],[currency]]))="USD",transactions_table8[[#This Row],[sales_amount]]*83,transactions_table8[[#This Row],[sales_amount]])</f>
        <v>4190</v>
      </c>
    </row>
    <row r="640" spans="1:13" x14ac:dyDescent="0.3">
      <c r="A640" t="s">
        <v>191</v>
      </c>
      <c r="B640" t="s">
        <v>49</v>
      </c>
      <c r="C640" t="s">
        <v>138</v>
      </c>
      <c r="D640" s="1">
        <v>43076</v>
      </c>
      <c r="E640">
        <v>1</v>
      </c>
      <c r="F640">
        <v>2755</v>
      </c>
      <c r="G640" t="s">
        <v>462</v>
      </c>
      <c r="H640" t="str">
        <f>VLOOKUP(A640, product_table!$A:$C, 3, 0)</f>
        <v>Own Brand</v>
      </c>
      <c r="I640" t="str">
        <f>VLOOKUP(transactions_table8[[#This Row],[market_code]],markets_table!$A:$B,2,0)</f>
        <v>Mumbai</v>
      </c>
      <c r="J640" t="str">
        <f>VLOOKUP(transactions_table8[[#This Row],[market_code]],markets_table!$A:$C,3,0)</f>
        <v>Central</v>
      </c>
      <c r="K640" t="str">
        <f>VLOOKUP(transactions_table8[[#This Row],[customer_code]],customer_table!$A:$B,2,0)</f>
        <v>Sound</v>
      </c>
      <c r="L640" t="str">
        <f>VLOOKUP(transactions_table8[[#This Row],[customer_code]],customer_table!$A:$C,3,0)</f>
        <v>E-Commerce</v>
      </c>
      <c r="M640">
        <f>IF(TRIM(CLEAN(transactions_table8[[#This Row],[currency]]))="USD",transactions_table8[[#This Row],[sales_amount]]*83,transactions_table8[[#This Row],[sales_amount]])</f>
        <v>2755</v>
      </c>
    </row>
    <row r="641" spans="1:13" x14ac:dyDescent="0.3">
      <c r="A641" t="s">
        <v>191</v>
      </c>
      <c r="B641" t="s">
        <v>34</v>
      </c>
      <c r="C641" t="s">
        <v>138</v>
      </c>
      <c r="D641" s="1">
        <v>43077</v>
      </c>
      <c r="E641">
        <v>9</v>
      </c>
      <c r="F641">
        <v>18852</v>
      </c>
      <c r="G641" t="s">
        <v>462</v>
      </c>
      <c r="H641" t="str">
        <f>VLOOKUP(A641, product_table!$A:$C, 3, 0)</f>
        <v>Own Brand</v>
      </c>
      <c r="I641" t="str">
        <f>VLOOKUP(transactions_table8[[#This Row],[market_code]],markets_table!$A:$B,2,0)</f>
        <v>Mumbai</v>
      </c>
      <c r="J641" t="str">
        <f>VLOOKUP(transactions_table8[[#This Row],[market_code]],markets_table!$A:$C,3,0)</f>
        <v>Central</v>
      </c>
      <c r="K641" t="str">
        <f>VLOOKUP(transactions_table8[[#This Row],[customer_code]],customer_table!$A:$B,2,0)</f>
        <v>Logic Stores</v>
      </c>
      <c r="L641" t="str">
        <f>VLOOKUP(transactions_table8[[#This Row],[customer_code]],customer_table!$A:$C,3,0)</f>
        <v>Brick &amp; Mortar</v>
      </c>
      <c r="M641">
        <f>IF(TRIM(CLEAN(transactions_table8[[#This Row],[currency]]))="USD",transactions_table8[[#This Row],[sales_amount]]*83,transactions_table8[[#This Row],[sales_amount]])</f>
        <v>18852</v>
      </c>
    </row>
    <row r="642" spans="1:13" x14ac:dyDescent="0.3">
      <c r="A642" t="s">
        <v>191</v>
      </c>
      <c r="B642" t="s">
        <v>49</v>
      </c>
      <c r="C642" t="s">
        <v>138</v>
      </c>
      <c r="D642" s="1">
        <v>43081</v>
      </c>
      <c r="E642">
        <v>1</v>
      </c>
      <c r="F642">
        <v>1380</v>
      </c>
      <c r="G642" t="s">
        <v>462</v>
      </c>
      <c r="H642" t="str">
        <f>VLOOKUP(A642, product_table!$A:$C, 3, 0)</f>
        <v>Own Brand</v>
      </c>
      <c r="I642" t="str">
        <f>VLOOKUP(transactions_table8[[#This Row],[market_code]],markets_table!$A:$B,2,0)</f>
        <v>Mumbai</v>
      </c>
      <c r="J642" t="str">
        <f>VLOOKUP(transactions_table8[[#This Row],[market_code]],markets_table!$A:$C,3,0)</f>
        <v>Central</v>
      </c>
      <c r="K642" t="str">
        <f>VLOOKUP(transactions_table8[[#This Row],[customer_code]],customer_table!$A:$B,2,0)</f>
        <v>Sound</v>
      </c>
      <c r="L642" t="str">
        <f>VLOOKUP(transactions_table8[[#This Row],[customer_code]],customer_table!$A:$C,3,0)</f>
        <v>E-Commerce</v>
      </c>
      <c r="M642">
        <f>IF(TRIM(CLEAN(transactions_table8[[#This Row],[currency]]))="USD",transactions_table8[[#This Row],[sales_amount]]*83,transactions_table8[[#This Row],[sales_amount]])</f>
        <v>1380</v>
      </c>
    </row>
    <row r="643" spans="1:13" x14ac:dyDescent="0.3">
      <c r="A643" t="s">
        <v>191</v>
      </c>
      <c r="B643" t="s">
        <v>34</v>
      </c>
      <c r="C643" t="s">
        <v>138</v>
      </c>
      <c r="D643" s="1">
        <v>43083</v>
      </c>
      <c r="E643">
        <v>3</v>
      </c>
      <c r="F643">
        <v>6287</v>
      </c>
      <c r="G643" t="s">
        <v>462</v>
      </c>
      <c r="H643" t="str">
        <f>VLOOKUP(A643, product_table!$A:$C, 3, 0)</f>
        <v>Own Brand</v>
      </c>
      <c r="I643" t="str">
        <f>VLOOKUP(transactions_table8[[#This Row],[market_code]],markets_table!$A:$B,2,0)</f>
        <v>Mumbai</v>
      </c>
      <c r="J643" t="str">
        <f>VLOOKUP(transactions_table8[[#This Row],[market_code]],markets_table!$A:$C,3,0)</f>
        <v>Central</v>
      </c>
      <c r="K643" t="str">
        <f>VLOOKUP(transactions_table8[[#This Row],[customer_code]],customer_table!$A:$B,2,0)</f>
        <v>Logic Stores</v>
      </c>
      <c r="L643" t="str">
        <f>VLOOKUP(transactions_table8[[#This Row],[customer_code]],customer_table!$A:$C,3,0)</f>
        <v>Brick &amp; Mortar</v>
      </c>
      <c r="M643">
        <f>IF(TRIM(CLEAN(transactions_table8[[#This Row],[currency]]))="USD",transactions_table8[[#This Row],[sales_amount]]*83,transactions_table8[[#This Row],[sales_amount]])</f>
        <v>6287</v>
      </c>
    </row>
    <row r="644" spans="1:13" x14ac:dyDescent="0.3">
      <c r="A644" t="s">
        <v>191</v>
      </c>
      <c r="B644" t="s">
        <v>34</v>
      </c>
      <c r="C644" t="s">
        <v>138</v>
      </c>
      <c r="D644" s="1">
        <v>43084</v>
      </c>
      <c r="E644">
        <v>20</v>
      </c>
      <c r="F644">
        <v>41199</v>
      </c>
      <c r="G644" t="s">
        <v>462</v>
      </c>
      <c r="H644" t="str">
        <f>VLOOKUP(A644, product_table!$A:$C, 3, 0)</f>
        <v>Own Brand</v>
      </c>
      <c r="I644" t="str">
        <f>VLOOKUP(transactions_table8[[#This Row],[market_code]],markets_table!$A:$B,2,0)</f>
        <v>Mumbai</v>
      </c>
      <c r="J644" t="str">
        <f>VLOOKUP(transactions_table8[[#This Row],[market_code]],markets_table!$A:$C,3,0)</f>
        <v>Central</v>
      </c>
      <c r="K644" t="str">
        <f>VLOOKUP(transactions_table8[[#This Row],[customer_code]],customer_table!$A:$B,2,0)</f>
        <v>Logic Stores</v>
      </c>
      <c r="L644" t="str">
        <f>VLOOKUP(transactions_table8[[#This Row],[customer_code]],customer_table!$A:$C,3,0)</f>
        <v>Brick &amp; Mortar</v>
      </c>
      <c r="M644">
        <f>IF(TRIM(CLEAN(transactions_table8[[#This Row],[currency]]))="USD",transactions_table8[[#This Row],[sales_amount]]*83,transactions_table8[[#This Row],[sales_amount]])</f>
        <v>41199</v>
      </c>
    </row>
    <row r="645" spans="1:13" x14ac:dyDescent="0.3">
      <c r="A645" t="s">
        <v>191</v>
      </c>
      <c r="B645" t="s">
        <v>51</v>
      </c>
      <c r="C645" t="s">
        <v>138</v>
      </c>
      <c r="D645" s="1">
        <v>43087</v>
      </c>
      <c r="E645">
        <v>1</v>
      </c>
      <c r="F645">
        <v>1356</v>
      </c>
      <c r="G645" t="s">
        <v>462</v>
      </c>
      <c r="H645" t="str">
        <f>VLOOKUP(A645, product_table!$A:$C, 3, 0)</f>
        <v>Own Brand</v>
      </c>
      <c r="I645" t="str">
        <f>VLOOKUP(transactions_table8[[#This Row],[market_code]],markets_table!$A:$B,2,0)</f>
        <v>Mumbai</v>
      </c>
      <c r="J645" t="str">
        <f>VLOOKUP(transactions_table8[[#This Row],[market_code]],markets_table!$A:$C,3,0)</f>
        <v>Central</v>
      </c>
      <c r="K645" t="str">
        <f>VLOOKUP(transactions_table8[[#This Row],[customer_code]],customer_table!$A:$B,2,0)</f>
        <v>Power</v>
      </c>
      <c r="L645" t="str">
        <f>VLOOKUP(transactions_table8[[#This Row],[customer_code]],customer_table!$A:$C,3,0)</f>
        <v>E-Commerce</v>
      </c>
      <c r="M645">
        <f>IF(TRIM(CLEAN(transactions_table8[[#This Row],[currency]]))="USD",transactions_table8[[#This Row],[sales_amount]]*83,transactions_table8[[#This Row],[sales_amount]])</f>
        <v>1356</v>
      </c>
    </row>
    <row r="646" spans="1:13" x14ac:dyDescent="0.3">
      <c r="A646" t="s">
        <v>191</v>
      </c>
      <c r="B646" t="s">
        <v>51</v>
      </c>
      <c r="C646" t="s">
        <v>138</v>
      </c>
      <c r="D646" s="1">
        <v>43088</v>
      </c>
      <c r="E646">
        <v>1</v>
      </c>
      <c r="F646">
        <v>681</v>
      </c>
      <c r="G646" t="s">
        <v>462</v>
      </c>
      <c r="H646" t="str">
        <f>VLOOKUP(A646, product_table!$A:$C, 3, 0)</f>
        <v>Own Brand</v>
      </c>
      <c r="I646" t="str">
        <f>VLOOKUP(transactions_table8[[#This Row],[market_code]],markets_table!$A:$B,2,0)</f>
        <v>Mumbai</v>
      </c>
      <c r="J646" t="str">
        <f>VLOOKUP(transactions_table8[[#This Row],[market_code]],markets_table!$A:$C,3,0)</f>
        <v>Central</v>
      </c>
      <c r="K646" t="str">
        <f>VLOOKUP(transactions_table8[[#This Row],[customer_code]],customer_table!$A:$B,2,0)</f>
        <v>Power</v>
      </c>
      <c r="L646" t="str">
        <f>VLOOKUP(transactions_table8[[#This Row],[customer_code]],customer_table!$A:$C,3,0)</f>
        <v>E-Commerce</v>
      </c>
      <c r="M646">
        <f>IF(TRIM(CLEAN(transactions_table8[[#This Row],[currency]]))="USD",transactions_table8[[#This Row],[sales_amount]]*83,transactions_table8[[#This Row],[sales_amount]])</f>
        <v>681</v>
      </c>
    </row>
    <row r="647" spans="1:13" x14ac:dyDescent="0.3">
      <c r="A647" t="s">
        <v>191</v>
      </c>
      <c r="B647" t="s">
        <v>34</v>
      </c>
      <c r="C647" t="s">
        <v>138</v>
      </c>
      <c r="D647" s="1">
        <v>43090</v>
      </c>
      <c r="E647">
        <v>3</v>
      </c>
      <c r="F647">
        <v>5588</v>
      </c>
      <c r="G647" t="s">
        <v>462</v>
      </c>
      <c r="H647" t="str">
        <f>VLOOKUP(A647, product_table!$A:$C, 3, 0)</f>
        <v>Own Brand</v>
      </c>
      <c r="I647" t="str">
        <f>VLOOKUP(transactions_table8[[#This Row],[market_code]],markets_table!$A:$B,2,0)</f>
        <v>Mumbai</v>
      </c>
      <c r="J647" t="str">
        <f>VLOOKUP(transactions_table8[[#This Row],[market_code]],markets_table!$A:$C,3,0)</f>
        <v>Central</v>
      </c>
      <c r="K647" t="str">
        <f>VLOOKUP(transactions_table8[[#This Row],[customer_code]],customer_table!$A:$B,2,0)</f>
        <v>Logic Stores</v>
      </c>
      <c r="L647" t="str">
        <f>VLOOKUP(transactions_table8[[#This Row],[customer_code]],customer_table!$A:$C,3,0)</f>
        <v>Brick &amp; Mortar</v>
      </c>
      <c r="M647">
        <f>IF(TRIM(CLEAN(transactions_table8[[#This Row],[currency]]))="USD",transactions_table8[[#This Row],[sales_amount]]*83,transactions_table8[[#This Row],[sales_amount]])</f>
        <v>5588</v>
      </c>
    </row>
    <row r="648" spans="1:13" x14ac:dyDescent="0.3">
      <c r="A648" t="s">
        <v>191</v>
      </c>
      <c r="B648" t="s">
        <v>34</v>
      </c>
      <c r="C648" t="s">
        <v>138</v>
      </c>
      <c r="D648" s="1">
        <v>43091</v>
      </c>
      <c r="E648">
        <v>15</v>
      </c>
      <c r="F648">
        <v>32125</v>
      </c>
      <c r="G648" t="s">
        <v>462</v>
      </c>
      <c r="H648" t="str">
        <f>VLOOKUP(A648, product_table!$A:$C, 3, 0)</f>
        <v>Own Brand</v>
      </c>
      <c r="I648" t="str">
        <f>VLOOKUP(transactions_table8[[#This Row],[market_code]],markets_table!$A:$B,2,0)</f>
        <v>Mumbai</v>
      </c>
      <c r="J648" t="str">
        <f>VLOOKUP(transactions_table8[[#This Row],[market_code]],markets_table!$A:$C,3,0)</f>
        <v>Central</v>
      </c>
      <c r="K648" t="str">
        <f>VLOOKUP(transactions_table8[[#This Row],[customer_code]],customer_table!$A:$B,2,0)</f>
        <v>Logic Stores</v>
      </c>
      <c r="L648" t="str">
        <f>VLOOKUP(transactions_table8[[#This Row],[customer_code]],customer_table!$A:$C,3,0)</f>
        <v>Brick &amp; Mortar</v>
      </c>
      <c r="M648">
        <f>IF(TRIM(CLEAN(transactions_table8[[#This Row],[currency]]))="USD",transactions_table8[[#This Row],[sales_amount]]*83,transactions_table8[[#This Row],[sales_amount]])</f>
        <v>32125</v>
      </c>
    </row>
    <row r="649" spans="1:13" x14ac:dyDescent="0.3">
      <c r="A649" t="s">
        <v>191</v>
      </c>
      <c r="B649" t="s">
        <v>49</v>
      </c>
      <c r="C649" t="s">
        <v>138</v>
      </c>
      <c r="D649" s="1">
        <v>43091</v>
      </c>
      <c r="E649">
        <v>7</v>
      </c>
      <c r="F649">
        <v>13778</v>
      </c>
      <c r="G649" t="s">
        <v>462</v>
      </c>
      <c r="H649" t="str">
        <f>VLOOKUP(A649, product_table!$A:$C, 3, 0)</f>
        <v>Own Brand</v>
      </c>
      <c r="I649" t="str">
        <f>VLOOKUP(transactions_table8[[#This Row],[market_code]],markets_table!$A:$B,2,0)</f>
        <v>Mumbai</v>
      </c>
      <c r="J649" t="str">
        <f>VLOOKUP(transactions_table8[[#This Row],[market_code]],markets_table!$A:$C,3,0)</f>
        <v>Central</v>
      </c>
      <c r="K649" t="str">
        <f>VLOOKUP(transactions_table8[[#This Row],[customer_code]],customer_table!$A:$B,2,0)</f>
        <v>Sound</v>
      </c>
      <c r="L649" t="str">
        <f>VLOOKUP(transactions_table8[[#This Row],[customer_code]],customer_table!$A:$C,3,0)</f>
        <v>E-Commerce</v>
      </c>
      <c r="M649">
        <f>IF(TRIM(CLEAN(transactions_table8[[#This Row],[currency]]))="USD",transactions_table8[[#This Row],[sales_amount]]*83,transactions_table8[[#This Row],[sales_amount]])</f>
        <v>13778</v>
      </c>
    </row>
    <row r="650" spans="1:13" x14ac:dyDescent="0.3">
      <c r="A650" t="s">
        <v>191</v>
      </c>
      <c r="B650" t="s">
        <v>34</v>
      </c>
      <c r="C650" t="s">
        <v>138</v>
      </c>
      <c r="D650" s="1">
        <v>43102</v>
      </c>
      <c r="E650">
        <v>2</v>
      </c>
      <c r="F650">
        <v>4194</v>
      </c>
      <c r="G650" t="s">
        <v>462</v>
      </c>
      <c r="H650" t="str">
        <f>VLOOKUP(A650, product_table!$A:$C, 3, 0)</f>
        <v>Own Brand</v>
      </c>
      <c r="I650" t="str">
        <f>VLOOKUP(transactions_table8[[#This Row],[market_code]],markets_table!$A:$B,2,0)</f>
        <v>Mumbai</v>
      </c>
      <c r="J650" t="str">
        <f>VLOOKUP(transactions_table8[[#This Row],[market_code]],markets_table!$A:$C,3,0)</f>
        <v>Central</v>
      </c>
      <c r="K650" t="str">
        <f>VLOOKUP(transactions_table8[[#This Row],[customer_code]],customer_table!$A:$B,2,0)</f>
        <v>Logic Stores</v>
      </c>
      <c r="L650" t="str">
        <f>VLOOKUP(transactions_table8[[#This Row],[customer_code]],customer_table!$A:$C,3,0)</f>
        <v>Brick &amp; Mortar</v>
      </c>
      <c r="M650">
        <f>IF(TRIM(CLEAN(transactions_table8[[#This Row],[currency]]))="USD",transactions_table8[[#This Row],[sales_amount]]*83,transactions_table8[[#This Row],[sales_amount]])</f>
        <v>4194</v>
      </c>
    </row>
    <row r="651" spans="1:13" x14ac:dyDescent="0.3">
      <c r="A651" t="s">
        <v>191</v>
      </c>
      <c r="B651" t="s">
        <v>51</v>
      </c>
      <c r="C651" t="s">
        <v>138</v>
      </c>
      <c r="D651" s="1">
        <v>43102</v>
      </c>
      <c r="E651">
        <v>1</v>
      </c>
      <c r="F651">
        <v>2713</v>
      </c>
      <c r="G651" t="s">
        <v>462</v>
      </c>
      <c r="H651" t="str">
        <f>VLOOKUP(A651, product_table!$A:$C, 3, 0)</f>
        <v>Own Brand</v>
      </c>
      <c r="I651" t="str">
        <f>VLOOKUP(transactions_table8[[#This Row],[market_code]],markets_table!$A:$B,2,0)</f>
        <v>Mumbai</v>
      </c>
      <c r="J651" t="str">
        <f>VLOOKUP(transactions_table8[[#This Row],[market_code]],markets_table!$A:$C,3,0)</f>
        <v>Central</v>
      </c>
      <c r="K651" t="str">
        <f>VLOOKUP(transactions_table8[[#This Row],[customer_code]],customer_table!$A:$B,2,0)</f>
        <v>Power</v>
      </c>
      <c r="L651" t="str">
        <f>VLOOKUP(transactions_table8[[#This Row],[customer_code]],customer_table!$A:$C,3,0)</f>
        <v>E-Commerce</v>
      </c>
      <c r="M651">
        <f>IF(TRIM(CLEAN(transactions_table8[[#This Row],[currency]]))="USD",transactions_table8[[#This Row],[sales_amount]]*83,transactions_table8[[#This Row],[sales_amount]])</f>
        <v>2713</v>
      </c>
    </row>
    <row r="652" spans="1:13" x14ac:dyDescent="0.3">
      <c r="A652" t="s">
        <v>191</v>
      </c>
      <c r="B652" t="s">
        <v>34</v>
      </c>
      <c r="C652" t="s">
        <v>138</v>
      </c>
      <c r="D652" s="1">
        <v>43105</v>
      </c>
      <c r="E652">
        <v>31</v>
      </c>
      <c r="F652">
        <v>65648</v>
      </c>
      <c r="G652" t="s">
        <v>462</v>
      </c>
      <c r="H652" t="str">
        <f>VLOOKUP(A652, product_table!$A:$C, 3, 0)</f>
        <v>Own Brand</v>
      </c>
      <c r="I652" t="str">
        <f>VLOOKUP(transactions_table8[[#This Row],[market_code]],markets_table!$A:$B,2,0)</f>
        <v>Mumbai</v>
      </c>
      <c r="J652" t="str">
        <f>VLOOKUP(transactions_table8[[#This Row],[market_code]],markets_table!$A:$C,3,0)</f>
        <v>Central</v>
      </c>
      <c r="K652" t="str">
        <f>VLOOKUP(transactions_table8[[#This Row],[customer_code]],customer_table!$A:$B,2,0)</f>
        <v>Logic Stores</v>
      </c>
      <c r="L652" t="str">
        <f>VLOOKUP(transactions_table8[[#This Row],[customer_code]],customer_table!$A:$C,3,0)</f>
        <v>Brick &amp; Mortar</v>
      </c>
      <c r="M652">
        <f>IF(TRIM(CLEAN(transactions_table8[[#This Row],[currency]]))="USD",transactions_table8[[#This Row],[sales_amount]]*83,transactions_table8[[#This Row],[sales_amount]])</f>
        <v>65648</v>
      </c>
    </row>
    <row r="653" spans="1:13" x14ac:dyDescent="0.3">
      <c r="A653" t="s">
        <v>191</v>
      </c>
      <c r="B653" t="s">
        <v>49</v>
      </c>
      <c r="C653" t="s">
        <v>138</v>
      </c>
      <c r="D653" s="1">
        <v>43108</v>
      </c>
      <c r="E653">
        <v>23</v>
      </c>
      <c r="F653">
        <v>48231</v>
      </c>
      <c r="G653" t="s">
        <v>462</v>
      </c>
      <c r="H653" t="str">
        <f>VLOOKUP(A653, product_table!$A:$C, 3, 0)</f>
        <v>Own Brand</v>
      </c>
      <c r="I653" t="str">
        <f>VLOOKUP(transactions_table8[[#This Row],[market_code]],markets_table!$A:$B,2,0)</f>
        <v>Mumbai</v>
      </c>
      <c r="J653" t="str">
        <f>VLOOKUP(transactions_table8[[#This Row],[market_code]],markets_table!$A:$C,3,0)</f>
        <v>Central</v>
      </c>
      <c r="K653" t="str">
        <f>VLOOKUP(transactions_table8[[#This Row],[customer_code]],customer_table!$A:$B,2,0)</f>
        <v>Sound</v>
      </c>
      <c r="L653" t="str">
        <f>VLOOKUP(transactions_table8[[#This Row],[customer_code]],customer_table!$A:$C,3,0)</f>
        <v>E-Commerce</v>
      </c>
      <c r="M653">
        <f>IF(TRIM(CLEAN(transactions_table8[[#This Row],[currency]]))="USD",transactions_table8[[#This Row],[sales_amount]]*83,transactions_table8[[#This Row],[sales_amount]])</f>
        <v>48231</v>
      </c>
    </row>
    <row r="654" spans="1:13" x14ac:dyDescent="0.3">
      <c r="A654" t="s">
        <v>191</v>
      </c>
      <c r="B654" t="s">
        <v>34</v>
      </c>
      <c r="C654" t="s">
        <v>138</v>
      </c>
      <c r="D654" s="1">
        <v>43112</v>
      </c>
      <c r="E654">
        <v>8</v>
      </c>
      <c r="F654">
        <v>16065</v>
      </c>
      <c r="G654" t="s">
        <v>462</v>
      </c>
      <c r="H654" t="str">
        <f>VLOOKUP(A654, product_table!$A:$C, 3, 0)</f>
        <v>Own Brand</v>
      </c>
      <c r="I654" t="str">
        <f>VLOOKUP(transactions_table8[[#This Row],[market_code]],markets_table!$A:$B,2,0)</f>
        <v>Mumbai</v>
      </c>
      <c r="J654" t="str">
        <f>VLOOKUP(transactions_table8[[#This Row],[market_code]],markets_table!$A:$C,3,0)</f>
        <v>Central</v>
      </c>
      <c r="K654" t="str">
        <f>VLOOKUP(transactions_table8[[#This Row],[customer_code]],customer_table!$A:$B,2,0)</f>
        <v>Logic Stores</v>
      </c>
      <c r="L654" t="str">
        <f>VLOOKUP(transactions_table8[[#This Row],[customer_code]],customer_table!$A:$C,3,0)</f>
        <v>Brick &amp; Mortar</v>
      </c>
      <c r="M654">
        <f>IF(TRIM(CLEAN(transactions_table8[[#This Row],[currency]]))="USD",transactions_table8[[#This Row],[sales_amount]]*83,transactions_table8[[#This Row],[sales_amount]])</f>
        <v>16065</v>
      </c>
    </row>
    <row r="655" spans="1:13" x14ac:dyDescent="0.3">
      <c r="A655" t="s">
        <v>191</v>
      </c>
      <c r="B655" t="s">
        <v>51</v>
      </c>
      <c r="C655" t="s">
        <v>138</v>
      </c>
      <c r="D655" s="1">
        <v>43115</v>
      </c>
      <c r="E655">
        <v>1</v>
      </c>
      <c r="F655">
        <v>1356</v>
      </c>
      <c r="G655" t="s">
        <v>462</v>
      </c>
      <c r="H655" t="str">
        <f>VLOOKUP(A655, product_table!$A:$C, 3, 0)</f>
        <v>Own Brand</v>
      </c>
      <c r="I655" t="str">
        <f>VLOOKUP(transactions_table8[[#This Row],[market_code]],markets_table!$A:$B,2,0)</f>
        <v>Mumbai</v>
      </c>
      <c r="J655" t="str">
        <f>VLOOKUP(transactions_table8[[#This Row],[market_code]],markets_table!$A:$C,3,0)</f>
        <v>Central</v>
      </c>
      <c r="K655" t="str">
        <f>VLOOKUP(transactions_table8[[#This Row],[customer_code]],customer_table!$A:$B,2,0)</f>
        <v>Power</v>
      </c>
      <c r="L655" t="str">
        <f>VLOOKUP(transactions_table8[[#This Row],[customer_code]],customer_table!$A:$C,3,0)</f>
        <v>E-Commerce</v>
      </c>
      <c r="M655">
        <f>IF(TRIM(CLEAN(transactions_table8[[#This Row],[currency]]))="USD",transactions_table8[[#This Row],[sales_amount]]*83,transactions_table8[[#This Row],[sales_amount]])</f>
        <v>1356</v>
      </c>
    </row>
    <row r="656" spans="1:13" x14ac:dyDescent="0.3">
      <c r="A656" t="s">
        <v>191</v>
      </c>
      <c r="B656" t="s">
        <v>51</v>
      </c>
      <c r="C656" t="s">
        <v>138</v>
      </c>
      <c r="D656" s="1">
        <v>43116</v>
      </c>
      <c r="E656">
        <v>1</v>
      </c>
      <c r="F656">
        <v>1356</v>
      </c>
      <c r="G656" t="s">
        <v>462</v>
      </c>
      <c r="H656" t="str">
        <f>VLOOKUP(A656, product_table!$A:$C, 3, 0)</f>
        <v>Own Brand</v>
      </c>
      <c r="I656" t="str">
        <f>VLOOKUP(transactions_table8[[#This Row],[market_code]],markets_table!$A:$B,2,0)</f>
        <v>Mumbai</v>
      </c>
      <c r="J656" t="str">
        <f>VLOOKUP(transactions_table8[[#This Row],[market_code]],markets_table!$A:$C,3,0)</f>
        <v>Central</v>
      </c>
      <c r="K656" t="str">
        <f>VLOOKUP(transactions_table8[[#This Row],[customer_code]],customer_table!$A:$B,2,0)</f>
        <v>Power</v>
      </c>
      <c r="L656" t="str">
        <f>VLOOKUP(transactions_table8[[#This Row],[customer_code]],customer_table!$A:$C,3,0)</f>
        <v>E-Commerce</v>
      </c>
      <c r="M656">
        <f>IF(TRIM(CLEAN(transactions_table8[[#This Row],[currency]]))="USD",transactions_table8[[#This Row],[sales_amount]]*83,transactions_table8[[#This Row],[sales_amount]])</f>
        <v>1356</v>
      </c>
    </row>
    <row r="657" spans="1:13" x14ac:dyDescent="0.3">
      <c r="A657" t="s">
        <v>191</v>
      </c>
      <c r="B657" t="s">
        <v>51</v>
      </c>
      <c r="C657" t="s">
        <v>138</v>
      </c>
      <c r="D657" s="1">
        <v>43129</v>
      </c>
      <c r="E657">
        <v>1</v>
      </c>
      <c r="F657">
        <v>681</v>
      </c>
      <c r="G657" t="s">
        <v>462</v>
      </c>
      <c r="H657" t="str">
        <f>VLOOKUP(A657, product_table!$A:$C, 3, 0)</f>
        <v>Own Brand</v>
      </c>
      <c r="I657" t="str">
        <f>VLOOKUP(transactions_table8[[#This Row],[market_code]],markets_table!$A:$B,2,0)</f>
        <v>Mumbai</v>
      </c>
      <c r="J657" t="str">
        <f>VLOOKUP(transactions_table8[[#This Row],[market_code]],markets_table!$A:$C,3,0)</f>
        <v>Central</v>
      </c>
      <c r="K657" t="str">
        <f>VLOOKUP(transactions_table8[[#This Row],[customer_code]],customer_table!$A:$B,2,0)</f>
        <v>Power</v>
      </c>
      <c r="L657" t="str">
        <f>VLOOKUP(transactions_table8[[#This Row],[customer_code]],customer_table!$A:$C,3,0)</f>
        <v>E-Commerce</v>
      </c>
      <c r="M657">
        <f>IF(TRIM(CLEAN(transactions_table8[[#This Row],[currency]]))="USD",transactions_table8[[#This Row],[sales_amount]]*83,transactions_table8[[#This Row],[sales_amount]])</f>
        <v>681</v>
      </c>
    </row>
    <row r="658" spans="1:13" x14ac:dyDescent="0.3">
      <c r="A658" t="s">
        <v>191</v>
      </c>
      <c r="B658" t="s">
        <v>34</v>
      </c>
      <c r="C658" t="s">
        <v>138</v>
      </c>
      <c r="D658" s="1">
        <v>43132</v>
      </c>
      <c r="E658">
        <v>1</v>
      </c>
      <c r="F658">
        <v>1398</v>
      </c>
      <c r="G658" t="s">
        <v>462</v>
      </c>
      <c r="H658" t="str">
        <f>VLOOKUP(A658, product_table!$A:$C, 3, 0)</f>
        <v>Own Brand</v>
      </c>
      <c r="I658" t="str">
        <f>VLOOKUP(transactions_table8[[#This Row],[market_code]],markets_table!$A:$B,2,0)</f>
        <v>Mumbai</v>
      </c>
      <c r="J658" t="str">
        <f>VLOOKUP(transactions_table8[[#This Row],[market_code]],markets_table!$A:$C,3,0)</f>
        <v>Central</v>
      </c>
      <c r="K658" t="str">
        <f>VLOOKUP(transactions_table8[[#This Row],[customer_code]],customer_table!$A:$B,2,0)</f>
        <v>Logic Stores</v>
      </c>
      <c r="L658" t="str">
        <f>VLOOKUP(transactions_table8[[#This Row],[customer_code]],customer_table!$A:$C,3,0)</f>
        <v>Brick &amp; Mortar</v>
      </c>
      <c r="M658">
        <f>IF(TRIM(CLEAN(transactions_table8[[#This Row],[currency]]))="USD",transactions_table8[[#This Row],[sales_amount]]*83,transactions_table8[[#This Row],[sales_amount]])</f>
        <v>1398</v>
      </c>
    </row>
    <row r="659" spans="1:13" x14ac:dyDescent="0.3">
      <c r="A659" t="s">
        <v>191</v>
      </c>
      <c r="B659" t="s">
        <v>34</v>
      </c>
      <c r="C659" t="s">
        <v>138</v>
      </c>
      <c r="D659" s="1">
        <v>43133</v>
      </c>
      <c r="E659">
        <v>10</v>
      </c>
      <c r="F659">
        <v>20255</v>
      </c>
      <c r="G659" t="s">
        <v>462</v>
      </c>
      <c r="H659" t="str">
        <f>VLOOKUP(A659, product_table!$A:$C, 3, 0)</f>
        <v>Own Brand</v>
      </c>
      <c r="I659" t="str">
        <f>VLOOKUP(transactions_table8[[#This Row],[market_code]],markets_table!$A:$B,2,0)</f>
        <v>Mumbai</v>
      </c>
      <c r="J659" t="str">
        <f>VLOOKUP(transactions_table8[[#This Row],[market_code]],markets_table!$A:$C,3,0)</f>
        <v>Central</v>
      </c>
      <c r="K659" t="str">
        <f>VLOOKUP(transactions_table8[[#This Row],[customer_code]],customer_table!$A:$B,2,0)</f>
        <v>Logic Stores</v>
      </c>
      <c r="L659" t="str">
        <f>VLOOKUP(transactions_table8[[#This Row],[customer_code]],customer_table!$A:$C,3,0)</f>
        <v>Brick &amp; Mortar</v>
      </c>
      <c r="M659">
        <f>IF(TRIM(CLEAN(transactions_table8[[#This Row],[currency]]))="USD",transactions_table8[[#This Row],[sales_amount]]*83,transactions_table8[[#This Row],[sales_amount]])</f>
        <v>20255</v>
      </c>
    </row>
    <row r="660" spans="1:13" x14ac:dyDescent="0.3">
      <c r="A660" t="s">
        <v>191</v>
      </c>
      <c r="B660" t="s">
        <v>51</v>
      </c>
      <c r="C660" t="s">
        <v>138</v>
      </c>
      <c r="D660" s="1">
        <v>43137</v>
      </c>
      <c r="E660">
        <v>1</v>
      </c>
      <c r="F660">
        <v>681</v>
      </c>
      <c r="G660" t="s">
        <v>462</v>
      </c>
      <c r="H660" t="str">
        <f>VLOOKUP(A660, product_table!$A:$C, 3, 0)</f>
        <v>Own Brand</v>
      </c>
      <c r="I660" t="str">
        <f>VLOOKUP(transactions_table8[[#This Row],[market_code]],markets_table!$A:$B,2,0)</f>
        <v>Mumbai</v>
      </c>
      <c r="J660" t="str">
        <f>VLOOKUP(transactions_table8[[#This Row],[market_code]],markets_table!$A:$C,3,0)</f>
        <v>Central</v>
      </c>
      <c r="K660" t="str">
        <f>VLOOKUP(transactions_table8[[#This Row],[customer_code]],customer_table!$A:$B,2,0)</f>
        <v>Power</v>
      </c>
      <c r="L660" t="str">
        <f>VLOOKUP(transactions_table8[[#This Row],[customer_code]],customer_table!$A:$C,3,0)</f>
        <v>E-Commerce</v>
      </c>
      <c r="M660">
        <f>IF(TRIM(CLEAN(transactions_table8[[#This Row],[currency]]))="USD",transactions_table8[[#This Row],[sales_amount]]*83,transactions_table8[[#This Row],[sales_amount]])</f>
        <v>681</v>
      </c>
    </row>
    <row r="661" spans="1:13" x14ac:dyDescent="0.3">
      <c r="A661" t="s">
        <v>191</v>
      </c>
      <c r="B661" t="s">
        <v>34</v>
      </c>
      <c r="C661" t="s">
        <v>138</v>
      </c>
      <c r="D661" s="1">
        <v>43140</v>
      </c>
      <c r="E661">
        <v>1</v>
      </c>
      <c r="F661">
        <v>699</v>
      </c>
      <c r="G661" t="s">
        <v>462</v>
      </c>
      <c r="H661" t="str">
        <f>VLOOKUP(A661, product_table!$A:$C, 3, 0)</f>
        <v>Own Brand</v>
      </c>
      <c r="I661" t="str">
        <f>VLOOKUP(transactions_table8[[#This Row],[market_code]],markets_table!$A:$B,2,0)</f>
        <v>Mumbai</v>
      </c>
      <c r="J661" t="str">
        <f>VLOOKUP(transactions_table8[[#This Row],[market_code]],markets_table!$A:$C,3,0)</f>
        <v>Central</v>
      </c>
      <c r="K661" t="str">
        <f>VLOOKUP(transactions_table8[[#This Row],[customer_code]],customer_table!$A:$B,2,0)</f>
        <v>Logic Stores</v>
      </c>
      <c r="L661" t="str">
        <f>VLOOKUP(transactions_table8[[#This Row],[customer_code]],customer_table!$A:$C,3,0)</f>
        <v>Brick &amp; Mortar</v>
      </c>
      <c r="M661">
        <f>IF(TRIM(CLEAN(transactions_table8[[#This Row],[currency]]))="USD",transactions_table8[[#This Row],[sales_amount]]*83,transactions_table8[[#This Row],[sales_amount]])</f>
        <v>699</v>
      </c>
    </row>
    <row r="662" spans="1:13" x14ac:dyDescent="0.3">
      <c r="A662" t="s">
        <v>191</v>
      </c>
      <c r="B662" t="s">
        <v>47</v>
      </c>
      <c r="C662" t="s">
        <v>138</v>
      </c>
      <c r="D662" s="1">
        <v>43153</v>
      </c>
      <c r="E662">
        <v>6</v>
      </c>
      <c r="F662">
        <v>12014</v>
      </c>
      <c r="G662" t="s">
        <v>462</v>
      </c>
      <c r="H662" t="str">
        <f>VLOOKUP(A662, product_table!$A:$C, 3, 0)</f>
        <v>Own Brand</v>
      </c>
      <c r="I662" t="str">
        <f>VLOOKUP(transactions_table8[[#This Row],[market_code]],markets_table!$A:$B,2,0)</f>
        <v>Mumbai</v>
      </c>
      <c r="J662" t="str">
        <f>VLOOKUP(transactions_table8[[#This Row],[market_code]],markets_table!$A:$C,3,0)</f>
        <v>Central</v>
      </c>
      <c r="K662" t="str">
        <f>VLOOKUP(transactions_table8[[#This Row],[customer_code]],customer_table!$A:$B,2,0)</f>
        <v>Electricalslytical</v>
      </c>
      <c r="L662" t="str">
        <f>VLOOKUP(transactions_table8[[#This Row],[customer_code]],customer_table!$A:$C,3,0)</f>
        <v>E-Commerce</v>
      </c>
      <c r="M662">
        <f>IF(TRIM(CLEAN(transactions_table8[[#This Row],[currency]]))="USD",transactions_table8[[#This Row],[sales_amount]]*83,transactions_table8[[#This Row],[sales_amount]])</f>
        <v>12014</v>
      </c>
    </row>
    <row r="663" spans="1:13" x14ac:dyDescent="0.3">
      <c r="A663" t="s">
        <v>191</v>
      </c>
      <c r="B663" t="s">
        <v>51</v>
      </c>
      <c r="C663" t="s">
        <v>138</v>
      </c>
      <c r="D663" s="1">
        <v>43200</v>
      </c>
      <c r="E663">
        <v>1</v>
      </c>
      <c r="F663">
        <v>681</v>
      </c>
      <c r="G663" t="s">
        <v>462</v>
      </c>
      <c r="H663" t="str">
        <f>VLOOKUP(A663, product_table!$A:$C, 3, 0)</f>
        <v>Own Brand</v>
      </c>
      <c r="I663" t="str">
        <f>VLOOKUP(transactions_table8[[#This Row],[market_code]],markets_table!$A:$B,2,0)</f>
        <v>Mumbai</v>
      </c>
      <c r="J663" t="str">
        <f>VLOOKUP(transactions_table8[[#This Row],[market_code]],markets_table!$A:$C,3,0)</f>
        <v>Central</v>
      </c>
      <c r="K663" t="str">
        <f>VLOOKUP(transactions_table8[[#This Row],[customer_code]],customer_table!$A:$B,2,0)</f>
        <v>Power</v>
      </c>
      <c r="L663" t="str">
        <f>VLOOKUP(transactions_table8[[#This Row],[customer_code]],customer_table!$A:$C,3,0)</f>
        <v>E-Commerce</v>
      </c>
      <c r="M663">
        <f>IF(TRIM(CLEAN(transactions_table8[[#This Row],[currency]]))="USD",transactions_table8[[#This Row],[sales_amount]]*83,transactions_table8[[#This Row],[sales_amount]])</f>
        <v>681</v>
      </c>
    </row>
    <row r="664" spans="1:13" x14ac:dyDescent="0.3">
      <c r="A664" t="s">
        <v>191</v>
      </c>
      <c r="B664" t="s">
        <v>53</v>
      </c>
      <c r="C664" t="s">
        <v>138</v>
      </c>
      <c r="D664" s="1">
        <v>43209</v>
      </c>
      <c r="E664">
        <v>19</v>
      </c>
      <c r="F664">
        <v>43537</v>
      </c>
      <c r="G664" t="s">
        <v>462</v>
      </c>
      <c r="H664" t="str">
        <f>VLOOKUP(A664, product_table!$A:$C, 3, 0)</f>
        <v>Own Brand</v>
      </c>
      <c r="I664" t="str">
        <f>VLOOKUP(transactions_table8[[#This Row],[market_code]],markets_table!$A:$B,2,0)</f>
        <v>Mumbai</v>
      </c>
      <c r="J664" t="str">
        <f>VLOOKUP(transactions_table8[[#This Row],[market_code]],markets_table!$A:$C,3,0)</f>
        <v>Central</v>
      </c>
      <c r="K664" t="str">
        <f>VLOOKUP(transactions_table8[[#This Row],[customer_code]],customer_table!$A:$B,2,0)</f>
        <v>Path</v>
      </c>
      <c r="L664" t="str">
        <f>VLOOKUP(transactions_table8[[#This Row],[customer_code]],customer_table!$A:$C,3,0)</f>
        <v>E-Commerce</v>
      </c>
      <c r="M664">
        <f>IF(TRIM(CLEAN(transactions_table8[[#This Row],[currency]]))="USD",transactions_table8[[#This Row],[sales_amount]]*83,transactions_table8[[#This Row],[sales_amount]])</f>
        <v>43537</v>
      </c>
    </row>
    <row r="665" spans="1:13" x14ac:dyDescent="0.3">
      <c r="A665" t="s">
        <v>191</v>
      </c>
      <c r="B665" t="s">
        <v>51</v>
      </c>
      <c r="C665" t="s">
        <v>138</v>
      </c>
      <c r="D665" s="1">
        <v>43213</v>
      </c>
      <c r="E665">
        <v>1</v>
      </c>
      <c r="F665">
        <v>681</v>
      </c>
      <c r="G665" t="s">
        <v>462</v>
      </c>
      <c r="H665" t="str">
        <f>VLOOKUP(A665, product_table!$A:$C, 3, 0)</f>
        <v>Own Brand</v>
      </c>
      <c r="I665" t="str">
        <f>VLOOKUP(transactions_table8[[#This Row],[market_code]],markets_table!$A:$B,2,0)</f>
        <v>Mumbai</v>
      </c>
      <c r="J665" t="str">
        <f>VLOOKUP(transactions_table8[[#This Row],[market_code]],markets_table!$A:$C,3,0)</f>
        <v>Central</v>
      </c>
      <c r="K665" t="str">
        <f>VLOOKUP(transactions_table8[[#This Row],[customer_code]],customer_table!$A:$B,2,0)</f>
        <v>Power</v>
      </c>
      <c r="L665" t="str">
        <f>VLOOKUP(transactions_table8[[#This Row],[customer_code]],customer_table!$A:$C,3,0)</f>
        <v>E-Commerce</v>
      </c>
      <c r="M665">
        <f>IF(TRIM(CLEAN(transactions_table8[[#This Row],[currency]]))="USD",transactions_table8[[#This Row],[sales_amount]]*83,transactions_table8[[#This Row],[sales_amount]])</f>
        <v>681</v>
      </c>
    </row>
    <row r="666" spans="1:13" x14ac:dyDescent="0.3">
      <c r="A666" t="s">
        <v>191</v>
      </c>
      <c r="B666" t="s">
        <v>53</v>
      </c>
      <c r="C666" t="s">
        <v>138</v>
      </c>
      <c r="D666" s="1">
        <v>43228</v>
      </c>
      <c r="E666">
        <v>28</v>
      </c>
      <c r="F666">
        <v>65310</v>
      </c>
      <c r="G666" t="s">
        <v>462</v>
      </c>
      <c r="H666" t="str">
        <f>VLOOKUP(A666, product_table!$A:$C, 3, 0)</f>
        <v>Own Brand</v>
      </c>
      <c r="I666" t="str">
        <f>VLOOKUP(transactions_table8[[#This Row],[market_code]],markets_table!$A:$B,2,0)</f>
        <v>Mumbai</v>
      </c>
      <c r="J666" t="str">
        <f>VLOOKUP(transactions_table8[[#This Row],[market_code]],markets_table!$A:$C,3,0)</f>
        <v>Central</v>
      </c>
      <c r="K666" t="str">
        <f>VLOOKUP(transactions_table8[[#This Row],[customer_code]],customer_table!$A:$B,2,0)</f>
        <v>Path</v>
      </c>
      <c r="L666" t="str">
        <f>VLOOKUP(transactions_table8[[#This Row],[customer_code]],customer_table!$A:$C,3,0)</f>
        <v>E-Commerce</v>
      </c>
      <c r="M666">
        <f>IF(TRIM(CLEAN(transactions_table8[[#This Row],[currency]]))="USD",transactions_table8[[#This Row],[sales_amount]]*83,transactions_table8[[#This Row],[sales_amount]])</f>
        <v>65310</v>
      </c>
    </row>
    <row r="667" spans="1:13" x14ac:dyDescent="0.3">
      <c r="A667" t="s">
        <v>191</v>
      </c>
      <c r="B667" t="s">
        <v>51</v>
      </c>
      <c r="C667" t="s">
        <v>138</v>
      </c>
      <c r="D667" s="1">
        <v>43235</v>
      </c>
      <c r="E667">
        <v>1</v>
      </c>
      <c r="F667">
        <v>681</v>
      </c>
      <c r="G667" t="s">
        <v>462</v>
      </c>
      <c r="H667" t="str">
        <f>VLOOKUP(A667, product_table!$A:$C, 3, 0)</f>
        <v>Own Brand</v>
      </c>
      <c r="I667" t="str">
        <f>VLOOKUP(transactions_table8[[#This Row],[market_code]],markets_table!$A:$B,2,0)</f>
        <v>Mumbai</v>
      </c>
      <c r="J667" t="str">
        <f>VLOOKUP(transactions_table8[[#This Row],[market_code]],markets_table!$A:$C,3,0)</f>
        <v>Central</v>
      </c>
      <c r="K667" t="str">
        <f>VLOOKUP(transactions_table8[[#This Row],[customer_code]],customer_table!$A:$B,2,0)</f>
        <v>Power</v>
      </c>
      <c r="L667" t="str">
        <f>VLOOKUP(transactions_table8[[#This Row],[customer_code]],customer_table!$A:$C,3,0)</f>
        <v>E-Commerce</v>
      </c>
      <c r="M667">
        <f>IF(TRIM(CLEAN(transactions_table8[[#This Row],[currency]]))="USD",transactions_table8[[#This Row],[sales_amount]]*83,transactions_table8[[#This Row],[sales_amount]])</f>
        <v>681</v>
      </c>
    </row>
    <row r="668" spans="1:13" x14ac:dyDescent="0.3">
      <c r="A668" t="s">
        <v>191</v>
      </c>
      <c r="B668" t="s">
        <v>53</v>
      </c>
      <c r="C668" t="s">
        <v>138</v>
      </c>
      <c r="D668" s="1">
        <v>43255</v>
      </c>
      <c r="E668">
        <v>9</v>
      </c>
      <c r="F668">
        <v>21769</v>
      </c>
      <c r="G668" t="s">
        <v>462</v>
      </c>
      <c r="H668" t="str">
        <f>VLOOKUP(A668, product_table!$A:$C, 3, 0)</f>
        <v>Own Brand</v>
      </c>
      <c r="I668" t="str">
        <f>VLOOKUP(transactions_table8[[#This Row],[market_code]],markets_table!$A:$B,2,0)</f>
        <v>Mumbai</v>
      </c>
      <c r="J668" t="str">
        <f>VLOOKUP(transactions_table8[[#This Row],[market_code]],markets_table!$A:$C,3,0)</f>
        <v>Central</v>
      </c>
      <c r="K668" t="str">
        <f>VLOOKUP(transactions_table8[[#This Row],[customer_code]],customer_table!$A:$B,2,0)</f>
        <v>Path</v>
      </c>
      <c r="L668" t="str">
        <f>VLOOKUP(transactions_table8[[#This Row],[customer_code]],customer_table!$A:$C,3,0)</f>
        <v>E-Commerce</v>
      </c>
      <c r="M668">
        <f>IF(TRIM(CLEAN(transactions_table8[[#This Row],[currency]]))="USD",transactions_table8[[#This Row],[sales_amount]]*83,transactions_table8[[#This Row],[sales_amount]])</f>
        <v>21769</v>
      </c>
    </row>
    <row r="669" spans="1:13" x14ac:dyDescent="0.3">
      <c r="A669" t="s">
        <v>191</v>
      </c>
      <c r="B669" t="s">
        <v>53</v>
      </c>
      <c r="C669" t="s">
        <v>138</v>
      </c>
      <c r="D669" s="1">
        <v>43259</v>
      </c>
      <c r="E669">
        <v>1</v>
      </c>
      <c r="F669">
        <v>2176</v>
      </c>
      <c r="G669" t="s">
        <v>462</v>
      </c>
      <c r="H669" t="str">
        <f>VLOOKUP(A669, product_table!$A:$C, 3, 0)</f>
        <v>Own Brand</v>
      </c>
      <c r="I669" t="str">
        <f>VLOOKUP(transactions_table8[[#This Row],[market_code]],markets_table!$A:$B,2,0)</f>
        <v>Mumbai</v>
      </c>
      <c r="J669" t="str">
        <f>VLOOKUP(transactions_table8[[#This Row],[market_code]],markets_table!$A:$C,3,0)</f>
        <v>Central</v>
      </c>
      <c r="K669" t="str">
        <f>VLOOKUP(transactions_table8[[#This Row],[customer_code]],customer_table!$A:$B,2,0)</f>
        <v>Path</v>
      </c>
      <c r="L669" t="str">
        <f>VLOOKUP(transactions_table8[[#This Row],[customer_code]],customer_table!$A:$C,3,0)</f>
        <v>E-Commerce</v>
      </c>
      <c r="M669">
        <f>IF(TRIM(CLEAN(transactions_table8[[#This Row],[currency]]))="USD",transactions_table8[[#This Row],[sales_amount]]*83,transactions_table8[[#This Row],[sales_amount]])</f>
        <v>2176</v>
      </c>
    </row>
    <row r="670" spans="1:13" x14ac:dyDescent="0.3">
      <c r="A670" t="s">
        <v>192</v>
      </c>
      <c r="B670" t="s">
        <v>49</v>
      </c>
      <c r="C670" t="s">
        <v>138</v>
      </c>
      <c r="D670" s="1">
        <v>43116</v>
      </c>
      <c r="E670">
        <v>8</v>
      </c>
      <c r="F670">
        <v>17222</v>
      </c>
      <c r="G670" t="s">
        <v>462</v>
      </c>
      <c r="H670" t="str">
        <f>VLOOKUP(A670, product_table!$A:$C, 3, 0)</f>
        <v>Own Brand</v>
      </c>
      <c r="I670" t="str">
        <f>VLOOKUP(transactions_table8[[#This Row],[market_code]],markets_table!$A:$B,2,0)</f>
        <v>Mumbai</v>
      </c>
      <c r="J670" t="str">
        <f>VLOOKUP(transactions_table8[[#This Row],[market_code]],markets_table!$A:$C,3,0)</f>
        <v>Central</v>
      </c>
      <c r="K670" t="str">
        <f>VLOOKUP(transactions_table8[[#This Row],[customer_code]],customer_table!$A:$B,2,0)</f>
        <v>Sound</v>
      </c>
      <c r="L670" t="str">
        <f>VLOOKUP(transactions_table8[[#This Row],[customer_code]],customer_table!$A:$C,3,0)</f>
        <v>E-Commerce</v>
      </c>
      <c r="M670">
        <f>IF(TRIM(CLEAN(transactions_table8[[#This Row],[currency]]))="USD",transactions_table8[[#This Row],[sales_amount]]*83,transactions_table8[[#This Row],[sales_amount]])</f>
        <v>17222</v>
      </c>
    </row>
    <row r="671" spans="1:13" x14ac:dyDescent="0.3">
      <c r="A671" t="s">
        <v>192</v>
      </c>
      <c r="B671" t="s">
        <v>49</v>
      </c>
      <c r="C671" t="s">
        <v>138</v>
      </c>
      <c r="D671" s="1">
        <v>43117</v>
      </c>
      <c r="E671">
        <v>24</v>
      </c>
      <c r="F671">
        <v>48917</v>
      </c>
      <c r="G671" t="s">
        <v>462</v>
      </c>
      <c r="H671" t="str">
        <f>VLOOKUP(A671, product_table!$A:$C, 3, 0)</f>
        <v>Own Brand</v>
      </c>
      <c r="I671" t="str">
        <f>VLOOKUP(transactions_table8[[#This Row],[market_code]],markets_table!$A:$B,2,0)</f>
        <v>Mumbai</v>
      </c>
      <c r="J671" t="str">
        <f>VLOOKUP(transactions_table8[[#This Row],[market_code]],markets_table!$A:$C,3,0)</f>
        <v>Central</v>
      </c>
      <c r="K671" t="str">
        <f>VLOOKUP(transactions_table8[[#This Row],[customer_code]],customer_table!$A:$B,2,0)</f>
        <v>Sound</v>
      </c>
      <c r="L671" t="str">
        <f>VLOOKUP(transactions_table8[[#This Row],[customer_code]],customer_table!$A:$C,3,0)</f>
        <v>E-Commerce</v>
      </c>
      <c r="M671">
        <f>IF(TRIM(CLEAN(transactions_table8[[#This Row],[currency]]))="USD",transactions_table8[[#This Row],[sales_amount]]*83,transactions_table8[[#This Row],[sales_amount]])</f>
        <v>48917</v>
      </c>
    </row>
    <row r="672" spans="1:13" x14ac:dyDescent="0.3">
      <c r="A672" t="s">
        <v>192</v>
      </c>
      <c r="B672" t="s">
        <v>49</v>
      </c>
      <c r="C672" t="s">
        <v>138</v>
      </c>
      <c r="D672" s="1">
        <v>43140</v>
      </c>
      <c r="E672">
        <v>1</v>
      </c>
      <c r="F672">
        <v>1380</v>
      </c>
      <c r="G672" t="s">
        <v>462</v>
      </c>
      <c r="H672" t="str">
        <f>VLOOKUP(A672, product_table!$A:$C, 3, 0)</f>
        <v>Own Brand</v>
      </c>
      <c r="I672" t="str">
        <f>VLOOKUP(transactions_table8[[#This Row],[market_code]],markets_table!$A:$B,2,0)</f>
        <v>Mumbai</v>
      </c>
      <c r="J672" t="str">
        <f>VLOOKUP(transactions_table8[[#This Row],[market_code]],markets_table!$A:$C,3,0)</f>
        <v>Central</v>
      </c>
      <c r="K672" t="str">
        <f>VLOOKUP(transactions_table8[[#This Row],[customer_code]],customer_table!$A:$B,2,0)</f>
        <v>Sound</v>
      </c>
      <c r="L672" t="str">
        <f>VLOOKUP(transactions_table8[[#This Row],[customer_code]],customer_table!$A:$C,3,0)</f>
        <v>E-Commerce</v>
      </c>
      <c r="M672">
        <f>IF(TRIM(CLEAN(transactions_table8[[#This Row],[currency]]))="USD",transactions_table8[[#This Row],[sales_amount]]*83,transactions_table8[[#This Row],[sales_amount]])</f>
        <v>1380</v>
      </c>
    </row>
    <row r="673" spans="1:13" x14ac:dyDescent="0.3">
      <c r="A673" t="s">
        <v>192</v>
      </c>
      <c r="B673" t="s">
        <v>55</v>
      </c>
      <c r="C673" t="s">
        <v>152</v>
      </c>
      <c r="D673" s="1">
        <v>43143</v>
      </c>
      <c r="E673">
        <v>13</v>
      </c>
      <c r="F673">
        <v>26333</v>
      </c>
      <c r="G673" t="s">
        <v>462</v>
      </c>
      <c r="H673" t="str">
        <f>VLOOKUP(A673, product_table!$A:$C, 3, 0)</f>
        <v>Own Brand</v>
      </c>
      <c r="I673" t="str">
        <f>VLOOKUP(transactions_table8[[#This Row],[market_code]],markets_table!$A:$B,2,0)</f>
        <v>Lucknow</v>
      </c>
      <c r="J673" t="str">
        <f>VLOOKUP(transactions_table8[[#This Row],[market_code]],markets_table!$A:$C,3,0)</f>
        <v>North</v>
      </c>
      <c r="K673" t="str">
        <f>VLOOKUP(transactions_table8[[#This Row],[customer_code]],customer_table!$A:$B,2,0)</f>
        <v>Insight</v>
      </c>
      <c r="L673" t="str">
        <f>VLOOKUP(transactions_table8[[#This Row],[customer_code]],customer_table!$A:$C,3,0)</f>
        <v>E-Commerce</v>
      </c>
      <c r="M673">
        <f>IF(TRIM(CLEAN(transactions_table8[[#This Row],[currency]]))="USD",transactions_table8[[#This Row],[sales_amount]]*83,transactions_table8[[#This Row],[sales_amount]])</f>
        <v>26333</v>
      </c>
    </row>
    <row r="674" spans="1:13" x14ac:dyDescent="0.3">
      <c r="A674" t="s">
        <v>192</v>
      </c>
      <c r="B674" t="s">
        <v>55</v>
      </c>
      <c r="C674" t="s">
        <v>152</v>
      </c>
      <c r="D674" s="1">
        <v>43147</v>
      </c>
      <c r="E674">
        <v>13</v>
      </c>
      <c r="F674">
        <v>26333</v>
      </c>
      <c r="G674" t="s">
        <v>462</v>
      </c>
      <c r="H674" t="str">
        <f>VLOOKUP(A674, product_table!$A:$C, 3, 0)</f>
        <v>Own Brand</v>
      </c>
      <c r="I674" t="str">
        <f>VLOOKUP(transactions_table8[[#This Row],[market_code]],markets_table!$A:$B,2,0)</f>
        <v>Lucknow</v>
      </c>
      <c r="J674" t="str">
        <f>VLOOKUP(transactions_table8[[#This Row],[market_code]],markets_table!$A:$C,3,0)</f>
        <v>North</v>
      </c>
      <c r="K674" t="str">
        <f>VLOOKUP(transactions_table8[[#This Row],[customer_code]],customer_table!$A:$B,2,0)</f>
        <v>Insight</v>
      </c>
      <c r="L674" t="str">
        <f>VLOOKUP(transactions_table8[[#This Row],[customer_code]],customer_table!$A:$C,3,0)</f>
        <v>E-Commerce</v>
      </c>
      <c r="M674">
        <f>IF(TRIM(CLEAN(transactions_table8[[#This Row],[currency]]))="USD",transactions_table8[[#This Row],[sales_amount]]*83,transactions_table8[[#This Row],[sales_amount]])</f>
        <v>26333</v>
      </c>
    </row>
    <row r="675" spans="1:13" x14ac:dyDescent="0.3">
      <c r="A675" t="s">
        <v>192</v>
      </c>
      <c r="B675" t="s">
        <v>34</v>
      </c>
      <c r="C675" t="s">
        <v>138</v>
      </c>
      <c r="D675" s="1">
        <v>43153</v>
      </c>
      <c r="E675">
        <v>1</v>
      </c>
      <c r="F675">
        <v>347</v>
      </c>
      <c r="G675" t="s">
        <v>462</v>
      </c>
      <c r="H675" t="str">
        <f>VLOOKUP(A675, product_table!$A:$C, 3, 0)</f>
        <v>Own Brand</v>
      </c>
      <c r="I675" t="str">
        <f>VLOOKUP(transactions_table8[[#This Row],[market_code]],markets_table!$A:$B,2,0)</f>
        <v>Mumbai</v>
      </c>
      <c r="J675" t="str">
        <f>VLOOKUP(transactions_table8[[#This Row],[market_code]],markets_table!$A:$C,3,0)</f>
        <v>Central</v>
      </c>
      <c r="K675" t="str">
        <f>VLOOKUP(transactions_table8[[#This Row],[customer_code]],customer_table!$A:$B,2,0)</f>
        <v>Logic Stores</v>
      </c>
      <c r="L675" t="str">
        <f>VLOOKUP(transactions_table8[[#This Row],[customer_code]],customer_table!$A:$C,3,0)</f>
        <v>Brick &amp; Mortar</v>
      </c>
      <c r="M675">
        <f>IF(TRIM(CLEAN(transactions_table8[[#This Row],[currency]]))="USD",transactions_table8[[#This Row],[sales_amount]]*83,transactions_table8[[#This Row],[sales_amount]])</f>
        <v>347</v>
      </c>
    </row>
    <row r="676" spans="1:13" x14ac:dyDescent="0.3">
      <c r="A676" t="s">
        <v>192</v>
      </c>
      <c r="B676" t="s">
        <v>47</v>
      </c>
      <c r="C676" t="s">
        <v>138</v>
      </c>
      <c r="D676" s="1">
        <v>43153</v>
      </c>
      <c r="E676">
        <v>3</v>
      </c>
      <c r="F676">
        <v>6125</v>
      </c>
      <c r="G676" t="s">
        <v>462</v>
      </c>
      <c r="H676" t="str">
        <f>VLOOKUP(A676, product_table!$A:$C, 3, 0)</f>
        <v>Own Brand</v>
      </c>
      <c r="I676" t="str">
        <f>VLOOKUP(transactions_table8[[#This Row],[market_code]],markets_table!$A:$B,2,0)</f>
        <v>Mumbai</v>
      </c>
      <c r="J676" t="str">
        <f>VLOOKUP(transactions_table8[[#This Row],[market_code]],markets_table!$A:$C,3,0)</f>
        <v>Central</v>
      </c>
      <c r="K676" t="str">
        <f>VLOOKUP(transactions_table8[[#This Row],[customer_code]],customer_table!$A:$B,2,0)</f>
        <v>Electricalslytical</v>
      </c>
      <c r="L676" t="str">
        <f>VLOOKUP(transactions_table8[[#This Row],[customer_code]],customer_table!$A:$C,3,0)</f>
        <v>E-Commerce</v>
      </c>
      <c r="M676">
        <f>IF(TRIM(CLEAN(transactions_table8[[#This Row],[currency]]))="USD",transactions_table8[[#This Row],[sales_amount]]*83,transactions_table8[[#This Row],[sales_amount]])</f>
        <v>6125</v>
      </c>
    </row>
    <row r="677" spans="1:13" x14ac:dyDescent="0.3">
      <c r="A677" t="s">
        <v>192</v>
      </c>
      <c r="B677" t="s">
        <v>34</v>
      </c>
      <c r="C677" t="s">
        <v>138</v>
      </c>
      <c r="D677" s="1">
        <v>43154</v>
      </c>
      <c r="E677">
        <v>5</v>
      </c>
      <c r="F677">
        <v>10824</v>
      </c>
      <c r="G677" t="s">
        <v>462</v>
      </c>
      <c r="H677" t="str">
        <f>VLOOKUP(A677, product_table!$A:$C, 3, 0)</f>
        <v>Own Brand</v>
      </c>
      <c r="I677" t="str">
        <f>VLOOKUP(transactions_table8[[#This Row],[market_code]],markets_table!$A:$B,2,0)</f>
        <v>Mumbai</v>
      </c>
      <c r="J677" t="str">
        <f>VLOOKUP(transactions_table8[[#This Row],[market_code]],markets_table!$A:$C,3,0)</f>
        <v>Central</v>
      </c>
      <c r="K677" t="str">
        <f>VLOOKUP(transactions_table8[[#This Row],[customer_code]],customer_table!$A:$B,2,0)</f>
        <v>Logic Stores</v>
      </c>
      <c r="L677" t="str">
        <f>VLOOKUP(transactions_table8[[#This Row],[customer_code]],customer_table!$A:$C,3,0)</f>
        <v>Brick &amp; Mortar</v>
      </c>
      <c r="M677">
        <f>IF(TRIM(CLEAN(transactions_table8[[#This Row],[currency]]))="USD",transactions_table8[[#This Row],[sales_amount]]*83,transactions_table8[[#This Row],[sales_amount]])</f>
        <v>10824</v>
      </c>
    </row>
    <row r="678" spans="1:13" x14ac:dyDescent="0.3">
      <c r="A678" t="s">
        <v>192</v>
      </c>
      <c r="B678" t="s">
        <v>47</v>
      </c>
      <c r="C678" t="s">
        <v>138</v>
      </c>
      <c r="D678" s="1">
        <v>43157</v>
      </c>
      <c r="E678">
        <v>1</v>
      </c>
      <c r="F678">
        <v>3065</v>
      </c>
      <c r="G678" t="s">
        <v>462</v>
      </c>
      <c r="H678" t="str">
        <f>VLOOKUP(A678, product_table!$A:$C, 3, 0)</f>
        <v>Own Brand</v>
      </c>
      <c r="I678" t="str">
        <f>VLOOKUP(transactions_table8[[#This Row],[market_code]],markets_table!$A:$B,2,0)</f>
        <v>Mumbai</v>
      </c>
      <c r="J678" t="str">
        <f>VLOOKUP(transactions_table8[[#This Row],[market_code]],markets_table!$A:$C,3,0)</f>
        <v>Central</v>
      </c>
      <c r="K678" t="str">
        <f>VLOOKUP(transactions_table8[[#This Row],[customer_code]],customer_table!$A:$B,2,0)</f>
        <v>Electricalslytical</v>
      </c>
      <c r="L678" t="str">
        <f>VLOOKUP(transactions_table8[[#This Row],[customer_code]],customer_table!$A:$C,3,0)</f>
        <v>E-Commerce</v>
      </c>
      <c r="M678">
        <f>IF(TRIM(CLEAN(transactions_table8[[#This Row],[currency]]))="USD",transactions_table8[[#This Row],[sales_amount]]*83,transactions_table8[[#This Row],[sales_amount]])</f>
        <v>3065</v>
      </c>
    </row>
    <row r="679" spans="1:13" x14ac:dyDescent="0.3">
      <c r="A679" t="s">
        <v>192</v>
      </c>
      <c r="B679" t="s">
        <v>49</v>
      </c>
      <c r="C679" t="s">
        <v>138</v>
      </c>
      <c r="D679" s="1">
        <v>43160</v>
      </c>
      <c r="E679">
        <v>1</v>
      </c>
      <c r="F679">
        <v>1380</v>
      </c>
      <c r="G679" t="s">
        <v>462</v>
      </c>
      <c r="H679" t="str">
        <f>VLOOKUP(A679, product_table!$A:$C, 3, 0)</f>
        <v>Own Brand</v>
      </c>
      <c r="I679" t="str">
        <f>VLOOKUP(transactions_table8[[#This Row],[market_code]],markets_table!$A:$B,2,0)</f>
        <v>Mumbai</v>
      </c>
      <c r="J679" t="str">
        <f>VLOOKUP(transactions_table8[[#This Row],[market_code]],markets_table!$A:$C,3,0)</f>
        <v>Central</v>
      </c>
      <c r="K679" t="str">
        <f>VLOOKUP(transactions_table8[[#This Row],[customer_code]],customer_table!$A:$B,2,0)</f>
        <v>Sound</v>
      </c>
      <c r="L679" t="str">
        <f>VLOOKUP(transactions_table8[[#This Row],[customer_code]],customer_table!$A:$C,3,0)</f>
        <v>E-Commerce</v>
      </c>
      <c r="M679">
        <f>IF(TRIM(CLEAN(transactions_table8[[#This Row],[currency]]))="USD",transactions_table8[[#This Row],[sales_amount]]*83,transactions_table8[[#This Row],[sales_amount]])</f>
        <v>1380</v>
      </c>
    </row>
    <row r="680" spans="1:13" x14ac:dyDescent="0.3">
      <c r="A680" t="s">
        <v>192</v>
      </c>
      <c r="B680" t="s">
        <v>34</v>
      </c>
      <c r="C680" t="s">
        <v>138</v>
      </c>
      <c r="D680" s="1">
        <v>43161</v>
      </c>
      <c r="E680">
        <v>2</v>
      </c>
      <c r="F680">
        <v>3843</v>
      </c>
      <c r="G680" t="s">
        <v>462</v>
      </c>
      <c r="H680" t="str">
        <f>VLOOKUP(A680, product_table!$A:$C, 3, 0)</f>
        <v>Own Brand</v>
      </c>
      <c r="I680" t="str">
        <f>VLOOKUP(transactions_table8[[#This Row],[market_code]],markets_table!$A:$B,2,0)</f>
        <v>Mumbai</v>
      </c>
      <c r="J680" t="str">
        <f>VLOOKUP(transactions_table8[[#This Row],[market_code]],markets_table!$A:$C,3,0)</f>
        <v>Central</v>
      </c>
      <c r="K680" t="str">
        <f>VLOOKUP(transactions_table8[[#This Row],[customer_code]],customer_table!$A:$B,2,0)</f>
        <v>Logic Stores</v>
      </c>
      <c r="L680" t="str">
        <f>VLOOKUP(transactions_table8[[#This Row],[customer_code]],customer_table!$A:$C,3,0)</f>
        <v>Brick &amp; Mortar</v>
      </c>
      <c r="M680">
        <f>IF(TRIM(CLEAN(transactions_table8[[#This Row],[currency]]))="USD",transactions_table8[[#This Row],[sales_amount]]*83,transactions_table8[[#This Row],[sales_amount]])</f>
        <v>3843</v>
      </c>
    </row>
    <row r="681" spans="1:13" x14ac:dyDescent="0.3">
      <c r="A681" t="s">
        <v>192</v>
      </c>
      <c r="B681" t="s">
        <v>47</v>
      </c>
      <c r="C681" t="s">
        <v>138</v>
      </c>
      <c r="D681" s="1">
        <v>43164</v>
      </c>
      <c r="E681">
        <v>1</v>
      </c>
      <c r="F681">
        <v>3065</v>
      </c>
      <c r="G681" t="s">
        <v>462</v>
      </c>
      <c r="H681" t="str">
        <f>VLOOKUP(A681, product_table!$A:$C, 3, 0)</f>
        <v>Own Brand</v>
      </c>
      <c r="I681" t="str">
        <f>VLOOKUP(transactions_table8[[#This Row],[market_code]],markets_table!$A:$B,2,0)</f>
        <v>Mumbai</v>
      </c>
      <c r="J681" t="str">
        <f>VLOOKUP(transactions_table8[[#This Row],[market_code]],markets_table!$A:$C,3,0)</f>
        <v>Central</v>
      </c>
      <c r="K681" t="str">
        <f>VLOOKUP(transactions_table8[[#This Row],[customer_code]],customer_table!$A:$B,2,0)</f>
        <v>Electricalslytical</v>
      </c>
      <c r="L681" t="str">
        <f>VLOOKUP(transactions_table8[[#This Row],[customer_code]],customer_table!$A:$C,3,0)</f>
        <v>E-Commerce</v>
      </c>
      <c r="M681">
        <f>IF(TRIM(CLEAN(transactions_table8[[#This Row],[currency]]))="USD",transactions_table8[[#This Row],[sales_amount]]*83,transactions_table8[[#This Row],[sales_amount]])</f>
        <v>3065</v>
      </c>
    </row>
    <row r="682" spans="1:13" x14ac:dyDescent="0.3">
      <c r="A682" t="s">
        <v>192</v>
      </c>
      <c r="B682" t="s">
        <v>47</v>
      </c>
      <c r="C682" t="s">
        <v>138</v>
      </c>
      <c r="D682" s="1">
        <v>43165</v>
      </c>
      <c r="E682">
        <v>1</v>
      </c>
      <c r="F682">
        <v>3065</v>
      </c>
      <c r="G682" t="s">
        <v>462</v>
      </c>
      <c r="H682" t="str">
        <f>VLOOKUP(A682, product_table!$A:$C, 3, 0)</f>
        <v>Own Brand</v>
      </c>
      <c r="I682" t="str">
        <f>VLOOKUP(transactions_table8[[#This Row],[market_code]],markets_table!$A:$B,2,0)</f>
        <v>Mumbai</v>
      </c>
      <c r="J682" t="str">
        <f>VLOOKUP(transactions_table8[[#This Row],[market_code]],markets_table!$A:$C,3,0)</f>
        <v>Central</v>
      </c>
      <c r="K682" t="str">
        <f>VLOOKUP(transactions_table8[[#This Row],[customer_code]],customer_table!$A:$B,2,0)</f>
        <v>Electricalslytical</v>
      </c>
      <c r="L682" t="str">
        <f>VLOOKUP(transactions_table8[[#This Row],[customer_code]],customer_table!$A:$C,3,0)</f>
        <v>E-Commerce</v>
      </c>
      <c r="M682">
        <f>IF(TRIM(CLEAN(transactions_table8[[#This Row],[currency]]))="USD",transactions_table8[[#This Row],[sales_amount]]*83,transactions_table8[[#This Row],[sales_amount]])</f>
        <v>3065</v>
      </c>
    </row>
    <row r="683" spans="1:13" x14ac:dyDescent="0.3">
      <c r="A683" t="s">
        <v>192</v>
      </c>
      <c r="B683" t="s">
        <v>47</v>
      </c>
      <c r="C683" t="s">
        <v>138</v>
      </c>
      <c r="D683" s="1">
        <v>43167</v>
      </c>
      <c r="E683">
        <v>1</v>
      </c>
      <c r="F683">
        <v>3065</v>
      </c>
      <c r="G683" t="s">
        <v>462</v>
      </c>
      <c r="H683" t="str">
        <f>VLOOKUP(A683, product_table!$A:$C, 3, 0)</f>
        <v>Own Brand</v>
      </c>
      <c r="I683" t="str">
        <f>VLOOKUP(transactions_table8[[#This Row],[market_code]],markets_table!$A:$B,2,0)</f>
        <v>Mumbai</v>
      </c>
      <c r="J683" t="str">
        <f>VLOOKUP(transactions_table8[[#This Row],[market_code]],markets_table!$A:$C,3,0)</f>
        <v>Central</v>
      </c>
      <c r="K683" t="str">
        <f>VLOOKUP(transactions_table8[[#This Row],[customer_code]],customer_table!$A:$B,2,0)</f>
        <v>Electricalslytical</v>
      </c>
      <c r="L683" t="str">
        <f>VLOOKUP(transactions_table8[[#This Row],[customer_code]],customer_table!$A:$C,3,0)</f>
        <v>E-Commerce</v>
      </c>
      <c r="M683">
        <f>IF(TRIM(CLEAN(transactions_table8[[#This Row],[currency]]))="USD",transactions_table8[[#This Row],[sales_amount]]*83,transactions_table8[[#This Row],[sales_amount]])</f>
        <v>3065</v>
      </c>
    </row>
    <row r="684" spans="1:13" x14ac:dyDescent="0.3">
      <c r="A684" t="s">
        <v>192</v>
      </c>
      <c r="B684" t="s">
        <v>47</v>
      </c>
      <c r="C684" t="s">
        <v>138</v>
      </c>
      <c r="D684" s="1">
        <v>43168</v>
      </c>
      <c r="E684">
        <v>1</v>
      </c>
      <c r="F684">
        <v>3065</v>
      </c>
      <c r="G684" t="s">
        <v>462</v>
      </c>
      <c r="H684" t="str">
        <f>VLOOKUP(A684, product_table!$A:$C, 3, 0)</f>
        <v>Own Brand</v>
      </c>
      <c r="I684" t="str">
        <f>VLOOKUP(transactions_table8[[#This Row],[market_code]],markets_table!$A:$B,2,0)</f>
        <v>Mumbai</v>
      </c>
      <c r="J684" t="str">
        <f>VLOOKUP(transactions_table8[[#This Row],[market_code]],markets_table!$A:$C,3,0)</f>
        <v>Central</v>
      </c>
      <c r="K684" t="str">
        <f>VLOOKUP(transactions_table8[[#This Row],[customer_code]],customer_table!$A:$B,2,0)</f>
        <v>Electricalslytical</v>
      </c>
      <c r="L684" t="str">
        <f>VLOOKUP(transactions_table8[[#This Row],[customer_code]],customer_table!$A:$C,3,0)</f>
        <v>E-Commerce</v>
      </c>
      <c r="M684">
        <f>IF(TRIM(CLEAN(transactions_table8[[#This Row],[currency]]))="USD",transactions_table8[[#This Row],[sales_amount]]*83,transactions_table8[[#This Row],[sales_amount]])</f>
        <v>3065</v>
      </c>
    </row>
    <row r="685" spans="1:13" x14ac:dyDescent="0.3">
      <c r="A685" t="s">
        <v>192</v>
      </c>
      <c r="B685" t="s">
        <v>47</v>
      </c>
      <c r="C685" t="s">
        <v>138</v>
      </c>
      <c r="D685" s="1">
        <v>43174</v>
      </c>
      <c r="E685">
        <v>3</v>
      </c>
      <c r="F685">
        <v>6130</v>
      </c>
      <c r="G685" t="s">
        <v>462</v>
      </c>
      <c r="H685" t="str">
        <f>VLOOKUP(A685, product_table!$A:$C, 3, 0)</f>
        <v>Own Brand</v>
      </c>
      <c r="I685" t="str">
        <f>VLOOKUP(transactions_table8[[#This Row],[market_code]],markets_table!$A:$B,2,0)</f>
        <v>Mumbai</v>
      </c>
      <c r="J685" t="str">
        <f>VLOOKUP(transactions_table8[[#This Row],[market_code]],markets_table!$A:$C,3,0)</f>
        <v>Central</v>
      </c>
      <c r="K685" t="str">
        <f>VLOOKUP(transactions_table8[[#This Row],[customer_code]],customer_table!$A:$B,2,0)</f>
        <v>Electricalslytical</v>
      </c>
      <c r="L685" t="str">
        <f>VLOOKUP(transactions_table8[[#This Row],[customer_code]],customer_table!$A:$C,3,0)</f>
        <v>E-Commerce</v>
      </c>
      <c r="M685">
        <f>IF(TRIM(CLEAN(transactions_table8[[#This Row],[currency]]))="USD",transactions_table8[[#This Row],[sales_amount]]*83,transactions_table8[[#This Row],[sales_amount]])</f>
        <v>6130</v>
      </c>
    </row>
    <row r="686" spans="1:13" x14ac:dyDescent="0.3">
      <c r="A686" t="s">
        <v>192</v>
      </c>
      <c r="B686" t="s">
        <v>47</v>
      </c>
      <c r="C686" t="s">
        <v>138</v>
      </c>
      <c r="D686" s="1">
        <v>43178</v>
      </c>
      <c r="E686">
        <v>1</v>
      </c>
      <c r="F686">
        <v>3065</v>
      </c>
      <c r="G686" t="s">
        <v>462</v>
      </c>
      <c r="H686" t="str">
        <f>VLOOKUP(A686, product_table!$A:$C, 3, 0)</f>
        <v>Own Brand</v>
      </c>
      <c r="I686" t="str">
        <f>VLOOKUP(transactions_table8[[#This Row],[market_code]],markets_table!$A:$B,2,0)</f>
        <v>Mumbai</v>
      </c>
      <c r="J686" t="str">
        <f>VLOOKUP(transactions_table8[[#This Row],[market_code]],markets_table!$A:$C,3,0)</f>
        <v>Central</v>
      </c>
      <c r="K686" t="str">
        <f>VLOOKUP(transactions_table8[[#This Row],[customer_code]],customer_table!$A:$B,2,0)</f>
        <v>Electricalslytical</v>
      </c>
      <c r="L686" t="str">
        <f>VLOOKUP(transactions_table8[[#This Row],[customer_code]],customer_table!$A:$C,3,0)</f>
        <v>E-Commerce</v>
      </c>
      <c r="M686">
        <f>IF(TRIM(CLEAN(transactions_table8[[#This Row],[currency]]))="USD",transactions_table8[[#This Row],[sales_amount]]*83,transactions_table8[[#This Row],[sales_amount]])</f>
        <v>3065</v>
      </c>
    </row>
    <row r="687" spans="1:13" x14ac:dyDescent="0.3">
      <c r="A687" t="s">
        <v>192</v>
      </c>
      <c r="B687" t="s">
        <v>53</v>
      </c>
      <c r="C687" t="s">
        <v>138</v>
      </c>
      <c r="D687" s="1">
        <v>43178</v>
      </c>
      <c r="E687">
        <v>5</v>
      </c>
      <c r="F687">
        <v>10884</v>
      </c>
      <c r="G687" t="s">
        <v>462</v>
      </c>
      <c r="H687" t="str">
        <f>VLOOKUP(A687, product_table!$A:$C, 3, 0)</f>
        <v>Own Brand</v>
      </c>
      <c r="I687" t="str">
        <f>VLOOKUP(transactions_table8[[#This Row],[market_code]],markets_table!$A:$B,2,0)</f>
        <v>Mumbai</v>
      </c>
      <c r="J687" t="str">
        <f>VLOOKUP(transactions_table8[[#This Row],[market_code]],markets_table!$A:$C,3,0)</f>
        <v>Central</v>
      </c>
      <c r="K687" t="str">
        <f>VLOOKUP(transactions_table8[[#This Row],[customer_code]],customer_table!$A:$B,2,0)</f>
        <v>Path</v>
      </c>
      <c r="L687" t="str">
        <f>VLOOKUP(transactions_table8[[#This Row],[customer_code]],customer_table!$A:$C,3,0)</f>
        <v>E-Commerce</v>
      </c>
      <c r="M687">
        <f>IF(TRIM(CLEAN(transactions_table8[[#This Row],[currency]]))="USD",transactions_table8[[#This Row],[sales_amount]]*83,transactions_table8[[#This Row],[sales_amount]])</f>
        <v>10884</v>
      </c>
    </row>
    <row r="688" spans="1:13" x14ac:dyDescent="0.3">
      <c r="A688" t="s">
        <v>192</v>
      </c>
      <c r="B688" t="s">
        <v>47</v>
      </c>
      <c r="C688" t="s">
        <v>138</v>
      </c>
      <c r="D688" s="1">
        <v>43179</v>
      </c>
      <c r="E688">
        <v>1</v>
      </c>
      <c r="F688">
        <v>3065</v>
      </c>
      <c r="G688" t="s">
        <v>462</v>
      </c>
      <c r="H688" t="str">
        <f>VLOOKUP(A688, product_table!$A:$C, 3, 0)</f>
        <v>Own Brand</v>
      </c>
      <c r="I688" t="str">
        <f>VLOOKUP(transactions_table8[[#This Row],[market_code]],markets_table!$A:$B,2,0)</f>
        <v>Mumbai</v>
      </c>
      <c r="J688" t="str">
        <f>VLOOKUP(transactions_table8[[#This Row],[market_code]],markets_table!$A:$C,3,0)</f>
        <v>Central</v>
      </c>
      <c r="K688" t="str">
        <f>VLOOKUP(transactions_table8[[#This Row],[customer_code]],customer_table!$A:$B,2,0)</f>
        <v>Electricalslytical</v>
      </c>
      <c r="L688" t="str">
        <f>VLOOKUP(transactions_table8[[#This Row],[customer_code]],customer_table!$A:$C,3,0)</f>
        <v>E-Commerce</v>
      </c>
      <c r="M688">
        <f>IF(TRIM(CLEAN(transactions_table8[[#This Row],[currency]]))="USD",transactions_table8[[#This Row],[sales_amount]]*83,transactions_table8[[#This Row],[sales_amount]])</f>
        <v>3065</v>
      </c>
    </row>
    <row r="689" spans="1:13" x14ac:dyDescent="0.3">
      <c r="A689" t="s">
        <v>192</v>
      </c>
      <c r="B689" t="s">
        <v>47</v>
      </c>
      <c r="C689" t="s">
        <v>138</v>
      </c>
      <c r="D689" s="1">
        <v>43180</v>
      </c>
      <c r="E689">
        <v>1</v>
      </c>
      <c r="F689">
        <v>3065</v>
      </c>
      <c r="G689" t="s">
        <v>462</v>
      </c>
      <c r="H689" t="str">
        <f>VLOOKUP(A689, product_table!$A:$C, 3, 0)</f>
        <v>Own Brand</v>
      </c>
      <c r="I689" t="str">
        <f>VLOOKUP(transactions_table8[[#This Row],[market_code]],markets_table!$A:$B,2,0)</f>
        <v>Mumbai</v>
      </c>
      <c r="J689" t="str">
        <f>VLOOKUP(transactions_table8[[#This Row],[market_code]],markets_table!$A:$C,3,0)</f>
        <v>Central</v>
      </c>
      <c r="K689" t="str">
        <f>VLOOKUP(transactions_table8[[#This Row],[customer_code]],customer_table!$A:$B,2,0)</f>
        <v>Electricalslytical</v>
      </c>
      <c r="L689" t="str">
        <f>VLOOKUP(transactions_table8[[#This Row],[customer_code]],customer_table!$A:$C,3,0)</f>
        <v>E-Commerce</v>
      </c>
      <c r="M689">
        <f>IF(TRIM(CLEAN(transactions_table8[[#This Row],[currency]]))="USD",transactions_table8[[#This Row],[sales_amount]]*83,transactions_table8[[#This Row],[sales_amount]])</f>
        <v>3065</v>
      </c>
    </row>
    <row r="690" spans="1:13" x14ac:dyDescent="0.3">
      <c r="A690" t="s">
        <v>192</v>
      </c>
      <c r="B690" t="s">
        <v>49</v>
      </c>
      <c r="C690" t="s">
        <v>138</v>
      </c>
      <c r="D690" s="1">
        <v>43180</v>
      </c>
      <c r="E690">
        <v>1</v>
      </c>
      <c r="F690">
        <v>343</v>
      </c>
      <c r="G690" t="s">
        <v>462</v>
      </c>
      <c r="H690" t="str">
        <f>VLOOKUP(A690, product_table!$A:$C, 3, 0)</f>
        <v>Own Brand</v>
      </c>
      <c r="I690" t="str">
        <f>VLOOKUP(transactions_table8[[#This Row],[market_code]],markets_table!$A:$B,2,0)</f>
        <v>Mumbai</v>
      </c>
      <c r="J690" t="str">
        <f>VLOOKUP(transactions_table8[[#This Row],[market_code]],markets_table!$A:$C,3,0)</f>
        <v>Central</v>
      </c>
      <c r="K690" t="str">
        <f>VLOOKUP(transactions_table8[[#This Row],[customer_code]],customer_table!$A:$B,2,0)</f>
        <v>Sound</v>
      </c>
      <c r="L690" t="str">
        <f>VLOOKUP(transactions_table8[[#This Row],[customer_code]],customer_table!$A:$C,3,0)</f>
        <v>E-Commerce</v>
      </c>
      <c r="M690">
        <f>IF(TRIM(CLEAN(transactions_table8[[#This Row],[currency]]))="USD",transactions_table8[[#This Row],[sales_amount]]*83,transactions_table8[[#This Row],[sales_amount]])</f>
        <v>343</v>
      </c>
    </row>
    <row r="691" spans="1:13" x14ac:dyDescent="0.3">
      <c r="A691" t="s">
        <v>192</v>
      </c>
      <c r="B691" t="s">
        <v>47</v>
      </c>
      <c r="C691" t="s">
        <v>138</v>
      </c>
      <c r="D691" s="1">
        <v>43182</v>
      </c>
      <c r="E691">
        <v>1</v>
      </c>
      <c r="F691">
        <v>3065</v>
      </c>
      <c r="G691" t="s">
        <v>462</v>
      </c>
      <c r="H691" t="str">
        <f>VLOOKUP(A691, product_table!$A:$C, 3, 0)</f>
        <v>Own Brand</v>
      </c>
      <c r="I691" t="str">
        <f>VLOOKUP(transactions_table8[[#This Row],[market_code]],markets_table!$A:$B,2,0)</f>
        <v>Mumbai</v>
      </c>
      <c r="J691" t="str">
        <f>VLOOKUP(transactions_table8[[#This Row],[market_code]],markets_table!$A:$C,3,0)</f>
        <v>Central</v>
      </c>
      <c r="K691" t="str">
        <f>VLOOKUP(transactions_table8[[#This Row],[customer_code]],customer_table!$A:$B,2,0)</f>
        <v>Electricalslytical</v>
      </c>
      <c r="L691" t="str">
        <f>VLOOKUP(transactions_table8[[#This Row],[customer_code]],customer_table!$A:$C,3,0)</f>
        <v>E-Commerce</v>
      </c>
      <c r="M691">
        <f>IF(TRIM(CLEAN(transactions_table8[[#This Row],[currency]]))="USD",transactions_table8[[#This Row],[sales_amount]]*83,transactions_table8[[#This Row],[sales_amount]])</f>
        <v>3065</v>
      </c>
    </row>
    <row r="692" spans="1:13" x14ac:dyDescent="0.3">
      <c r="A692" t="s">
        <v>192</v>
      </c>
      <c r="B692" t="s">
        <v>49</v>
      </c>
      <c r="C692" t="s">
        <v>138</v>
      </c>
      <c r="D692" s="1">
        <v>43182</v>
      </c>
      <c r="E692">
        <v>1</v>
      </c>
      <c r="F692">
        <v>690</v>
      </c>
      <c r="G692" t="s">
        <v>462</v>
      </c>
      <c r="H692" t="str">
        <f>VLOOKUP(A692, product_table!$A:$C, 3, 0)</f>
        <v>Own Brand</v>
      </c>
      <c r="I692" t="str">
        <f>VLOOKUP(transactions_table8[[#This Row],[market_code]],markets_table!$A:$B,2,0)</f>
        <v>Mumbai</v>
      </c>
      <c r="J692" t="str">
        <f>VLOOKUP(transactions_table8[[#This Row],[market_code]],markets_table!$A:$C,3,0)</f>
        <v>Central</v>
      </c>
      <c r="K692" t="str">
        <f>VLOOKUP(transactions_table8[[#This Row],[customer_code]],customer_table!$A:$B,2,0)</f>
        <v>Sound</v>
      </c>
      <c r="L692" t="str">
        <f>VLOOKUP(transactions_table8[[#This Row],[customer_code]],customer_table!$A:$C,3,0)</f>
        <v>E-Commerce</v>
      </c>
      <c r="M692">
        <f>IF(TRIM(CLEAN(transactions_table8[[#This Row],[currency]]))="USD",transactions_table8[[#This Row],[sales_amount]]*83,transactions_table8[[#This Row],[sales_amount]])</f>
        <v>690</v>
      </c>
    </row>
    <row r="693" spans="1:13" x14ac:dyDescent="0.3">
      <c r="A693" t="s">
        <v>192</v>
      </c>
      <c r="B693" t="s">
        <v>47</v>
      </c>
      <c r="C693" t="s">
        <v>138</v>
      </c>
      <c r="D693" s="1">
        <v>43186</v>
      </c>
      <c r="E693">
        <v>1</v>
      </c>
      <c r="F693">
        <v>3065</v>
      </c>
      <c r="G693" t="s">
        <v>462</v>
      </c>
      <c r="H693" t="str">
        <f>VLOOKUP(A693, product_table!$A:$C, 3, 0)</f>
        <v>Own Brand</v>
      </c>
      <c r="I693" t="str">
        <f>VLOOKUP(transactions_table8[[#This Row],[market_code]],markets_table!$A:$B,2,0)</f>
        <v>Mumbai</v>
      </c>
      <c r="J693" t="str">
        <f>VLOOKUP(transactions_table8[[#This Row],[market_code]],markets_table!$A:$C,3,0)</f>
        <v>Central</v>
      </c>
      <c r="K693" t="str">
        <f>VLOOKUP(transactions_table8[[#This Row],[customer_code]],customer_table!$A:$B,2,0)</f>
        <v>Electricalslytical</v>
      </c>
      <c r="L693" t="str">
        <f>VLOOKUP(transactions_table8[[#This Row],[customer_code]],customer_table!$A:$C,3,0)</f>
        <v>E-Commerce</v>
      </c>
      <c r="M693">
        <f>IF(TRIM(CLEAN(transactions_table8[[#This Row],[currency]]))="USD",transactions_table8[[#This Row],[sales_amount]]*83,transactions_table8[[#This Row],[sales_amount]])</f>
        <v>3065</v>
      </c>
    </row>
    <row r="694" spans="1:13" x14ac:dyDescent="0.3">
      <c r="A694" t="s">
        <v>192</v>
      </c>
      <c r="B694" t="s">
        <v>47</v>
      </c>
      <c r="C694" t="s">
        <v>138</v>
      </c>
      <c r="D694" s="1">
        <v>43187</v>
      </c>
      <c r="E694">
        <v>1</v>
      </c>
      <c r="F694">
        <v>3065</v>
      </c>
      <c r="G694" t="s">
        <v>462</v>
      </c>
      <c r="H694" t="str">
        <f>VLOOKUP(A694, product_table!$A:$C, 3, 0)</f>
        <v>Own Brand</v>
      </c>
      <c r="I694" t="str">
        <f>VLOOKUP(transactions_table8[[#This Row],[market_code]],markets_table!$A:$B,2,0)</f>
        <v>Mumbai</v>
      </c>
      <c r="J694" t="str">
        <f>VLOOKUP(transactions_table8[[#This Row],[market_code]],markets_table!$A:$C,3,0)</f>
        <v>Central</v>
      </c>
      <c r="K694" t="str">
        <f>VLOOKUP(transactions_table8[[#This Row],[customer_code]],customer_table!$A:$B,2,0)</f>
        <v>Electricalslytical</v>
      </c>
      <c r="L694" t="str">
        <f>VLOOKUP(transactions_table8[[#This Row],[customer_code]],customer_table!$A:$C,3,0)</f>
        <v>E-Commerce</v>
      </c>
      <c r="M694">
        <f>IF(TRIM(CLEAN(transactions_table8[[#This Row],[currency]]))="USD",transactions_table8[[#This Row],[sales_amount]]*83,transactions_table8[[#This Row],[sales_amount]])</f>
        <v>3065</v>
      </c>
    </row>
    <row r="695" spans="1:13" x14ac:dyDescent="0.3">
      <c r="A695" t="s">
        <v>192</v>
      </c>
      <c r="B695" t="s">
        <v>47</v>
      </c>
      <c r="C695" t="s">
        <v>138</v>
      </c>
      <c r="D695" s="1">
        <v>43188</v>
      </c>
      <c r="E695">
        <v>1</v>
      </c>
      <c r="F695">
        <v>3065</v>
      </c>
      <c r="G695" t="s">
        <v>462</v>
      </c>
      <c r="H695" t="str">
        <f>VLOOKUP(A695, product_table!$A:$C, 3, 0)</f>
        <v>Own Brand</v>
      </c>
      <c r="I695" t="str">
        <f>VLOOKUP(transactions_table8[[#This Row],[market_code]],markets_table!$A:$B,2,0)</f>
        <v>Mumbai</v>
      </c>
      <c r="J695" t="str">
        <f>VLOOKUP(transactions_table8[[#This Row],[market_code]],markets_table!$A:$C,3,0)</f>
        <v>Central</v>
      </c>
      <c r="K695" t="str">
        <f>VLOOKUP(transactions_table8[[#This Row],[customer_code]],customer_table!$A:$B,2,0)</f>
        <v>Electricalslytical</v>
      </c>
      <c r="L695" t="str">
        <f>VLOOKUP(transactions_table8[[#This Row],[customer_code]],customer_table!$A:$C,3,0)</f>
        <v>E-Commerce</v>
      </c>
      <c r="M695">
        <f>IF(TRIM(CLEAN(transactions_table8[[#This Row],[currency]]))="USD",transactions_table8[[#This Row],[sales_amount]]*83,transactions_table8[[#This Row],[sales_amount]])</f>
        <v>3065</v>
      </c>
    </row>
    <row r="696" spans="1:13" x14ac:dyDescent="0.3">
      <c r="A696" t="s">
        <v>192</v>
      </c>
      <c r="B696" t="s">
        <v>49</v>
      </c>
      <c r="C696" t="s">
        <v>138</v>
      </c>
      <c r="D696" s="1">
        <v>43188</v>
      </c>
      <c r="E696">
        <v>1</v>
      </c>
      <c r="F696">
        <v>1380</v>
      </c>
      <c r="G696" t="s">
        <v>462</v>
      </c>
      <c r="H696" t="str">
        <f>VLOOKUP(A696, product_table!$A:$C, 3, 0)</f>
        <v>Own Brand</v>
      </c>
      <c r="I696" t="str">
        <f>VLOOKUP(transactions_table8[[#This Row],[market_code]],markets_table!$A:$B,2,0)</f>
        <v>Mumbai</v>
      </c>
      <c r="J696" t="str">
        <f>VLOOKUP(transactions_table8[[#This Row],[market_code]],markets_table!$A:$C,3,0)</f>
        <v>Central</v>
      </c>
      <c r="K696" t="str">
        <f>VLOOKUP(transactions_table8[[#This Row],[customer_code]],customer_table!$A:$B,2,0)</f>
        <v>Sound</v>
      </c>
      <c r="L696" t="str">
        <f>VLOOKUP(transactions_table8[[#This Row],[customer_code]],customer_table!$A:$C,3,0)</f>
        <v>E-Commerce</v>
      </c>
      <c r="M696">
        <f>IF(TRIM(CLEAN(transactions_table8[[#This Row],[currency]]))="USD",transactions_table8[[#This Row],[sales_amount]]*83,transactions_table8[[#This Row],[sales_amount]])</f>
        <v>1380</v>
      </c>
    </row>
    <row r="697" spans="1:13" x14ac:dyDescent="0.3">
      <c r="A697" t="s">
        <v>192</v>
      </c>
      <c r="B697" t="s">
        <v>47</v>
      </c>
      <c r="C697" t="s">
        <v>138</v>
      </c>
      <c r="D697" s="1">
        <v>43194</v>
      </c>
      <c r="E697">
        <v>1</v>
      </c>
      <c r="F697">
        <v>3065</v>
      </c>
      <c r="G697" t="s">
        <v>462</v>
      </c>
      <c r="H697" t="str">
        <f>VLOOKUP(A697, product_table!$A:$C, 3, 0)</f>
        <v>Own Brand</v>
      </c>
      <c r="I697" t="str">
        <f>VLOOKUP(transactions_table8[[#This Row],[market_code]],markets_table!$A:$B,2,0)</f>
        <v>Mumbai</v>
      </c>
      <c r="J697" t="str">
        <f>VLOOKUP(transactions_table8[[#This Row],[market_code]],markets_table!$A:$C,3,0)</f>
        <v>Central</v>
      </c>
      <c r="K697" t="str">
        <f>VLOOKUP(transactions_table8[[#This Row],[customer_code]],customer_table!$A:$B,2,0)</f>
        <v>Electricalslytical</v>
      </c>
      <c r="L697" t="str">
        <f>VLOOKUP(transactions_table8[[#This Row],[customer_code]],customer_table!$A:$C,3,0)</f>
        <v>E-Commerce</v>
      </c>
      <c r="M697">
        <f>IF(TRIM(CLEAN(transactions_table8[[#This Row],[currency]]))="USD",transactions_table8[[#This Row],[sales_amount]]*83,transactions_table8[[#This Row],[sales_amount]])</f>
        <v>3065</v>
      </c>
    </row>
    <row r="698" spans="1:13" x14ac:dyDescent="0.3">
      <c r="A698" t="s">
        <v>192</v>
      </c>
      <c r="B698" t="s">
        <v>47</v>
      </c>
      <c r="C698" t="s">
        <v>138</v>
      </c>
      <c r="D698" s="1">
        <v>43196</v>
      </c>
      <c r="E698">
        <v>5</v>
      </c>
      <c r="F698">
        <v>12250</v>
      </c>
      <c r="G698" t="s">
        <v>462</v>
      </c>
      <c r="H698" t="str">
        <f>VLOOKUP(A698, product_table!$A:$C, 3, 0)</f>
        <v>Own Brand</v>
      </c>
      <c r="I698" t="str">
        <f>VLOOKUP(transactions_table8[[#This Row],[market_code]],markets_table!$A:$B,2,0)</f>
        <v>Mumbai</v>
      </c>
      <c r="J698" t="str">
        <f>VLOOKUP(transactions_table8[[#This Row],[market_code]],markets_table!$A:$C,3,0)</f>
        <v>Central</v>
      </c>
      <c r="K698" t="str">
        <f>VLOOKUP(transactions_table8[[#This Row],[customer_code]],customer_table!$A:$B,2,0)</f>
        <v>Electricalslytical</v>
      </c>
      <c r="L698" t="str">
        <f>VLOOKUP(transactions_table8[[#This Row],[customer_code]],customer_table!$A:$C,3,0)</f>
        <v>E-Commerce</v>
      </c>
      <c r="M698">
        <f>IF(TRIM(CLEAN(transactions_table8[[#This Row],[currency]]))="USD",transactions_table8[[#This Row],[sales_amount]]*83,transactions_table8[[#This Row],[sales_amount]])</f>
        <v>12250</v>
      </c>
    </row>
    <row r="699" spans="1:13" x14ac:dyDescent="0.3">
      <c r="A699" t="s">
        <v>192</v>
      </c>
      <c r="B699" t="s">
        <v>49</v>
      </c>
      <c r="C699" t="s">
        <v>138</v>
      </c>
      <c r="D699" s="1">
        <v>43201</v>
      </c>
      <c r="E699">
        <v>2</v>
      </c>
      <c r="F699">
        <v>4130</v>
      </c>
      <c r="G699" t="s">
        <v>462</v>
      </c>
      <c r="H699" t="str">
        <f>VLOOKUP(A699, product_table!$A:$C, 3, 0)</f>
        <v>Own Brand</v>
      </c>
      <c r="I699" t="str">
        <f>VLOOKUP(transactions_table8[[#This Row],[market_code]],markets_table!$A:$B,2,0)</f>
        <v>Mumbai</v>
      </c>
      <c r="J699" t="str">
        <f>VLOOKUP(transactions_table8[[#This Row],[market_code]],markets_table!$A:$C,3,0)</f>
        <v>Central</v>
      </c>
      <c r="K699" t="str">
        <f>VLOOKUP(transactions_table8[[#This Row],[customer_code]],customer_table!$A:$B,2,0)</f>
        <v>Sound</v>
      </c>
      <c r="L699" t="str">
        <f>VLOOKUP(transactions_table8[[#This Row],[customer_code]],customer_table!$A:$C,3,0)</f>
        <v>E-Commerce</v>
      </c>
      <c r="M699">
        <f>IF(TRIM(CLEAN(transactions_table8[[#This Row],[currency]]))="USD",transactions_table8[[#This Row],[sales_amount]]*83,transactions_table8[[#This Row],[sales_amount]])</f>
        <v>4130</v>
      </c>
    </row>
    <row r="700" spans="1:13" x14ac:dyDescent="0.3">
      <c r="A700" t="s">
        <v>192</v>
      </c>
      <c r="B700" t="s">
        <v>47</v>
      </c>
      <c r="C700" t="s">
        <v>138</v>
      </c>
      <c r="D700" s="1">
        <v>43202</v>
      </c>
      <c r="E700">
        <v>3</v>
      </c>
      <c r="F700">
        <v>6125</v>
      </c>
      <c r="G700" t="s">
        <v>462</v>
      </c>
      <c r="H700" t="str">
        <f>VLOOKUP(A700, product_table!$A:$C, 3, 0)</f>
        <v>Own Brand</v>
      </c>
      <c r="I700" t="str">
        <f>VLOOKUP(transactions_table8[[#This Row],[market_code]],markets_table!$A:$B,2,0)</f>
        <v>Mumbai</v>
      </c>
      <c r="J700" t="str">
        <f>VLOOKUP(transactions_table8[[#This Row],[market_code]],markets_table!$A:$C,3,0)</f>
        <v>Central</v>
      </c>
      <c r="K700" t="str">
        <f>VLOOKUP(transactions_table8[[#This Row],[customer_code]],customer_table!$A:$B,2,0)</f>
        <v>Electricalslytical</v>
      </c>
      <c r="L700" t="str">
        <f>VLOOKUP(transactions_table8[[#This Row],[customer_code]],customer_table!$A:$C,3,0)</f>
        <v>E-Commerce</v>
      </c>
      <c r="M700">
        <f>IF(TRIM(CLEAN(transactions_table8[[#This Row],[currency]]))="USD",transactions_table8[[#This Row],[sales_amount]]*83,transactions_table8[[#This Row],[sales_amount]])</f>
        <v>6125</v>
      </c>
    </row>
    <row r="701" spans="1:13" x14ac:dyDescent="0.3">
      <c r="A701" t="s">
        <v>192</v>
      </c>
      <c r="B701" t="s">
        <v>53</v>
      </c>
      <c r="C701" t="s">
        <v>138</v>
      </c>
      <c r="D701" s="1">
        <v>43202</v>
      </c>
      <c r="E701">
        <v>14</v>
      </c>
      <c r="F701">
        <v>32653</v>
      </c>
      <c r="G701" t="s">
        <v>462</v>
      </c>
      <c r="H701" t="str">
        <f>VLOOKUP(A701, product_table!$A:$C, 3, 0)</f>
        <v>Own Brand</v>
      </c>
      <c r="I701" t="str">
        <f>VLOOKUP(transactions_table8[[#This Row],[market_code]],markets_table!$A:$B,2,0)</f>
        <v>Mumbai</v>
      </c>
      <c r="J701" t="str">
        <f>VLOOKUP(transactions_table8[[#This Row],[market_code]],markets_table!$A:$C,3,0)</f>
        <v>Central</v>
      </c>
      <c r="K701" t="str">
        <f>VLOOKUP(transactions_table8[[#This Row],[customer_code]],customer_table!$A:$B,2,0)</f>
        <v>Path</v>
      </c>
      <c r="L701" t="str">
        <f>VLOOKUP(transactions_table8[[#This Row],[customer_code]],customer_table!$A:$C,3,0)</f>
        <v>E-Commerce</v>
      </c>
      <c r="M701">
        <f>IF(TRIM(CLEAN(transactions_table8[[#This Row],[currency]]))="USD",transactions_table8[[#This Row],[sales_amount]]*83,transactions_table8[[#This Row],[sales_amount]])</f>
        <v>32653</v>
      </c>
    </row>
    <row r="702" spans="1:13" x14ac:dyDescent="0.3">
      <c r="A702" t="s">
        <v>192</v>
      </c>
      <c r="B702" t="s">
        <v>24</v>
      </c>
      <c r="C702" t="s">
        <v>141</v>
      </c>
      <c r="D702" s="1">
        <v>43203</v>
      </c>
      <c r="E702">
        <v>11</v>
      </c>
      <c r="F702">
        <v>37690</v>
      </c>
      <c r="G702" t="s">
        <v>462</v>
      </c>
      <c r="H702" t="str">
        <f>VLOOKUP(A702, product_table!$A:$C, 3, 0)</f>
        <v>Own Brand</v>
      </c>
      <c r="I702" t="str">
        <f>VLOOKUP(transactions_table8[[#This Row],[market_code]],markets_table!$A:$B,2,0)</f>
        <v>Ahmedabad</v>
      </c>
      <c r="J702" t="str">
        <f>VLOOKUP(transactions_table8[[#This Row],[market_code]],markets_table!$A:$C,3,0)</f>
        <v>North</v>
      </c>
      <c r="K702" t="str">
        <f>VLOOKUP(transactions_table8[[#This Row],[customer_code]],customer_table!$A:$B,2,0)</f>
        <v>Flawless Stores</v>
      </c>
      <c r="L702" t="str">
        <f>VLOOKUP(transactions_table8[[#This Row],[customer_code]],customer_table!$A:$C,3,0)</f>
        <v>Brick &amp; Mortar</v>
      </c>
      <c r="M702">
        <f>IF(TRIM(CLEAN(transactions_table8[[#This Row],[currency]]))="USD",transactions_table8[[#This Row],[sales_amount]]*83,transactions_table8[[#This Row],[sales_amount]])</f>
        <v>37690</v>
      </c>
    </row>
    <row r="703" spans="1:13" x14ac:dyDescent="0.3">
      <c r="A703" t="s">
        <v>192</v>
      </c>
      <c r="B703" t="s">
        <v>47</v>
      </c>
      <c r="C703" t="s">
        <v>138</v>
      </c>
      <c r="D703" s="1">
        <v>43207</v>
      </c>
      <c r="E703">
        <v>1</v>
      </c>
      <c r="F703">
        <v>3065</v>
      </c>
      <c r="G703" t="s">
        <v>462</v>
      </c>
      <c r="H703" t="str">
        <f>VLOOKUP(A703, product_table!$A:$C, 3, 0)</f>
        <v>Own Brand</v>
      </c>
      <c r="I703" t="str">
        <f>VLOOKUP(transactions_table8[[#This Row],[market_code]],markets_table!$A:$B,2,0)</f>
        <v>Mumbai</v>
      </c>
      <c r="J703" t="str">
        <f>VLOOKUP(transactions_table8[[#This Row],[market_code]],markets_table!$A:$C,3,0)</f>
        <v>Central</v>
      </c>
      <c r="K703" t="str">
        <f>VLOOKUP(transactions_table8[[#This Row],[customer_code]],customer_table!$A:$B,2,0)</f>
        <v>Electricalslytical</v>
      </c>
      <c r="L703" t="str">
        <f>VLOOKUP(transactions_table8[[#This Row],[customer_code]],customer_table!$A:$C,3,0)</f>
        <v>E-Commerce</v>
      </c>
      <c r="M703">
        <f>IF(TRIM(CLEAN(transactions_table8[[#This Row],[currency]]))="USD",transactions_table8[[#This Row],[sales_amount]]*83,transactions_table8[[#This Row],[sales_amount]])</f>
        <v>3065</v>
      </c>
    </row>
    <row r="704" spans="1:13" x14ac:dyDescent="0.3">
      <c r="A704" t="s">
        <v>192</v>
      </c>
      <c r="B704" t="s">
        <v>49</v>
      </c>
      <c r="C704" t="s">
        <v>138</v>
      </c>
      <c r="D704" s="1">
        <v>43208</v>
      </c>
      <c r="E704">
        <v>2</v>
      </c>
      <c r="F704">
        <v>3444</v>
      </c>
      <c r="G704" t="s">
        <v>462</v>
      </c>
      <c r="H704" t="str">
        <f>VLOOKUP(A704, product_table!$A:$C, 3, 0)</f>
        <v>Own Brand</v>
      </c>
      <c r="I704" t="str">
        <f>VLOOKUP(transactions_table8[[#This Row],[market_code]],markets_table!$A:$B,2,0)</f>
        <v>Mumbai</v>
      </c>
      <c r="J704" t="str">
        <f>VLOOKUP(transactions_table8[[#This Row],[market_code]],markets_table!$A:$C,3,0)</f>
        <v>Central</v>
      </c>
      <c r="K704" t="str">
        <f>VLOOKUP(transactions_table8[[#This Row],[customer_code]],customer_table!$A:$B,2,0)</f>
        <v>Sound</v>
      </c>
      <c r="L704" t="str">
        <f>VLOOKUP(transactions_table8[[#This Row],[customer_code]],customer_table!$A:$C,3,0)</f>
        <v>E-Commerce</v>
      </c>
      <c r="M704">
        <f>IF(TRIM(CLEAN(transactions_table8[[#This Row],[currency]]))="USD",transactions_table8[[#This Row],[sales_amount]]*83,transactions_table8[[#This Row],[sales_amount]])</f>
        <v>3444</v>
      </c>
    </row>
    <row r="705" spans="1:13" x14ac:dyDescent="0.3">
      <c r="A705" t="s">
        <v>192</v>
      </c>
      <c r="B705" t="s">
        <v>47</v>
      </c>
      <c r="C705" t="s">
        <v>138</v>
      </c>
      <c r="D705" s="1">
        <v>43209</v>
      </c>
      <c r="E705">
        <v>4</v>
      </c>
      <c r="F705">
        <v>9190</v>
      </c>
      <c r="G705" t="s">
        <v>462</v>
      </c>
      <c r="H705" t="str">
        <f>VLOOKUP(A705, product_table!$A:$C, 3, 0)</f>
        <v>Own Brand</v>
      </c>
      <c r="I705" t="str">
        <f>VLOOKUP(transactions_table8[[#This Row],[market_code]],markets_table!$A:$B,2,0)</f>
        <v>Mumbai</v>
      </c>
      <c r="J705" t="str">
        <f>VLOOKUP(transactions_table8[[#This Row],[market_code]],markets_table!$A:$C,3,0)</f>
        <v>Central</v>
      </c>
      <c r="K705" t="str">
        <f>VLOOKUP(transactions_table8[[#This Row],[customer_code]],customer_table!$A:$B,2,0)</f>
        <v>Electricalslytical</v>
      </c>
      <c r="L705" t="str">
        <f>VLOOKUP(transactions_table8[[#This Row],[customer_code]],customer_table!$A:$C,3,0)</f>
        <v>E-Commerce</v>
      </c>
      <c r="M705">
        <f>IF(TRIM(CLEAN(transactions_table8[[#This Row],[currency]]))="USD",transactions_table8[[#This Row],[sales_amount]]*83,transactions_table8[[#This Row],[sales_amount]])</f>
        <v>9190</v>
      </c>
    </row>
    <row r="706" spans="1:13" x14ac:dyDescent="0.3">
      <c r="A706" t="s">
        <v>192</v>
      </c>
      <c r="B706" t="s">
        <v>47</v>
      </c>
      <c r="C706" t="s">
        <v>138</v>
      </c>
      <c r="D706" s="1">
        <v>43210</v>
      </c>
      <c r="E706">
        <v>1</v>
      </c>
      <c r="F706">
        <v>3065</v>
      </c>
      <c r="G706" t="s">
        <v>462</v>
      </c>
      <c r="H706" t="str">
        <f>VLOOKUP(A706, product_table!$A:$C, 3, 0)</f>
        <v>Own Brand</v>
      </c>
      <c r="I706" t="str">
        <f>VLOOKUP(transactions_table8[[#This Row],[market_code]],markets_table!$A:$B,2,0)</f>
        <v>Mumbai</v>
      </c>
      <c r="J706" t="str">
        <f>VLOOKUP(transactions_table8[[#This Row],[market_code]],markets_table!$A:$C,3,0)</f>
        <v>Central</v>
      </c>
      <c r="K706" t="str">
        <f>VLOOKUP(transactions_table8[[#This Row],[customer_code]],customer_table!$A:$B,2,0)</f>
        <v>Electricalslytical</v>
      </c>
      <c r="L706" t="str">
        <f>VLOOKUP(transactions_table8[[#This Row],[customer_code]],customer_table!$A:$C,3,0)</f>
        <v>E-Commerce</v>
      </c>
      <c r="M706">
        <f>IF(TRIM(CLEAN(transactions_table8[[#This Row],[currency]]))="USD",transactions_table8[[#This Row],[sales_amount]]*83,transactions_table8[[#This Row],[sales_amount]])</f>
        <v>3065</v>
      </c>
    </row>
    <row r="707" spans="1:13" x14ac:dyDescent="0.3">
      <c r="A707" t="s">
        <v>192</v>
      </c>
      <c r="B707" t="s">
        <v>47</v>
      </c>
      <c r="C707" t="s">
        <v>138</v>
      </c>
      <c r="D707" s="1">
        <v>43213</v>
      </c>
      <c r="E707">
        <v>1</v>
      </c>
      <c r="F707">
        <v>3065</v>
      </c>
      <c r="G707" t="s">
        <v>462</v>
      </c>
      <c r="H707" t="str">
        <f>VLOOKUP(A707, product_table!$A:$C, 3, 0)</f>
        <v>Own Brand</v>
      </c>
      <c r="I707" t="str">
        <f>VLOOKUP(transactions_table8[[#This Row],[market_code]],markets_table!$A:$B,2,0)</f>
        <v>Mumbai</v>
      </c>
      <c r="J707" t="str">
        <f>VLOOKUP(transactions_table8[[#This Row],[market_code]],markets_table!$A:$C,3,0)</f>
        <v>Central</v>
      </c>
      <c r="K707" t="str">
        <f>VLOOKUP(transactions_table8[[#This Row],[customer_code]],customer_table!$A:$B,2,0)</f>
        <v>Electricalslytical</v>
      </c>
      <c r="L707" t="str">
        <f>VLOOKUP(transactions_table8[[#This Row],[customer_code]],customer_table!$A:$C,3,0)</f>
        <v>E-Commerce</v>
      </c>
      <c r="M707">
        <f>IF(TRIM(CLEAN(transactions_table8[[#This Row],[currency]]))="USD",transactions_table8[[#This Row],[sales_amount]]*83,transactions_table8[[#This Row],[sales_amount]])</f>
        <v>3065</v>
      </c>
    </row>
    <row r="708" spans="1:13" x14ac:dyDescent="0.3">
      <c r="A708" t="s">
        <v>192</v>
      </c>
      <c r="B708" t="s">
        <v>51</v>
      </c>
      <c r="C708" t="s">
        <v>138</v>
      </c>
      <c r="D708" s="1">
        <v>43214</v>
      </c>
      <c r="E708">
        <v>2</v>
      </c>
      <c r="F708">
        <v>3056</v>
      </c>
      <c r="G708" t="s">
        <v>462</v>
      </c>
      <c r="H708" t="str">
        <f>VLOOKUP(A708, product_table!$A:$C, 3, 0)</f>
        <v>Own Brand</v>
      </c>
      <c r="I708" t="str">
        <f>VLOOKUP(transactions_table8[[#This Row],[market_code]],markets_table!$A:$B,2,0)</f>
        <v>Mumbai</v>
      </c>
      <c r="J708" t="str">
        <f>VLOOKUP(transactions_table8[[#This Row],[market_code]],markets_table!$A:$C,3,0)</f>
        <v>Central</v>
      </c>
      <c r="K708" t="str">
        <f>VLOOKUP(transactions_table8[[#This Row],[customer_code]],customer_table!$A:$B,2,0)</f>
        <v>Power</v>
      </c>
      <c r="L708" t="str">
        <f>VLOOKUP(transactions_table8[[#This Row],[customer_code]],customer_table!$A:$C,3,0)</f>
        <v>E-Commerce</v>
      </c>
      <c r="M708">
        <f>IF(TRIM(CLEAN(transactions_table8[[#This Row],[currency]]))="USD",transactions_table8[[#This Row],[sales_amount]]*83,transactions_table8[[#This Row],[sales_amount]])</f>
        <v>3056</v>
      </c>
    </row>
    <row r="709" spans="1:13" x14ac:dyDescent="0.3">
      <c r="A709" t="s">
        <v>192</v>
      </c>
      <c r="B709" t="s">
        <v>24</v>
      </c>
      <c r="C709" t="s">
        <v>141</v>
      </c>
      <c r="D709" s="1">
        <v>43217</v>
      </c>
      <c r="E709">
        <v>10</v>
      </c>
      <c r="F709">
        <v>34157</v>
      </c>
      <c r="G709" t="s">
        <v>462</v>
      </c>
      <c r="H709" t="str">
        <f>VLOOKUP(A709, product_table!$A:$C, 3, 0)</f>
        <v>Own Brand</v>
      </c>
      <c r="I709" t="str">
        <f>VLOOKUP(transactions_table8[[#This Row],[market_code]],markets_table!$A:$B,2,0)</f>
        <v>Ahmedabad</v>
      </c>
      <c r="J709" t="str">
        <f>VLOOKUP(transactions_table8[[#This Row],[market_code]],markets_table!$A:$C,3,0)</f>
        <v>North</v>
      </c>
      <c r="K709" t="str">
        <f>VLOOKUP(transactions_table8[[#This Row],[customer_code]],customer_table!$A:$B,2,0)</f>
        <v>Flawless Stores</v>
      </c>
      <c r="L709" t="str">
        <f>VLOOKUP(transactions_table8[[#This Row],[customer_code]],customer_table!$A:$C,3,0)</f>
        <v>Brick &amp; Mortar</v>
      </c>
      <c r="M709">
        <f>IF(TRIM(CLEAN(transactions_table8[[#This Row],[currency]]))="USD",transactions_table8[[#This Row],[sales_amount]]*83,transactions_table8[[#This Row],[sales_amount]])</f>
        <v>34157</v>
      </c>
    </row>
    <row r="710" spans="1:13" x14ac:dyDescent="0.3">
      <c r="A710" t="s">
        <v>192</v>
      </c>
      <c r="B710" t="s">
        <v>47</v>
      </c>
      <c r="C710" t="s">
        <v>138</v>
      </c>
      <c r="D710" s="1">
        <v>43217</v>
      </c>
      <c r="E710">
        <v>1</v>
      </c>
      <c r="F710">
        <v>3065</v>
      </c>
      <c r="G710" t="s">
        <v>462</v>
      </c>
      <c r="H710" t="str">
        <f>VLOOKUP(A710, product_table!$A:$C, 3, 0)</f>
        <v>Own Brand</v>
      </c>
      <c r="I710" t="str">
        <f>VLOOKUP(transactions_table8[[#This Row],[market_code]],markets_table!$A:$B,2,0)</f>
        <v>Mumbai</v>
      </c>
      <c r="J710" t="str">
        <f>VLOOKUP(transactions_table8[[#This Row],[market_code]],markets_table!$A:$C,3,0)</f>
        <v>Central</v>
      </c>
      <c r="K710" t="str">
        <f>VLOOKUP(transactions_table8[[#This Row],[customer_code]],customer_table!$A:$B,2,0)</f>
        <v>Electricalslytical</v>
      </c>
      <c r="L710" t="str">
        <f>VLOOKUP(transactions_table8[[#This Row],[customer_code]],customer_table!$A:$C,3,0)</f>
        <v>E-Commerce</v>
      </c>
      <c r="M710">
        <f>IF(TRIM(CLEAN(transactions_table8[[#This Row],[currency]]))="USD",transactions_table8[[#This Row],[sales_amount]]*83,transactions_table8[[#This Row],[sales_amount]])</f>
        <v>3065</v>
      </c>
    </row>
    <row r="711" spans="1:13" x14ac:dyDescent="0.3">
      <c r="A711" t="s">
        <v>192</v>
      </c>
      <c r="B711" t="s">
        <v>47</v>
      </c>
      <c r="C711" t="s">
        <v>138</v>
      </c>
      <c r="D711" s="1">
        <v>43220</v>
      </c>
      <c r="E711">
        <v>1</v>
      </c>
      <c r="F711">
        <v>3065</v>
      </c>
      <c r="G711" t="s">
        <v>462</v>
      </c>
      <c r="H711" t="str">
        <f>VLOOKUP(A711, product_table!$A:$C, 3, 0)</f>
        <v>Own Brand</v>
      </c>
      <c r="I711" t="str">
        <f>VLOOKUP(transactions_table8[[#This Row],[market_code]],markets_table!$A:$B,2,0)</f>
        <v>Mumbai</v>
      </c>
      <c r="J711" t="str">
        <f>VLOOKUP(transactions_table8[[#This Row],[market_code]],markets_table!$A:$C,3,0)</f>
        <v>Central</v>
      </c>
      <c r="K711" t="str">
        <f>VLOOKUP(transactions_table8[[#This Row],[customer_code]],customer_table!$A:$B,2,0)</f>
        <v>Electricalslytical</v>
      </c>
      <c r="L711" t="str">
        <f>VLOOKUP(transactions_table8[[#This Row],[customer_code]],customer_table!$A:$C,3,0)</f>
        <v>E-Commerce</v>
      </c>
      <c r="M711">
        <f>IF(TRIM(CLEAN(transactions_table8[[#This Row],[currency]]))="USD",transactions_table8[[#This Row],[sales_amount]]*83,transactions_table8[[#This Row],[sales_amount]])</f>
        <v>3065</v>
      </c>
    </row>
    <row r="712" spans="1:13" x14ac:dyDescent="0.3">
      <c r="A712" t="s">
        <v>192</v>
      </c>
      <c r="B712" t="s">
        <v>51</v>
      </c>
      <c r="C712" t="s">
        <v>138</v>
      </c>
      <c r="D712" s="1">
        <v>43220</v>
      </c>
      <c r="E712">
        <v>2</v>
      </c>
      <c r="F712">
        <v>3056</v>
      </c>
      <c r="G712" t="s">
        <v>462</v>
      </c>
      <c r="H712" t="str">
        <f>VLOOKUP(A712, product_table!$A:$C, 3, 0)</f>
        <v>Own Brand</v>
      </c>
      <c r="I712" t="str">
        <f>VLOOKUP(transactions_table8[[#This Row],[market_code]],markets_table!$A:$B,2,0)</f>
        <v>Mumbai</v>
      </c>
      <c r="J712" t="str">
        <f>VLOOKUP(transactions_table8[[#This Row],[market_code]],markets_table!$A:$C,3,0)</f>
        <v>Central</v>
      </c>
      <c r="K712" t="str">
        <f>VLOOKUP(transactions_table8[[#This Row],[customer_code]],customer_table!$A:$B,2,0)</f>
        <v>Power</v>
      </c>
      <c r="L712" t="str">
        <f>VLOOKUP(transactions_table8[[#This Row],[customer_code]],customer_table!$A:$C,3,0)</f>
        <v>E-Commerce</v>
      </c>
      <c r="M712">
        <f>IF(TRIM(CLEAN(transactions_table8[[#This Row],[currency]]))="USD",transactions_table8[[#This Row],[sales_amount]]*83,transactions_table8[[#This Row],[sales_amount]])</f>
        <v>3056</v>
      </c>
    </row>
    <row r="713" spans="1:13" x14ac:dyDescent="0.3">
      <c r="A713" t="s">
        <v>192</v>
      </c>
      <c r="B713" t="s">
        <v>49</v>
      </c>
      <c r="C713" t="s">
        <v>138</v>
      </c>
      <c r="D713" s="1">
        <v>43220</v>
      </c>
      <c r="E713">
        <v>1</v>
      </c>
      <c r="F713">
        <v>2065</v>
      </c>
      <c r="G713" t="s">
        <v>462</v>
      </c>
      <c r="H713" t="str">
        <f>VLOOKUP(A713, product_table!$A:$C, 3, 0)</f>
        <v>Own Brand</v>
      </c>
      <c r="I713" t="str">
        <f>VLOOKUP(transactions_table8[[#This Row],[market_code]],markets_table!$A:$B,2,0)</f>
        <v>Mumbai</v>
      </c>
      <c r="J713" t="str">
        <f>VLOOKUP(transactions_table8[[#This Row],[market_code]],markets_table!$A:$C,3,0)</f>
        <v>Central</v>
      </c>
      <c r="K713" t="str">
        <f>VLOOKUP(transactions_table8[[#This Row],[customer_code]],customer_table!$A:$B,2,0)</f>
        <v>Sound</v>
      </c>
      <c r="L713" t="str">
        <f>VLOOKUP(transactions_table8[[#This Row],[customer_code]],customer_table!$A:$C,3,0)</f>
        <v>E-Commerce</v>
      </c>
      <c r="M713">
        <f>IF(TRIM(CLEAN(transactions_table8[[#This Row],[currency]]))="USD",transactions_table8[[#This Row],[sales_amount]]*83,transactions_table8[[#This Row],[sales_amount]])</f>
        <v>2065</v>
      </c>
    </row>
    <row r="714" spans="1:13" x14ac:dyDescent="0.3">
      <c r="A714" t="s">
        <v>192</v>
      </c>
      <c r="B714" t="s">
        <v>47</v>
      </c>
      <c r="C714" t="s">
        <v>138</v>
      </c>
      <c r="D714" s="1">
        <v>43223</v>
      </c>
      <c r="E714">
        <v>3</v>
      </c>
      <c r="F714">
        <v>6125</v>
      </c>
      <c r="G714" t="s">
        <v>462</v>
      </c>
      <c r="H714" t="str">
        <f>VLOOKUP(A714, product_table!$A:$C, 3, 0)</f>
        <v>Own Brand</v>
      </c>
      <c r="I714" t="str">
        <f>VLOOKUP(transactions_table8[[#This Row],[market_code]],markets_table!$A:$B,2,0)</f>
        <v>Mumbai</v>
      </c>
      <c r="J714" t="str">
        <f>VLOOKUP(transactions_table8[[#This Row],[market_code]],markets_table!$A:$C,3,0)</f>
        <v>Central</v>
      </c>
      <c r="K714" t="str">
        <f>VLOOKUP(transactions_table8[[#This Row],[customer_code]],customer_table!$A:$B,2,0)</f>
        <v>Electricalslytical</v>
      </c>
      <c r="L714" t="str">
        <f>VLOOKUP(transactions_table8[[#This Row],[customer_code]],customer_table!$A:$C,3,0)</f>
        <v>E-Commerce</v>
      </c>
      <c r="M714">
        <f>IF(TRIM(CLEAN(transactions_table8[[#This Row],[currency]]))="USD",transactions_table8[[#This Row],[sales_amount]]*83,transactions_table8[[#This Row],[sales_amount]])</f>
        <v>6125</v>
      </c>
    </row>
    <row r="715" spans="1:13" x14ac:dyDescent="0.3">
      <c r="A715" t="s">
        <v>192</v>
      </c>
      <c r="B715" t="s">
        <v>49</v>
      </c>
      <c r="C715" t="s">
        <v>138</v>
      </c>
      <c r="D715" s="1">
        <v>43223</v>
      </c>
      <c r="E715">
        <v>1</v>
      </c>
      <c r="F715">
        <v>1380</v>
      </c>
      <c r="G715" t="s">
        <v>462</v>
      </c>
      <c r="H715" t="str">
        <f>VLOOKUP(A715, product_table!$A:$C, 3, 0)</f>
        <v>Own Brand</v>
      </c>
      <c r="I715" t="str">
        <f>VLOOKUP(transactions_table8[[#This Row],[market_code]],markets_table!$A:$B,2,0)</f>
        <v>Mumbai</v>
      </c>
      <c r="J715" t="str">
        <f>VLOOKUP(transactions_table8[[#This Row],[market_code]],markets_table!$A:$C,3,0)</f>
        <v>Central</v>
      </c>
      <c r="K715" t="str">
        <f>VLOOKUP(transactions_table8[[#This Row],[customer_code]],customer_table!$A:$B,2,0)</f>
        <v>Sound</v>
      </c>
      <c r="L715" t="str">
        <f>VLOOKUP(transactions_table8[[#This Row],[customer_code]],customer_table!$A:$C,3,0)</f>
        <v>E-Commerce</v>
      </c>
      <c r="M715">
        <f>IF(TRIM(CLEAN(transactions_table8[[#This Row],[currency]]))="USD",transactions_table8[[#This Row],[sales_amount]]*83,transactions_table8[[#This Row],[sales_amount]])</f>
        <v>1380</v>
      </c>
    </row>
    <row r="716" spans="1:13" x14ac:dyDescent="0.3">
      <c r="A716" t="s">
        <v>192</v>
      </c>
      <c r="B716" t="s">
        <v>47</v>
      </c>
      <c r="C716" t="s">
        <v>138</v>
      </c>
      <c r="D716" s="1">
        <v>43224</v>
      </c>
      <c r="E716">
        <v>4</v>
      </c>
      <c r="F716">
        <v>9190</v>
      </c>
      <c r="G716" t="s">
        <v>462</v>
      </c>
      <c r="H716" t="str">
        <f>VLOOKUP(A716, product_table!$A:$C, 3, 0)</f>
        <v>Own Brand</v>
      </c>
      <c r="I716" t="str">
        <f>VLOOKUP(transactions_table8[[#This Row],[market_code]],markets_table!$A:$B,2,0)</f>
        <v>Mumbai</v>
      </c>
      <c r="J716" t="str">
        <f>VLOOKUP(transactions_table8[[#This Row],[market_code]],markets_table!$A:$C,3,0)</f>
        <v>Central</v>
      </c>
      <c r="K716" t="str">
        <f>VLOOKUP(transactions_table8[[#This Row],[customer_code]],customer_table!$A:$B,2,0)</f>
        <v>Electricalslytical</v>
      </c>
      <c r="L716" t="str">
        <f>VLOOKUP(transactions_table8[[#This Row],[customer_code]],customer_table!$A:$C,3,0)</f>
        <v>E-Commerce</v>
      </c>
      <c r="M716">
        <f>IF(TRIM(CLEAN(transactions_table8[[#This Row],[currency]]))="USD",transactions_table8[[#This Row],[sales_amount]]*83,transactions_table8[[#This Row],[sales_amount]])</f>
        <v>9190</v>
      </c>
    </row>
    <row r="717" spans="1:13" x14ac:dyDescent="0.3">
      <c r="A717" t="s">
        <v>192</v>
      </c>
      <c r="B717" t="s">
        <v>24</v>
      </c>
      <c r="C717" t="s">
        <v>141</v>
      </c>
      <c r="D717" s="1">
        <v>43227</v>
      </c>
      <c r="E717">
        <v>6</v>
      </c>
      <c r="F717">
        <v>20023</v>
      </c>
      <c r="G717" t="s">
        <v>462</v>
      </c>
      <c r="H717" t="str">
        <f>VLOOKUP(A717, product_table!$A:$C, 3, 0)</f>
        <v>Own Brand</v>
      </c>
      <c r="I717" t="str">
        <f>VLOOKUP(transactions_table8[[#This Row],[market_code]],markets_table!$A:$B,2,0)</f>
        <v>Ahmedabad</v>
      </c>
      <c r="J717" t="str">
        <f>VLOOKUP(transactions_table8[[#This Row],[market_code]],markets_table!$A:$C,3,0)</f>
        <v>North</v>
      </c>
      <c r="K717" t="str">
        <f>VLOOKUP(transactions_table8[[#This Row],[customer_code]],customer_table!$A:$B,2,0)</f>
        <v>Flawless Stores</v>
      </c>
      <c r="L717" t="str">
        <f>VLOOKUP(transactions_table8[[#This Row],[customer_code]],customer_table!$A:$C,3,0)</f>
        <v>Brick &amp; Mortar</v>
      </c>
      <c r="M717">
        <f>IF(TRIM(CLEAN(transactions_table8[[#This Row],[currency]]))="USD",transactions_table8[[#This Row],[sales_amount]]*83,transactions_table8[[#This Row],[sales_amount]])</f>
        <v>20023</v>
      </c>
    </row>
    <row r="718" spans="1:13" x14ac:dyDescent="0.3">
      <c r="A718" t="s">
        <v>192</v>
      </c>
      <c r="B718" t="s">
        <v>47</v>
      </c>
      <c r="C718" t="s">
        <v>138</v>
      </c>
      <c r="D718" s="1">
        <v>43229</v>
      </c>
      <c r="E718">
        <v>1</v>
      </c>
      <c r="F718">
        <v>3065</v>
      </c>
      <c r="G718" t="s">
        <v>462</v>
      </c>
      <c r="H718" t="str">
        <f>VLOOKUP(A718, product_table!$A:$C, 3, 0)</f>
        <v>Own Brand</v>
      </c>
      <c r="I718" t="str">
        <f>VLOOKUP(transactions_table8[[#This Row],[market_code]],markets_table!$A:$B,2,0)</f>
        <v>Mumbai</v>
      </c>
      <c r="J718" t="str">
        <f>VLOOKUP(transactions_table8[[#This Row],[market_code]],markets_table!$A:$C,3,0)</f>
        <v>Central</v>
      </c>
      <c r="K718" t="str">
        <f>VLOOKUP(transactions_table8[[#This Row],[customer_code]],customer_table!$A:$B,2,0)</f>
        <v>Electricalslytical</v>
      </c>
      <c r="L718" t="str">
        <f>VLOOKUP(transactions_table8[[#This Row],[customer_code]],customer_table!$A:$C,3,0)</f>
        <v>E-Commerce</v>
      </c>
      <c r="M718">
        <f>IF(TRIM(CLEAN(transactions_table8[[#This Row],[currency]]))="USD",transactions_table8[[#This Row],[sales_amount]]*83,transactions_table8[[#This Row],[sales_amount]])</f>
        <v>3065</v>
      </c>
    </row>
    <row r="719" spans="1:13" x14ac:dyDescent="0.3">
      <c r="A719" t="s">
        <v>192</v>
      </c>
      <c r="B719" t="s">
        <v>47</v>
      </c>
      <c r="C719" t="s">
        <v>138</v>
      </c>
      <c r="D719" s="1">
        <v>43229</v>
      </c>
      <c r="E719">
        <v>13</v>
      </c>
      <c r="F719">
        <v>28269</v>
      </c>
      <c r="G719" t="s">
        <v>462</v>
      </c>
      <c r="H719" t="str">
        <f>VLOOKUP(A719, product_table!$A:$C, 3, 0)</f>
        <v>Own Brand</v>
      </c>
      <c r="I719" t="str">
        <f>VLOOKUP(transactions_table8[[#This Row],[market_code]],markets_table!$A:$B,2,0)</f>
        <v>Mumbai</v>
      </c>
      <c r="J719" t="str">
        <f>VLOOKUP(transactions_table8[[#This Row],[market_code]],markets_table!$A:$C,3,0)</f>
        <v>Central</v>
      </c>
      <c r="K719" t="str">
        <f>VLOOKUP(transactions_table8[[#This Row],[customer_code]],customer_table!$A:$B,2,0)</f>
        <v>Electricalslytical</v>
      </c>
      <c r="L719" t="str">
        <f>VLOOKUP(transactions_table8[[#This Row],[customer_code]],customer_table!$A:$C,3,0)</f>
        <v>E-Commerce</v>
      </c>
      <c r="M719">
        <f>IF(TRIM(CLEAN(transactions_table8[[#This Row],[currency]]))="USD",transactions_table8[[#This Row],[sales_amount]]*83,transactions_table8[[#This Row],[sales_amount]])</f>
        <v>28269</v>
      </c>
    </row>
    <row r="720" spans="1:13" x14ac:dyDescent="0.3">
      <c r="A720" t="s">
        <v>192</v>
      </c>
      <c r="B720" t="s">
        <v>47</v>
      </c>
      <c r="C720" t="s">
        <v>138</v>
      </c>
      <c r="D720" s="1">
        <v>43234</v>
      </c>
      <c r="E720">
        <v>1</v>
      </c>
      <c r="F720">
        <v>3065</v>
      </c>
      <c r="G720" t="s">
        <v>462</v>
      </c>
      <c r="H720" t="str">
        <f>VLOOKUP(A720, product_table!$A:$C, 3, 0)</f>
        <v>Own Brand</v>
      </c>
      <c r="I720" t="str">
        <f>VLOOKUP(transactions_table8[[#This Row],[market_code]],markets_table!$A:$B,2,0)</f>
        <v>Mumbai</v>
      </c>
      <c r="J720" t="str">
        <f>VLOOKUP(transactions_table8[[#This Row],[market_code]],markets_table!$A:$C,3,0)</f>
        <v>Central</v>
      </c>
      <c r="K720" t="str">
        <f>VLOOKUP(transactions_table8[[#This Row],[customer_code]],customer_table!$A:$B,2,0)</f>
        <v>Electricalslytical</v>
      </c>
      <c r="L720" t="str">
        <f>VLOOKUP(transactions_table8[[#This Row],[customer_code]],customer_table!$A:$C,3,0)</f>
        <v>E-Commerce</v>
      </c>
      <c r="M720">
        <f>IF(TRIM(CLEAN(transactions_table8[[#This Row],[currency]]))="USD",transactions_table8[[#This Row],[sales_amount]]*83,transactions_table8[[#This Row],[sales_amount]])</f>
        <v>3065</v>
      </c>
    </row>
    <row r="721" spans="1:13" x14ac:dyDescent="0.3">
      <c r="A721" t="s">
        <v>192</v>
      </c>
      <c r="B721" t="s">
        <v>51</v>
      </c>
      <c r="C721" t="s">
        <v>138</v>
      </c>
      <c r="D721" s="1">
        <v>43234</v>
      </c>
      <c r="E721">
        <v>2</v>
      </c>
      <c r="F721">
        <v>3056</v>
      </c>
      <c r="G721" t="s">
        <v>462</v>
      </c>
      <c r="H721" t="str">
        <f>VLOOKUP(A721, product_table!$A:$C, 3, 0)</f>
        <v>Own Brand</v>
      </c>
      <c r="I721" t="str">
        <f>VLOOKUP(transactions_table8[[#This Row],[market_code]],markets_table!$A:$B,2,0)</f>
        <v>Mumbai</v>
      </c>
      <c r="J721" t="str">
        <f>VLOOKUP(transactions_table8[[#This Row],[market_code]],markets_table!$A:$C,3,0)</f>
        <v>Central</v>
      </c>
      <c r="K721" t="str">
        <f>VLOOKUP(transactions_table8[[#This Row],[customer_code]],customer_table!$A:$B,2,0)</f>
        <v>Power</v>
      </c>
      <c r="L721" t="str">
        <f>VLOOKUP(transactions_table8[[#This Row],[customer_code]],customer_table!$A:$C,3,0)</f>
        <v>E-Commerce</v>
      </c>
      <c r="M721">
        <f>IF(TRIM(CLEAN(transactions_table8[[#This Row],[currency]]))="USD",transactions_table8[[#This Row],[sales_amount]]*83,transactions_table8[[#This Row],[sales_amount]])</f>
        <v>3056</v>
      </c>
    </row>
    <row r="722" spans="1:13" x14ac:dyDescent="0.3">
      <c r="A722" t="s">
        <v>192</v>
      </c>
      <c r="B722" t="s">
        <v>51</v>
      </c>
      <c r="C722" t="s">
        <v>138</v>
      </c>
      <c r="D722" s="1">
        <v>43235</v>
      </c>
      <c r="E722">
        <v>2</v>
      </c>
      <c r="F722">
        <v>3056</v>
      </c>
      <c r="G722" t="s">
        <v>462</v>
      </c>
      <c r="H722" t="str">
        <f>VLOOKUP(A722, product_table!$A:$C, 3, 0)</f>
        <v>Own Brand</v>
      </c>
      <c r="I722" t="str">
        <f>VLOOKUP(transactions_table8[[#This Row],[market_code]],markets_table!$A:$B,2,0)</f>
        <v>Mumbai</v>
      </c>
      <c r="J722" t="str">
        <f>VLOOKUP(transactions_table8[[#This Row],[market_code]],markets_table!$A:$C,3,0)</f>
        <v>Central</v>
      </c>
      <c r="K722" t="str">
        <f>VLOOKUP(transactions_table8[[#This Row],[customer_code]],customer_table!$A:$B,2,0)</f>
        <v>Power</v>
      </c>
      <c r="L722" t="str">
        <f>VLOOKUP(transactions_table8[[#This Row],[customer_code]],customer_table!$A:$C,3,0)</f>
        <v>E-Commerce</v>
      </c>
      <c r="M722">
        <f>IF(TRIM(CLEAN(transactions_table8[[#This Row],[currency]]))="USD",transactions_table8[[#This Row],[sales_amount]]*83,transactions_table8[[#This Row],[sales_amount]])</f>
        <v>3056</v>
      </c>
    </row>
    <row r="723" spans="1:13" x14ac:dyDescent="0.3">
      <c r="A723" t="s">
        <v>192</v>
      </c>
      <c r="B723" t="s">
        <v>47</v>
      </c>
      <c r="C723" t="s">
        <v>138</v>
      </c>
      <c r="D723" s="1">
        <v>43236</v>
      </c>
      <c r="E723">
        <v>1</v>
      </c>
      <c r="F723">
        <v>3065</v>
      </c>
      <c r="G723" t="s">
        <v>462</v>
      </c>
      <c r="H723" t="str">
        <f>VLOOKUP(A723, product_table!$A:$C, 3, 0)</f>
        <v>Own Brand</v>
      </c>
      <c r="I723" t="str">
        <f>VLOOKUP(transactions_table8[[#This Row],[market_code]],markets_table!$A:$B,2,0)</f>
        <v>Mumbai</v>
      </c>
      <c r="J723" t="str">
        <f>VLOOKUP(transactions_table8[[#This Row],[market_code]],markets_table!$A:$C,3,0)</f>
        <v>Central</v>
      </c>
      <c r="K723" t="str">
        <f>VLOOKUP(transactions_table8[[#This Row],[customer_code]],customer_table!$A:$B,2,0)</f>
        <v>Electricalslytical</v>
      </c>
      <c r="L723" t="str">
        <f>VLOOKUP(transactions_table8[[#This Row],[customer_code]],customer_table!$A:$C,3,0)</f>
        <v>E-Commerce</v>
      </c>
      <c r="M723">
        <f>IF(TRIM(CLEAN(transactions_table8[[#This Row],[currency]]))="USD",transactions_table8[[#This Row],[sales_amount]]*83,transactions_table8[[#This Row],[sales_amount]])</f>
        <v>3065</v>
      </c>
    </row>
    <row r="724" spans="1:13" x14ac:dyDescent="0.3">
      <c r="A724" t="s">
        <v>192</v>
      </c>
      <c r="B724" t="s">
        <v>47</v>
      </c>
      <c r="C724" t="s">
        <v>138</v>
      </c>
      <c r="D724" s="1">
        <v>43236</v>
      </c>
      <c r="E724">
        <v>13</v>
      </c>
      <c r="F724">
        <v>28269</v>
      </c>
      <c r="G724" t="s">
        <v>462</v>
      </c>
      <c r="H724" t="str">
        <f>VLOOKUP(A724, product_table!$A:$C, 3, 0)</f>
        <v>Own Brand</v>
      </c>
      <c r="I724" t="str">
        <f>VLOOKUP(transactions_table8[[#This Row],[market_code]],markets_table!$A:$B,2,0)</f>
        <v>Mumbai</v>
      </c>
      <c r="J724" t="str">
        <f>VLOOKUP(transactions_table8[[#This Row],[market_code]],markets_table!$A:$C,3,0)</f>
        <v>Central</v>
      </c>
      <c r="K724" t="str">
        <f>VLOOKUP(transactions_table8[[#This Row],[customer_code]],customer_table!$A:$B,2,0)</f>
        <v>Electricalslytical</v>
      </c>
      <c r="L724" t="str">
        <f>VLOOKUP(transactions_table8[[#This Row],[customer_code]],customer_table!$A:$C,3,0)</f>
        <v>E-Commerce</v>
      </c>
      <c r="M724">
        <f>IF(TRIM(CLEAN(transactions_table8[[#This Row],[currency]]))="USD",transactions_table8[[#This Row],[sales_amount]]*83,transactions_table8[[#This Row],[sales_amount]])</f>
        <v>28269</v>
      </c>
    </row>
    <row r="725" spans="1:13" x14ac:dyDescent="0.3">
      <c r="A725" t="s">
        <v>192</v>
      </c>
      <c r="B725" t="s">
        <v>24</v>
      </c>
      <c r="C725" t="s">
        <v>141</v>
      </c>
      <c r="D725" s="1">
        <v>43237</v>
      </c>
      <c r="E725">
        <v>1</v>
      </c>
      <c r="F725">
        <v>1176</v>
      </c>
      <c r="G725" t="s">
        <v>462</v>
      </c>
      <c r="H725" t="str">
        <f>VLOOKUP(A725, product_table!$A:$C, 3, 0)</f>
        <v>Own Brand</v>
      </c>
      <c r="I725" t="str">
        <f>VLOOKUP(transactions_table8[[#This Row],[market_code]],markets_table!$A:$B,2,0)</f>
        <v>Ahmedabad</v>
      </c>
      <c r="J725" t="str">
        <f>VLOOKUP(transactions_table8[[#This Row],[market_code]],markets_table!$A:$C,3,0)</f>
        <v>North</v>
      </c>
      <c r="K725" t="str">
        <f>VLOOKUP(transactions_table8[[#This Row],[customer_code]],customer_table!$A:$B,2,0)</f>
        <v>Flawless Stores</v>
      </c>
      <c r="L725" t="str">
        <f>VLOOKUP(transactions_table8[[#This Row],[customer_code]],customer_table!$A:$C,3,0)</f>
        <v>Brick &amp; Mortar</v>
      </c>
      <c r="M725">
        <f>IF(TRIM(CLEAN(transactions_table8[[#This Row],[currency]]))="USD",transactions_table8[[#This Row],[sales_amount]]*83,transactions_table8[[#This Row],[sales_amount]])</f>
        <v>1176</v>
      </c>
    </row>
    <row r="726" spans="1:13" x14ac:dyDescent="0.3">
      <c r="A726" t="s">
        <v>192</v>
      </c>
      <c r="B726" t="s">
        <v>47</v>
      </c>
      <c r="C726" t="s">
        <v>138</v>
      </c>
      <c r="D726" s="1">
        <v>43237</v>
      </c>
      <c r="E726">
        <v>3</v>
      </c>
      <c r="F726">
        <v>6125</v>
      </c>
      <c r="G726" t="s">
        <v>462</v>
      </c>
      <c r="H726" t="str">
        <f>VLOOKUP(A726, product_table!$A:$C, 3, 0)</f>
        <v>Own Brand</v>
      </c>
      <c r="I726" t="str">
        <f>VLOOKUP(transactions_table8[[#This Row],[market_code]],markets_table!$A:$B,2,0)</f>
        <v>Mumbai</v>
      </c>
      <c r="J726" t="str">
        <f>VLOOKUP(transactions_table8[[#This Row],[market_code]],markets_table!$A:$C,3,0)</f>
        <v>Central</v>
      </c>
      <c r="K726" t="str">
        <f>VLOOKUP(transactions_table8[[#This Row],[customer_code]],customer_table!$A:$B,2,0)</f>
        <v>Electricalslytical</v>
      </c>
      <c r="L726" t="str">
        <f>VLOOKUP(transactions_table8[[#This Row],[customer_code]],customer_table!$A:$C,3,0)</f>
        <v>E-Commerce</v>
      </c>
      <c r="M726">
        <f>IF(TRIM(CLEAN(transactions_table8[[#This Row],[currency]]))="USD",transactions_table8[[#This Row],[sales_amount]]*83,transactions_table8[[#This Row],[sales_amount]])</f>
        <v>6125</v>
      </c>
    </row>
    <row r="727" spans="1:13" x14ac:dyDescent="0.3">
      <c r="A727" t="s">
        <v>192</v>
      </c>
      <c r="B727" t="s">
        <v>47</v>
      </c>
      <c r="C727" t="s">
        <v>138</v>
      </c>
      <c r="D727" s="1">
        <v>43237</v>
      </c>
      <c r="E727">
        <v>27</v>
      </c>
      <c r="F727">
        <v>56537</v>
      </c>
      <c r="G727" t="s">
        <v>462</v>
      </c>
      <c r="H727" t="str">
        <f>VLOOKUP(A727, product_table!$A:$C, 3, 0)</f>
        <v>Own Brand</v>
      </c>
      <c r="I727" t="str">
        <f>VLOOKUP(transactions_table8[[#This Row],[market_code]],markets_table!$A:$B,2,0)</f>
        <v>Mumbai</v>
      </c>
      <c r="J727" t="str">
        <f>VLOOKUP(transactions_table8[[#This Row],[market_code]],markets_table!$A:$C,3,0)</f>
        <v>Central</v>
      </c>
      <c r="K727" t="str">
        <f>VLOOKUP(transactions_table8[[#This Row],[customer_code]],customer_table!$A:$B,2,0)</f>
        <v>Electricalslytical</v>
      </c>
      <c r="L727" t="str">
        <f>VLOOKUP(transactions_table8[[#This Row],[customer_code]],customer_table!$A:$C,3,0)</f>
        <v>E-Commerce</v>
      </c>
      <c r="M727">
        <f>IF(TRIM(CLEAN(transactions_table8[[#This Row],[currency]]))="USD",transactions_table8[[#This Row],[sales_amount]]*83,transactions_table8[[#This Row],[sales_amount]])</f>
        <v>56537</v>
      </c>
    </row>
    <row r="728" spans="1:13" x14ac:dyDescent="0.3">
      <c r="A728" t="s">
        <v>192</v>
      </c>
      <c r="B728" t="s">
        <v>24</v>
      </c>
      <c r="C728" t="s">
        <v>141</v>
      </c>
      <c r="D728" s="1">
        <v>43238</v>
      </c>
      <c r="E728">
        <v>5</v>
      </c>
      <c r="F728">
        <v>16491</v>
      </c>
      <c r="G728" t="s">
        <v>462</v>
      </c>
      <c r="H728" t="str">
        <f>VLOOKUP(A728, product_table!$A:$C, 3, 0)</f>
        <v>Own Brand</v>
      </c>
      <c r="I728" t="str">
        <f>VLOOKUP(transactions_table8[[#This Row],[market_code]],markets_table!$A:$B,2,0)</f>
        <v>Ahmedabad</v>
      </c>
      <c r="J728" t="str">
        <f>VLOOKUP(transactions_table8[[#This Row],[market_code]],markets_table!$A:$C,3,0)</f>
        <v>North</v>
      </c>
      <c r="K728" t="str">
        <f>VLOOKUP(transactions_table8[[#This Row],[customer_code]],customer_table!$A:$B,2,0)</f>
        <v>Flawless Stores</v>
      </c>
      <c r="L728" t="str">
        <f>VLOOKUP(transactions_table8[[#This Row],[customer_code]],customer_table!$A:$C,3,0)</f>
        <v>Brick &amp; Mortar</v>
      </c>
      <c r="M728">
        <f>IF(TRIM(CLEAN(transactions_table8[[#This Row],[currency]]))="USD",transactions_table8[[#This Row],[sales_amount]]*83,transactions_table8[[#This Row],[sales_amount]])</f>
        <v>16491</v>
      </c>
    </row>
    <row r="729" spans="1:13" x14ac:dyDescent="0.3">
      <c r="A729" t="s">
        <v>192</v>
      </c>
      <c r="B729" t="s">
        <v>47</v>
      </c>
      <c r="C729" t="s">
        <v>138</v>
      </c>
      <c r="D729" s="1">
        <v>43238</v>
      </c>
      <c r="E729">
        <v>1</v>
      </c>
      <c r="F729">
        <v>3065</v>
      </c>
      <c r="G729" t="s">
        <v>462</v>
      </c>
      <c r="H729" t="str">
        <f>VLOOKUP(A729, product_table!$A:$C, 3, 0)</f>
        <v>Own Brand</v>
      </c>
      <c r="I729" t="str">
        <f>VLOOKUP(transactions_table8[[#This Row],[market_code]],markets_table!$A:$B,2,0)</f>
        <v>Mumbai</v>
      </c>
      <c r="J729" t="str">
        <f>VLOOKUP(transactions_table8[[#This Row],[market_code]],markets_table!$A:$C,3,0)</f>
        <v>Central</v>
      </c>
      <c r="K729" t="str">
        <f>VLOOKUP(transactions_table8[[#This Row],[customer_code]],customer_table!$A:$B,2,0)</f>
        <v>Electricalslytical</v>
      </c>
      <c r="L729" t="str">
        <f>VLOOKUP(transactions_table8[[#This Row],[customer_code]],customer_table!$A:$C,3,0)</f>
        <v>E-Commerce</v>
      </c>
      <c r="M729">
        <f>IF(TRIM(CLEAN(transactions_table8[[#This Row],[currency]]))="USD",transactions_table8[[#This Row],[sales_amount]]*83,transactions_table8[[#This Row],[sales_amount]])</f>
        <v>3065</v>
      </c>
    </row>
    <row r="730" spans="1:13" x14ac:dyDescent="0.3">
      <c r="A730" t="s">
        <v>192</v>
      </c>
      <c r="B730" t="s">
        <v>47</v>
      </c>
      <c r="C730" t="s">
        <v>138</v>
      </c>
      <c r="D730" s="1">
        <v>43238</v>
      </c>
      <c r="E730">
        <v>13</v>
      </c>
      <c r="F730">
        <v>28269</v>
      </c>
      <c r="G730" t="s">
        <v>462</v>
      </c>
      <c r="H730" t="str">
        <f>VLOOKUP(A730, product_table!$A:$C, 3, 0)</f>
        <v>Own Brand</v>
      </c>
      <c r="I730" t="str">
        <f>VLOOKUP(transactions_table8[[#This Row],[market_code]],markets_table!$A:$B,2,0)</f>
        <v>Mumbai</v>
      </c>
      <c r="J730" t="str">
        <f>VLOOKUP(transactions_table8[[#This Row],[market_code]],markets_table!$A:$C,3,0)</f>
        <v>Central</v>
      </c>
      <c r="K730" t="str">
        <f>VLOOKUP(transactions_table8[[#This Row],[customer_code]],customer_table!$A:$B,2,0)</f>
        <v>Electricalslytical</v>
      </c>
      <c r="L730" t="str">
        <f>VLOOKUP(transactions_table8[[#This Row],[customer_code]],customer_table!$A:$C,3,0)</f>
        <v>E-Commerce</v>
      </c>
      <c r="M730">
        <f>IF(TRIM(CLEAN(transactions_table8[[#This Row],[currency]]))="USD",transactions_table8[[#This Row],[sales_amount]]*83,transactions_table8[[#This Row],[sales_amount]])</f>
        <v>28269</v>
      </c>
    </row>
    <row r="731" spans="1:13" x14ac:dyDescent="0.3">
      <c r="A731" t="s">
        <v>192</v>
      </c>
      <c r="B731" t="s">
        <v>51</v>
      </c>
      <c r="C731" t="s">
        <v>138</v>
      </c>
      <c r="D731" s="1">
        <v>43241</v>
      </c>
      <c r="E731">
        <v>2</v>
      </c>
      <c r="F731">
        <v>3056</v>
      </c>
      <c r="G731" t="s">
        <v>462</v>
      </c>
      <c r="H731" t="str">
        <f>VLOOKUP(A731, product_table!$A:$C, 3, 0)</f>
        <v>Own Brand</v>
      </c>
      <c r="I731" t="str">
        <f>VLOOKUP(transactions_table8[[#This Row],[market_code]],markets_table!$A:$B,2,0)</f>
        <v>Mumbai</v>
      </c>
      <c r="J731" t="str">
        <f>VLOOKUP(transactions_table8[[#This Row],[market_code]],markets_table!$A:$C,3,0)</f>
        <v>Central</v>
      </c>
      <c r="K731" t="str">
        <f>VLOOKUP(transactions_table8[[#This Row],[customer_code]],customer_table!$A:$B,2,0)</f>
        <v>Power</v>
      </c>
      <c r="L731" t="str">
        <f>VLOOKUP(transactions_table8[[#This Row],[customer_code]],customer_table!$A:$C,3,0)</f>
        <v>E-Commerce</v>
      </c>
      <c r="M731">
        <f>IF(TRIM(CLEAN(transactions_table8[[#This Row],[currency]]))="USD",transactions_table8[[#This Row],[sales_amount]]*83,transactions_table8[[#This Row],[sales_amount]])</f>
        <v>3056</v>
      </c>
    </row>
    <row r="732" spans="1:13" x14ac:dyDescent="0.3">
      <c r="A732" t="s">
        <v>192</v>
      </c>
      <c r="B732" t="s">
        <v>51</v>
      </c>
      <c r="C732" t="s">
        <v>138</v>
      </c>
      <c r="D732" s="1">
        <v>43242</v>
      </c>
      <c r="E732">
        <v>2</v>
      </c>
      <c r="F732">
        <v>3056</v>
      </c>
      <c r="G732" t="s">
        <v>462</v>
      </c>
      <c r="H732" t="str">
        <f>VLOOKUP(A732, product_table!$A:$C, 3, 0)</f>
        <v>Own Brand</v>
      </c>
      <c r="I732" t="str">
        <f>VLOOKUP(transactions_table8[[#This Row],[market_code]],markets_table!$A:$B,2,0)</f>
        <v>Mumbai</v>
      </c>
      <c r="J732" t="str">
        <f>VLOOKUP(transactions_table8[[#This Row],[market_code]],markets_table!$A:$C,3,0)</f>
        <v>Central</v>
      </c>
      <c r="K732" t="str">
        <f>VLOOKUP(transactions_table8[[#This Row],[customer_code]],customer_table!$A:$B,2,0)</f>
        <v>Power</v>
      </c>
      <c r="L732" t="str">
        <f>VLOOKUP(transactions_table8[[#This Row],[customer_code]],customer_table!$A:$C,3,0)</f>
        <v>E-Commerce</v>
      </c>
      <c r="M732">
        <f>IF(TRIM(CLEAN(transactions_table8[[#This Row],[currency]]))="USD",transactions_table8[[#This Row],[sales_amount]]*83,transactions_table8[[#This Row],[sales_amount]])</f>
        <v>3056</v>
      </c>
    </row>
    <row r="733" spans="1:13" x14ac:dyDescent="0.3">
      <c r="A733" t="s">
        <v>192</v>
      </c>
      <c r="B733" t="s">
        <v>47</v>
      </c>
      <c r="C733" t="s">
        <v>138</v>
      </c>
      <c r="D733" s="1">
        <v>43243</v>
      </c>
      <c r="E733">
        <v>1</v>
      </c>
      <c r="F733">
        <v>3065</v>
      </c>
      <c r="G733" t="s">
        <v>462</v>
      </c>
      <c r="H733" t="str">
        <f>VLOOKUP(A733, product_table!$A:$C, 3, 0)</f>
        <v>Own Brand</v>
      </c>
      <c r="I733" t="str">
        <f>VLOOKUP(transactions_table8[[#This Row],[market_code]],markets_table!$A:$B,2,0)</f>
        <v>Mumbai</v>
      </c>
      <c r="J733" t="str">
        <f>VLOOKUP(transactions_table8[[#This Row],[market_code]],markets_table!$A:$C,3,0)</f>
        <v>Central</v>
      </c>
      <c r="K733" t="str">
        <f>VLOOKUP(transactions_table8[[#This Row],[customer_code]],customer_table!$A:$B,2,0)</f>
        <v>Electricalslytical</v>
      </c>
      <c r="L733" t="str">
        <f>VLOOKUP(transactions_table8[[#This Row],[customer_code]],customer_table!$A:$C,3,0)</f>
        <v>E-Commerce</v>
      </c>
      <c r="M733">
        <f>IF(TRIM(CLEAN(transactions_table8[[#This Row],[currency]]))="USD",transactions_table8[[#This Row],[sales_amount]]*83,transactions_table8[[#This Row],[sales_amount]])</f>
        <v>3065</v>
      </c>
    </row>
    <row r="734" spans="1:13" x14ac:dyDescent="0.3">
      <c r="A734" t="s">
        <v>192</v>
      </c>
      <c r="B734" t="s">
        <v>47</v>
      </c>
      <c r="C734" t="s">
        <v>138</v>
      </c>
      <c r="D734" s="1">
        <v>43244</v>
      </c>
      <c r="E734">
        <v>1</v>
      </c>
      <c r="F734">
        <v>3065</v>
      </c>
      <c r="G734" t="s">
        <v>462</v>
      </c>
      <c r="H734" t="str">
        <f>VLOOKUP(A734, product_table!$A:$C, 3, 0)</f>
        <v>Own Brand</v>
      </c>
      <c r="I734" t="str">
        <f>VLOOKUP(transactions_table8[[#This Row],[market_code]],markets_table!$A:$B,2,0)</f>
        <v>Mumbai</v>
      </c>
      <c r="J734" t="str">
        <f>VLOOKUP(transactions_table8[[#This Row],[market_code]],markets_table!$A:$C,3,0)</f>
        <v>Central</v>
      </c>
      <c r="K734" t="str">
        <f>VLOOKUP(transactions_table8[[#This Row],[customer_code]],customer_table!$A:$B,2,0)</f>
        <v>Electricalslytical</v>
      </c>
      <c r="L734" t="str">
        <f>VLOOKUP(transactions_table8[[#This Row],[customer_code]],customer_table!$A:$C,3,0)</f>
        <v>E-Commerce</v>
      </c>
      <c r="M734">
        <f>IF(TRIM(CLEAN(transactions_table8[[#This Row],[currency]]))="USD",transactions_table8[[#This Row],[sales_amount]]*83,transactions_table8[[#This Row],[sales_amount]])</f>
        <v>3065</v>
      </c>
    </row>
    <row r="735" spans="1:13" x14ac:dyDescent="0.3">
      <c r="A735" t="s">
        <v>192</v>
      </c>
      <c r="B735" t="s">
        <v>47</v>
      </c>
      <c r="C735" t="s">
        <v>138</v>
      </c>
      <c r="D735" s="1">
        <v>43245</v>
      </c>
      <c r="E735">
        <v>1</v>
      </c>
      <c r="F735">
        <v>3065</v>
      </c>
      <c r="G735" t="s">
        <v>462</v>
      </c>
      <c r="H735" t="str">
        <f>VLOOKUP(A735, product_table!$A:$C, 3, 0)</f>
        <v>Own Brand</v>
      </c>
      <c r="I735" t="str">
        <f>VLOOKUP(transactions_table8[[#This Row],[market_code]],markets_table!$A:$B,2,0)</f>
        <v>Mumbai</v>
      </c>
      <c r="J735" t="str">
        <f>VLOOKUP(transactions_table8[[#This Row],[market_code]],markets_table!$A:$C,3,0)</f>
        <v>Central</v>
      </c>
      <c r="K735" t="str">
        <f>VLOOKUP(transactions_table8[[#This Row],[customer_code]],customer_table!$A:$B,2,0)</f>
        <v>Electricalslytical</v>
      </c>
      <c r="L735" t="str">
        <f>VLOOKUP(transactions_table8[[#This Row],[customer_code]],customer_table!$A:$C,3,0)</f>
        <v>E-Commerce</v>
      </c>
      <c r="M735">
        <f>IF(TRIM(CLEAN(transactions_table8[[#This Row],[currency]]))="USD",transactions_table8[[#This Row],[sales_amount]]*83,transactions_table8[[#This Row],[sales_amount]])</f>
        <v>3065</v>
      </c>
    </row>
    <row r="736" spans="1:13" x14ac:dyDescent="0.3">
      <c r="A736" t="s">
        <v>192</v>
      </c>
      <c r="B736" t="s">
        <v>24</v>
      </c>
      <c r="C736" t="s">
        <v>141</v>
      </c>
      <c r="D736" s="1">
        <v>43248</v>
      </c>
      <c r="E736">
        <v>4</v>
      </c>
      <c r="F736">
        <v>14134</v>
      </c>
      <c r="G736" t="s">
        <v>462</v>
      </c>
      <c r="H736" t="str">
        <f>VLOOKUP(A736, product_table!$A:$C, 3, 0)</f>
        <v>Own Brand</v>
      </c>
      <c r="I736" t="str">
        <f>VLOOKUP(transactions_table8[[#This Row],[market_code]],markets_table!$A:$B,2,0)</f>
        <v>Ahmedabad</v>
      </c>
      <c r="J736" t="str">
        <f>VLOOKUP(transactions_table8[[#This Row],[market_code]],markets_table!$A:$C,3,0)</f>
        <v>North</v>
      </c>
      <c r="K736" t="str">
        <f>VLOOKUP(transactions_table8[[#This Row],[customer_code]],customer_table!$A:$B,2,0)</f>
        <v>Flawless Stores</v>
      </c>
      <c r="L736" t="str">
        <f>VLOOKUP(transactions_table8[[#This Row],[customer_code]],customer_table!$A:$C,3,0)</f>
        <v>Brick &amp; Mortar</v>
      </c>
      <c r="M736">
        <f>IF(TRIM(CLEAN(transactions_table8[[#This Row],[currency]]))="USD",transactions_table8[[#This Row],[sales_amount]]*83,transactions_table8[[#This Row],[sales_amount]])</f>
        <v>14134</v>
      </c>
    </row>
    <row r="737" spans="1:13" x14ac:dyDescent="0.3">
      <c r="A737" t="s">
        <v>192</v>
      </c>
      <c r="B737" t="s">
        <v>47</v>
      </c>
      <c r="C737" t="s">
        <v>138</v>
      </c>
      <c r="D737" s="1">
        <v>43250</v>
      </c>
      <c r="E737">
        <v>3</v>
      </c>
      <c r="F737">
        <v>6125</v>
      </c>
      <c r="G737" t="s">
        <v>462</v>
      </c>
      <c r="H737" t="str">
        <f>VLOOKUP(A737, product_table!$A:$C, 3, 0)</f>
        <v>Own Brand</v>
      </c>
      <c r="I737" t="str">
        <f>VLOOKUP(transactions_table8[[#This Row],[market_code]],markets_table!$A:$B,2,0)</f>
        <v>Mumbai</v>
      </c>
      <c r="J737" t="str">
        <f>VLOOKUP(transactions_table8[[#This Row],[market_code]],markets_table!$A:$C,3,0)</f>
        <v>Central</v>
      </c>
      <c r="K737" t="str">
        <f>VLOOKUP(transactions_table8[[#This Row],[customer_code]],customer_table!$A:$B,2,0)</f>
        <v>Electricalslytical</v>
      </c>
      <c r="L737" t="str">
        <f>VLOOKUP(transactions_table8[[#This Row],[customer_code]],customer_table!$A:$C,3,0)</f>
        <v>E-Commerce</v>
      </c>
      <c r="M737">
        <f>IF(TRIM(CLEAN(transactions_table8[[#This Row],[currency]]))="USD",transactions_table8[[#This Row],[sales_amount]]*83,transactions_table8[[#This Row],[sales_amount]])</f>
        <v>6125</v>
      </c>
    </row>
    <row r="738" spans="1:13" x14ac:dyDescent="0.3">
      <c r="A738" t="s">
        <v>192</v>
      </c>
      <c r="B738" t="s">
        <v>24</v>
      </c>
      <c r="C738" t="s">
        <v>141</v>
      </c>
      <c r="D738" s="1">
        <v>43252</v>
      </c>
      <c r="E738">
        <v>5</v>
      </c>
      <c r="F738">
        <v>16491</v>
      </c>
      <c r="G738" t="s">
        <v>462</v>
      </c>
      <c r="H738" t="str">
        <f>VLOOKUP(A738, product_table!$A:$C, 3, 0)</f>
        <v>Own Brand</v>
      </c>
      <c r="I738" t="str">
        <f>VLOOKUP(transactions_table8[[#This Row],[market_code]],markets_table!$A:$B,2,0)</f>
        <v>Ahmedabad</v>
      </c>
      <c r="J738" t="str">
        <f>VLOOKUP(transactions_table8[[#This Row],[market_code]],markets_table!$A:$C,3,0)</f>
        <v>North</v>
      </c>
      <c r="K738" t="str">
        <f>VLOOKUP(transactions_table8[[#This Row],[customer_code]],customer_table!$A:$B,2,0)</f>
        <v>Flawless Stores</v>
      </c>
      <c r="L738" t="str">
        <f>VLOOKUP(transactions_table8[[#This Row],[customer_code]],customer_table!$A:$C,3,0)</f>
        <v>Brick &amp; Mortar</v>
      </c>
      <c r="M738">
        <f>IF(TRIM(CLEAN(transactions_table8[[#This Row],[currency]]))="USD",transactions_table8[[#This Row],[sales_amount]]*83,transactions_table8[[#This Row],[sales_amount]])</f>
        <v>16491</v>
      </c>
    </row>
    <row r="739" spans="1:13" x14ac:dyDescent="0.3">
      <c r="A739" t="s">
        <v>192</v>
      </c>
      <c r="B739" t="s">
        <v>47</v>
      </c>
      <c r="C739" t="s">
        <v>138</v>
      </c>
      <c r="D739" s="1">
        <v>43252</v>
      </c>
      <c r="E739">
        <v>1</v>
      </c>
      <c r="F739">
        <v>3065</v>
      </c>
      <c r="G739" t="s">
        <v>462</v>
      </c>
      <c r="H739" t="str">
        <f>VLOOKUP(A739, product_table!$A:$C, 3, 0)</f>
        <v>Own Brand</v>
      </c>
      <c r="I739" t="str">
        <f>VLOOKUP(transactions_table8[[#This Row],[market_code]],markets_table!$A:$B,2,0)</f>
        <v>Mumbai</v>
      </c>
      <c r="J739" t="str">
        <f>VLOOKUP(transactions_table8[[#This Row],[market_code]],markets_table!$A:$C,3,0)</f>
        <v>Central</v>
      </c>
      <c r="K739" t="str">
        <f>VLOOKUP(transactions_table8[[#This Row],[customer_code]],customer_table!$A:$B,2,0)</f>
        <v>Electricalslytical</v>
      </c>
      <c r="L739" t="str">
        <f>VLOOKUP(transactions_table8[[#This Row],[customer_code]],customer_table!$A:$C,3,0)</f>
        <v>E-Commerce</v>
      </c>
      <c r="M739">
        <f>IF(TRIM(CLEAN(transactions_table8[[#This Row],[currency]]))="USD",transactions_table8[[#This Row],[sales_amount]]*83,transactions_table8[[#This Row],[sales_amount]])</f>
        <v>3065</v>
      </c>
    </row>
    <row r="740" spans="1:13" x14ac:dyDescent="0.3">
      <c r="A740" t="s">
        <v>192</v>
      </c>
      <c r="B740" t="s">
        <v>47</v>
      </c>
      <c r="C740" t="s">
        <v>138</v>
      </c>
      <c r="D740" s="1">
        <v>43255</v>
      </c>
      <c r="E740">
        <v>1</v>
      </c>
      <c r="F740">
        <v>3065</v>
      </c>
      <c r="G740" t="s">
        <v>462</v>
      </c>
      <c r="H740" t="str">
        <f>VLOOKUP(A740, product_table!$A:$C, 3, 0)</f>
        <v>Own Brand</v>
      </c>
      <c r="I740" t="str">
        <f>VLOOKUP(transactions_table8[[#This Row],[market_code]],markets_table!$A:$B,2,0)</f>
        <v>Mumbai</v>
      </c>
      <c r="J740" t="str">
        <f>VLOOKUP(transactions_table8[[#This Row],[market_code]],markets_table!$A:$C,3,0)</f>
        <v>Central</v>
      </c>
      <c r="K740" t="str">
        <f>VLOOKUP(transactions_table8[[#This Row],[customer_code]],customer_table!$A:$B,2,0)</f>
        <v>Electricalslytical</v>
      </c>
      <c r="L740" t="str">
        <f>VLOOKUP(transactions_table8[[#This Row],[customer_code]],customer_table!$A:$C,3,0)</f>
        <v>E-Commerce</v>
      </c>
      <c r="M740">
        <f>IF(TRIM(CLEAN(transactions_table8[[#This Row],[currency]]))="USD",transactions_table8[[#This Row],[sales_amount]]*83,transactions_table8[[#This Row],[sales_amount]])</f>
        <v>3065</v>
      </c>
    </row>
    <row r="741" spans="1:13" x14ac:dyDescent="0.3">
      <c r="A741" t="s">
        <v>192</v>
      </c>
      <c r="B741" t="s">
        <v>47</v>
      </c>
      <c r="C741" t="s">
        <v>138</v>
      </c>
      <c r="D741" s="1">
        <v>43256</v>
      </c>
      <c r="E741">
        <v>1</v>
      </c>
      <c r="F741">
        <v>3065</v>
      </c>
      <c r="G741" t="s">
        <v>462</v>
      </c>
      <c r="H741" t="str">
        <f>VLOOKUP(A741, product_table!$A:$C, 3, 0)</f>
        <v>Own Brand</v>
      </c>
      <c r="I741" t="str">
        <f>VLOOKUP(transactions_table8[[#This Row],[market_code]],markets_table!$A:$B,2,0)</f>
        <v>Mumbai</v>
      </c>
      <c r="J741" t="str">
        <f>VLOOKUP(transactions_table8[[#This Row],[market_code]],markets_table!$A:$C,3,0)</f>
        <v>Central</v>
      </c>
      <c r="K741" t="str">
        <f>VLOOKUP(transactions_table8[[#This Row],[customer_code]],customer_table!$A:$B,2,0)</f>
        <v>Electricalslytical</v>
      </c>
      <c r="L741" t="str">
        <f>VLOOKUP(transactions_table8[[#This Row],[customer_code]],customer_table!$A:$C,3,0)</f>
        <v>E-Commerce</v>
      </c>
      <c r="M741">
        <f>IF(TRIM(CLEAN(transactions_table8[[#This Row],[currency]]))="USD",transactions_table8[[#This Row],[sales_amount]]*83,transactions_table8[[#This Row],[sales_amount]])</f>
        <v>3065</v>
      </c>
    </row>
    <row r="742" spans="1:13" x14ac:dyDescent="0.3">
      <c r="A742" t="s">
        <v>192</v>
      </c>
      <c r="B742" t="s">
        <v>47</v>
      </c>
      <c r="C742" t="s">
        <v>138</v>
      </c>
      <c r="D742" s="1">
        <v>43258</v>
      </c>
      <c r="E742">
        <v>3</v>
      </c>
      <c r="F742">
        <v>6125</v>
      </c>
      <c r="G742" t="s">
        <v>462</v>
      </c>
      <c r="H742" t="str">
        <f>VLOOKUP(A742, product_table!$A:$C, 3, 0)</f>
        <v>Own Brand</v>
      </c>
      <c r="I742" t="str">
        <f>VLOOKUP(transactions_table8[[#This Row],[market_code]],markets_table!$A:$B,2,0)</f>
        <v>Mumbai</v>
      </c>
      <c r="J742" t="str">
        <f>VLOOKUP(transactions_table8[[#This Row],[market_code]],markets_table!$A:$C,3,0)</f>
        <v>Central</v>
      </c>
      <c r="K742" t="str">
        <f>VLOOKUP(transactions_table8[[#This Row],[customer_code]],customer_table!$A:$B,2,0)</f>
        <v>Electricalslytical</v>
      </c>
      <c r="L742" t="str">
        <f>VLOOKUP(transactions_table8[[#This Row],[customer_code]],customer_table!$A:$C,3,0)</f>
        <v>E-Commerce</v>
      </c>
      <c r="M742">
        <f>IF(TRIM(CLEAN(transactions_table8[[#This Row],[currency]]))="USD",transactions_table8[[#This Row],[sales_amount]]*83,transactions_table8[[#This Row],[sales_amount]])</f>
        <v>6125</v>
      </c>
    </row>
    <row r="743" spans="1:13" x14ac:dyDescent="0.3">
      <c r="A743" t="s">
        <v>192</v>
      </c>
      <c r="B743" t="s">
        <v>24</v>
      </c>
      <c r="C743" t="s">
        <v>141</v>
      </c>
      <c r="D743" s="1">
        <v>43262</v>
      </c>
      <c r="E743">
        <v>11</v>
      </c>
      <c r="F743">
        <v>40046</v>
      </c>
      <c r="G743" t="s">
        <v>462</v>
      </c>
      <c r="H743" t="str">
        <f>VLOOKUP(A743, product_table!$A:$C, 3, 0)</f>
        <v>Own Brand</v>
      </c>
      <c r="I743" t="str">
        <f>VLOOKUP(transactions_table8[[#This Row],[market_code]],markets_table!$A:$B,2,0)</f>
        <v>Ahmedabad</v>
      </c>
      <c r="J743" t="str">
        <f>VLOOKUP(transactions_table8[[#This Row],[market_code]],markets_table!$A:$C,3,0)</f>
        <v>North</v>
      </c>
      <c r="K743" t="str">
        <f>VLOOKUP(transactions_table8[[#This Row],[customer_code]],customer_table!$A:$B,2,0)</f>
        <v>Flawless Stores</v>
      </c>
      <c r="L743" t="str">
        <f>VLOOKUP(transactions_table8[[#This Row],[customer_code]],customer_table!$A:$C,3,0)</f>
        <v>Brick &amp; Mortar</v>
      </c>
      <c r="M743">
        <f>IF(TRIM(CLEAN(transactions_table8[[#This Row],[currency]]))="USD",transactions_table8[[#This Row],[sales_amount]]*83,transactions_table8[[#This Row],[sales_amount]])</f>
        <v>40046</v>
      </c>
    </row>
    <row r="744" spans="1:13" x14ac:dyDescent="0.3">
      <c r="A744" t="s">
        <v>192</v>
      </c>
      <c r="B744" t="s">
        <v>47</v>
      </c>
      <c r="C744" t="s">
        <v>138</v>
      </c>
      <c r="D744" s="1">
        <v>43262</v>
      </c>
      <c r="E744">
        <v>1</v>
      </c>
      <c r="F744">
        <v>3065</v>
      </c>
      <c r="G744" t="s">
        <v>462</v>
      </c>
      <c r="H744" t="str">
        <f>VLOOKUP(A744, product_table!$A:$C, 3, 0)</f>
        <v>Own Brand</v>
      </c>
      <c r="I744" t="str">
        <f>VLOOKUP(transactions_table8[[#This Row],[market_code]],markets_table!$A:$B,2,0)</f>
        <v>Mumbai</v>
      </c>
      <c r="J744" t="str">
        <f>VLOOKUP(transactions_table8[[#This Row],[market_code]],markets_table!$A:$C,3,0)</f>
        <v>Central</v>
      </c>
      <c r="K744" t="str">
        <f>VLOOKUP(transactions_table8[[#This Row],[customer_code]],customer_table!$A:$B,2,0)</f>
        <v>Electricalslytical</v>
      </c>
      <c r="L744" t="str">
        <f>VLOOKUP(transactions_table8[[#This Row],[customer_code]],customer_table!$A:$C,3,0)</f>
        <v>E-Commerce</v>
      </c>
      <c r="M744">
        <f>IF(TRIM(CLEAN(transactions_table8[[#This Row],[currency]]))="USD",transactions_table8[[#This Row],[sales_amount]]*83,transactions_table8[[#This Row],[sales_amount]])</f>
        <v>3065</v>
      </c>
    </row>
    <row r="745" spans="1:13" x14ac:dyDescent="0.3">
      <c r="A745" t="s">
        <v>192</v>
      </c>
      <c r="B745" t="s">
        <v>47</v>
      </c>
      <c r="C745" t="s">
        <v>138</v>
      </c>
      <c r="D745" s="1">
        <v>43263</v>
      </c>
      <c r="E745">
        <v>1</v>
      </c>
      <c r="F745">
        <v>3065</v>
      </c>
      <c r="G745" t="s">
        <v>462</v>
      </c>
      <c r="H745" t="str">
        <f>VLOOKUP(A745, product_table!$A:$C, 3, 0)</f>
        <v>Own Brand</v>
      </c>
      <c r="I745" t="str">
        <f>VLOOKUP(transactions_table8[[#This Row],[market_code]],markets_table!$A:$B,2,0)</f>
        <v>Mumbai</v>
      </c>
      <c r="J745" t="str">
        <f>VLOOKUP(transactions_table8[[#This Row],[market_code]],markets_table!$A:$C,3,0)</f>
        <v>Central</v>
      </c>
      <c r="K745" t="str">
        <f>VLOOKUP(transactions_table8[[#This Row],[customer_code]],customer_table!$A:$B,2,0)</f>
        <v>Electricalslytical</v>
      </c>
      <c r="L745" t="str">
        <f>VLOOKUP(transactions_table8[[#This Row],[customer_code]],customer_table!$A:$C,3,0)</f>
        <v>E-Commerce</v>
      </c>
      <c r="M745">
        <f>IF(TRIM(CLEAN(transactions_table8[[#This Row],[currency]]))="USD",transactions_table8[[#This Row],[sales_amount]]*83,transactions_table8[[#This Row],[sales_amount]])</f>
        <v>3065</v>
      </c>
    </row>
    <row r="746" spans="1:13" x14ac:dyDescent="0.3">
      <c r="A746" t="s">
        <v>192</v>
      </c>
      <c r="B746" t="s">
        <v>51</v>
      </c>
      <c r="C746" t="s">
        <v>138</v>
      </c>
      <c r="D746" s="1">
        <v>43263</v>
      </c>
      <c r="E746">
        <v>1</v>
      </c>
      <c r="F746">
        <v>338</v>
      </c>
      <c r="G746" t="s">
        <v>462</v>
      </c>
      <c r="H746" t="str">
        <f>VLOOKUP(A746, product_table!$A:$C, 3, 0)</f>
        <v>Own Brand</v>
      </c>
      <c r="I746" t="str">
        <f>VLOOKUP(transactions_table8[[#This Row],[market_code]],markets_table!$A:$B,2,0)</f>
        <v>Mumbai</v>
      </c>
      <c r="J746" t="str">
        <f>VLOOKUP(transactions_table8[[#This Row],[market_code]],markets_table!$A:$C,3,0)</f>
        <v>Central</v>
      </c>
      <c r="K746" t="str">
        <f>VLOOKUP(transactions_table8[[#This Row],[customer_code]],customer_table!$A:$B,2,0)</f>
        <v>Power</v>
      </c>
      <c r="L746" t="str">
        <f>VLOOKUP(transactions_table8[[#This Row],[customer_code]],customer_table!$A:$C,3,0)</f>
        <v>E-Commerce</v>
      </c>
      <c r="M746">
        <f>IF(TRIM(CLEAN(transactions_table8[[#This Row],[currency]]))="USD",transactions_table8[[#This Row],[sales_amount]]*83,transactions_table8[[#This Row],[sales_amount]])</f>
        <v>338</v>
      </c>
    </row>
    <row r="747" spans="1:13" x14ac:dyDescent="0.3">
      <c r="A747" t="s">
        <v>192</v>
      </c>
      <c r="B747" t="s">
        <v>47</v>
      </c>
      <c r="C747" t="s">
        <v>138</v>
      </c>
      <c r="D747" s="1">
        <v>43264</v>
      </c>
      <c r="E747">
        <v>1</v>
      </c>
      <c r="F747">
        <v>3065</v>
      </c>
      <c r="G747" t="s">
        <v>462</v>
      </c>
      <c r="H747" t="str">
        <f>VLOOKUP(A747, product_table!$A:$C, 3, 0)</f>
        <v>Own Brand</v>
      </c>
      <c r="I747" t="str">
        <f>VLOOKUP(transactions_table8[[#This Row],[market_code]],markets_table!$A:$B,2,0)</f>
        <v>Mumbai</v>
      </c>
      <c r="J747" t="str">
        <f>VLOOKUP(transactions_table8[[#This Row],[market_code]],markets_table!$A:$C,3,0)</f>
        <v>Central</v>
      </c>
      <c r="K747" t="str">
        <f>VLOOKUP(transactions_table8[[#This Row],[customer_code]],customer_table!$A:$B,2,0)</f>
        <v>Electricalslytical</v>
      </c>
      <c r="L747" t="str">
        <f>VLOOKUP(transactions_table8[[#This Row],[customer_code]],customer_table!$A:$C,3,0)</f>
        <v>E-Commerce</v>
      </c>
      <c r="M747">
        <f>IF(TRIM(CLEAN(transactions_table8[[#This Row],[currency]]))="USD",transactions_table8[[#This Row],[sales_amount]]*83,transactions_table8[[#This Row],[sales_amount]])</f>
        <v>3065</v>
      </c>
    </row>
    <row r="748" spans="1:13" x14ac:dyDescent="0.3">
      <c r="A748" t="s">
        <v>192</v>
      </c>
      <c r="B748" t="s">
        <v>47</v>
      </c>
      <c r="C748" t="s">
        <v>138</v>
      </c>
      <c r="D748" s="1">
        <v>43265</v>
      </c>
      <c r="E748">
        <v>5</v>
      </c>
      <c r="F748">
        <v>12250</v>
      </c>
      <c r="G748" t="s">
        <v>462</v>
      </c>
      <c r="H748" t="str">
        <f>VLOOKUP(A748, product_table!$A:$C, 3, 0)</f>
        <v>Own Brand</v>
      </c>
      <c r="I748" t="str">
        <f>VLOOKUP(transactions_table8[[#This Row],[market_code]],markets_table!$A:$B,2,0)</f>
        <v>Mumbai</v>
      </c>
      <c r="J748" t="str">
        <f>VLOOKUP(transactions_table8[[#This Row],[market_code]],markets_table!$A:$C,3,0)</f>
        <v>Central</v>
      </c>
      <c r="K748" t="str">
        <f>VLOOKUP(transactions_table8[[#This Row],[customer_code]],customer_table!$A:$B,2,0)</f>
        <v>Electricalslytical</v>
      </c>
      <c r="L748" t="str">
        <f>VLOOKUP(transactions_table8[[#This Row],[customer_code]],customer_table!$A:$C,3,0)</f>
        <v>E-Commerce</v>
      </c>
      <c r="M748">
        <f>IF(TRIM(CLEAN(transactions_table8[[#This Row],[currency]]))="USD",transactions_table8[[#This Row],[sales_amount]]*83,transactions_table8[[#This Row],[sales_amount]])</f>
        <v>12250</v>
      </c>
    </row>
    <row r="749" spans="1:13" x14ac:dyDescent="0.3">
      <c r="A749" t="s">
        <v>192</v>
      </c>
      <c r="B749" t="s">
        <v>49</v>
      </c>
      <c r="C749" t="s">
        <v>138</v>
      </c>
      <c r="D749" s="1">
        <v>43265</v>
      </c>
      <c r="E749">
        <v>7</v>
      </c>
      <c r="F749">
        <v>14407</v>
      </c>
      <c r="G749" t="s">
        <v>462</v>
      </c>
      <c r="H749" t="str">
        <f>VLOOKUP(A749, product_table!$A:$C, 3, 0)</f>
        <v>Own Brand</v>
      </c>
      <c r="I749" t="str">
        <f>VLOOKUP(transactions_table8[[#This Row],[market_code]],markets_table!$A:$B,2,0)</f>
        <v>Mumbai</v>
      </c>
      <c r="J749" t="str">
        <f>VLOOKUP(transactions_table8[[#This Row],[market_code]],markets_table!$A:$C,3,0)</f>
        <v>Central</v>
      </c>
      <c r="K749" t="str">
        <f>VLOOKUP(transactions_table8[[#This Row],[customer_code]],customer_table!$A:$B,2,0)</f>
        <v>Sound</v>
      </c>
      <c r="L749" t="str">
        <f>VLOOKUP(transactions_table8[[#This Row],[customer_code]],customer_table!$A:$C,3,0)</f>
        <v>E-Commerce</v>
      </c>
      <c r="M749">
        <f>IF(TRIM(CLEAN(transactions_table8[[#This Row],[currency]]))="USD",transactions_table8[[#This Row],[sales_amount]]*83,transactions_table8[[#This Row],[sales_amount]])</f>
        <v>14407</v>
      </c>
    </row>
    <row r="750" spans="1:13" x14ac:dyDescent="0.3">
      <c r="A750" t="s">
        <v>192</v>
      </c>
      <c r="B750" t="s">
        <v>47</v>
      </c>
      <c r="C750" t="s">
        <v>138</v>
      </c>
      <c r="D750" s="1">
        <v>43266</v>
      </c>
      <c r="E750">
        <v>3</v>
      </c>
      <c r="F750">
        <v>6125</v>
      </c>
      <c r="G750" t="s">
        <v>462</v>
      </c>
      <c r="H750" t="str">
        <f>VLOOKUP(A750, product_table!$A:$C, 3, 0)</f>
        <v>Own Brand</v>
      </c>
      <c r="I750" t="str">
        <f>VLOOKUP(transactions_table8[[#This Row],[market_code]],markets_table!$A:$B,2,0)</f>
        <v>Mumbai</v>
      </c>
      <c r="J750" t="str">
        <f>VLOOKUP(transactions_table8[[#This Row],[market_code]],markets_table!$A:$C,3,0)</f>
        <v>Central</v>
      </c>
      <c r="K750" t="str">
        <f>VLOOKUP(transactions_table8[[#This Row],[customer_code]],customer_table!$A:$B,2,0)</f>
        <v>Electricalslytical</v>
      </c>
      <c r="L750" t="str">
        <f>VLOOKUP(transactions_table8[[#This Row],[customer_code]],customer_table!$A:$C,3,0)</f>
        <v>E-Commerce</v>
      </c>
      <c r="M750">
        <f>IF(TRIM(CLEAN(transactions_table8[[#This Row],[currency]]))="USD",transactions_table8[[#This Row],[sales_amount]]*83,transactions_table8[[#This Row],[sales_amount]])</f>
        <v>6125</v>
      </c>
    </row>
    <row r="751" spans="1:13" x14ac:dyDescent="0.3">
      <c r="A751" t="s">
        <v>192</v>
      </c>
      <c r="B751" t="s">
        <v>24</v>
      </c>
      <c r="C751" t="s">
        <v>141</v>
      </c>
      <c r="D751" s="1">
        <v>43270</v>
      </c>
      <c r="E751">
        <v>7</v>
      </c>
      <c r="F751">
        <v>25912</v>
      </c>
      <c r="G751" t="s">
        <v>462</v>
      </c>
      <c r="H751" t="str">
        <f>VLOOKUP(A751, product_table!$A:$C, 3, 0)</f>
        <v>Own Brand</v>
      </c>
      <c r="I751" t="str">
        <f>VLOOKUP(transactions_table8[[#This Row],[market_code]],markets_table!$A:$B,2,0)</f>
        <v>Ahmedabad</v>
      </c>
      <c r="J751" t="str">
        <f>VLOOKUP(transactions_table8[[#This Row],[market_code]],markets_table!$A:$C,3,0)</f>
        <v>North</v>
      </c>
      <c r="K751" t="str">
        <f>VLOOKUP(transactions_table8[[#This Row],[customer_code]],customer_table!$A:$B,2,0)</f>
        <v>Flawless Stores</v>
      </c>
      <c r="L751" t="str">
        <f>VLOOKUP(transactions_table8[[#This Row],[customer_code]],customer_table!$A:$C,3,0)</f>
        <v>Brick &amp; Mortar</v>
      </c>
      <c r="M751">
        <f>IF(TRIM(CLEAN(transactions_table8[[#This Row],[currency]]))="USD",transactions_table8[[#This Row],[sales_amount]]*83,transactions_table8[[#This Row],[sales_amount]])</f>
        <v>25912</v>
      </c>
    </row>
    <row r="752" spans="1:13" x14ac:dyDescent="0.3">
      <c r="A752" t="s">
        <v>192</v>
      </c>
      <c r="B752" t="s">
        <v>55</v>
      </c>
      <c r="C752" t="s">
        <v>152</v>
      </c>
      <c r="D752" s="1">
        <v>43270</v>
      </c>
      <c r="E752">
        <v>27</v>
      </c>
      <c r="F752">
        <v>52667</v>
      </c>
      <c r="G752" t="s">
        <v>462</v>
      </c>
      <c r="H752" t="str">
        <f>VLOOKUP(A752, product_table!$A:$C, 3, 0)</f>
        <v>Own Brand</v>
      </c>
      <c r="I752" t="str">
        <f>VLOOKUP(transactions_table8[[#This Row],[market_code]],markets_table!$A:$B,2,0)</f>
        <v>Lucknow</v>
      </c>
      <c r="J752" t="str">
        <f>VLOOKUP(transactions_table8[[#This Row],[market_code]],markets_table!$A:$C,3,0)</f>
        <v>North</v>
      </c>
      <c r="K752" t="str">
        <f>VLOOKUP(transactions_table8[[#This Row],[customer_code]],customer_table!$A:$B,2,0)</f>
        <v>Insight</v>
      </c>
      <c r="L752" t="str">
        <f>VLOOKUP(transactions_table8[[#This Row],[customer_code]],customer_table!$A:$C,3,0)</f>
        <v>E-Commerce</v>
      </c>
      <c r="M752">
        <f>IF(TRIM(CLEAN(transactions_table8[[#This Row],[currency]]))="USD",transactions_table8[[#This Row],[sales_amount]]*83,transactions_table8[[#This Row],[sales_amount]])</f>
        <v>52667</v>
      </c>
    </row>
    <row r="753" spans="1:13" x14ac:dyDescent="0.3">
      <c r="A753" t="s">
        <v>192</v>
      </c>
      <c r="B753" t="s">
        <v>47</v>
      </c>
      <c r="C753" t="s">
        <v>138</v>
      </c>
      <c r="D753" s="1">
        <v>43270</v>
      </c>
      <c r="E753">
        <v>1</v>
      </c>
      <c r="F753">
        <v>3065</v>
      </c>
      <c r="G753" t="s">
        <v>462</v>
      </c>
      <c r="H753" t="str">
        <f>VLOOKUP(A753, product_table!$A:$C, 3, 0)</f>
        <v>Own Brand</v>
      </c>
      <c r="I753" t="str">
        <f>VLOOKUP(transactions_table8[[#This Row],[market_code]],markets_table!$A:$B,2,0)</f>
        <v>Mumbai</v>
      </c>
      <c r="J753" t="str">
        <f>VLOOKUP(transactions_table8[[#This Row],[market_code]],markets_table!$A:$C,3,0)</f>
        <v>Central</v>
      </c>
      <c r="K753" t="str">
        <f>VLOOKUP(transactions_table8[[#This Row],[customer_code]],customer_table!$A:$B,2,0)</f>
        <v>Electricalslytical</v>
      </c>
      <c r="L753" t="str">
        <f>VLOOKUP(transactions_table8[[#This Row],[customer_code]],customer_table!$A:$C,3,0)</f>
        <v>E-Commerce</v>
      </c>
      <c r="M753">
        <f>IF(TRIM(CLEAN(transactions_table8[[#This Row],[currency]]))="USD",transactions_table8[[#This Row],[sales_amount]]*83,transactions_table8[[#This Row],[sales_amount]])</f>
        <v>3065</v>
      </c>
    </row>
    <row r="754" spans="1:13" x14ac:dyDescent="0.3">
      <c r="A754" t="s">
        <v>192</v>
      </c>
      <c r="B754" t="s">
        <v>51</v>
      </c>
      <c r="C754" t="s">
        <v>138</v>
      </c>
      <c r="D754" s="1">
        <v>43270</v>
      </c>
      <c r="E754">
        <v>1</v>
      </c>
      <c r="F754">
        <v>338</v>
      </c>
      <c r="G754" t="s">
        <v>462</v>
      </c>
      <c r="H754" t="str">
        <f>VLOOKUP(A754, product_table!$A:$C, 3, 0)</f>
        <v>Own Brand</v>
      </c>
      <c r="I754" t="str">
        <f>VLOOKUP(transactions_table8[[#This Row],[market_code]],markets_table!$A:$B,2,0)</f>
        <v>Mumbai</v>
      </c>
      <c r="J754" t="str">
        <f>VLOOKUP(transactions_table8[[#This Row],[market_code]],markets_table!$A:$C,3,0)</f>
        <v>Central</v>
      </c>
      <c r="K754" t="str">
        <f>VLOOKUP(transactions_table8[[#This Row],[customer_code]],customer_table!$A:$B,2,0)</f>
        <v>Power</v>
      </c>
      <c r="L754" t="str">
        <f>VLOOKUP(transactions_table8[[#This Row],[customer_code]],customer_table!$A:$C,3,0)</f>
        <v>E-Commerce</v>
      </c>
      <c r="M754">
        <f>IF(TRIM(CLEAN(transactions_table8[[#This Row],[currency]]))="USD",transactions_table8[[#This Row],[sales_amount]]*83,transactions_table8[[#This Row],[sales_amount]])</f>
        <v>338</v>
      </c>
    </row>
    <row r="755" spans="1:13" x14ac:dyDescent="0.3">
      <c r="A755" t="s">
        <v>192</v>
      </c>
      <c r="B755" t="s">
        <v>49</v>
      </c>
      <c r="C755" t="s">
        <v>138</v>
      </c>
      <c r="D755" s="1">
        <v>43270</v>
      </c>
      <c r="E755">
        <v>2</v>
      </c>
      <c r="F755">
        <v>4319</v>
      </c>
      <c r="G755" t="s">
        <v>462</v>
      </c>
      <c r="H755" t="str">
        <f>VLOOKUP(A755, product_table!$A:$C, 3, 0)</f>
        <v>Own Brand</v>
      </c>
      <c r="I755" t="str">
        <f>VLOOKUP(transactions_table8[[#This Row],[market_code]],markets_table!$A:$B,2,0)</f>
        <v>Mumbai</v>
      </c>
      <c r="J755" t="str">
        <f>VLOOKUP(transactions_table8[[#This Row],[market_code]],markets_table!$A:$C,3,0)</f>
        <v>Central</v>
      </c>
      <c r="K755" t="str">
        <f>VLOOKUP(transactions_table8[[#This Row],[customer_code]],customer_table!$A:$B,2,0)</f>
        <v>Sound</v>
      </c>
      <c r="L755" t="str">
        <f>VLOOKUP(transactions_table8[[#This Row],[customer_code]],customer_table!$A:$C,3,0)</f>
        <v>E-Commerce</v>
      </c>
      <c r="M755">
        <f>IF(TRIM(CLEAN(transactions_table8[[#This Row],[currency]]))="USD",transactions_table8[[#This Row],[sales_amount]]*83,transactions_table8[[#This Row],[sales_amount]])</f>
        <v>4319</v>
      </c>
    </row>
    <row r="756" spans="1:13" x14ac:dyDescent="0.3">
      <c r="A756" t="s">
        <v>192</v>
      </c>
      <c r="B756" t="s">
        <v>47</v>
      </c>
      <c r="C756" t="s">
        <v>138</v>
      </c>
      <c r="D756" s="1">
        <v>43271</v>
      </c>
      <c r="E756">
        <v>1</v>
      </c>
      <c r="F756">
        <v>3065</v>
      </c>
      <c r="G756" t="s">
        <v>462</v>
      </c>
      <c r="H756" t="str">
        <f>VLOOKUP(A756, product_table!$A:$C, 3, 0)</f>
        <v>Own Brand</v>
      </c>
      <c r="I756" t="str">
        <f>VLOOKUP(transactions_table8[[#This Row],[market_code]],markets_table!$A:$B,2,0)</f>
        <v>Mumbai</v>
      </c>
      <c r="J756" t="str">
        <f>VLOOKUP(transactions_table8[[#This Row],[market_code]],markets_table!$A:$C,3,0)</f>
        <v>Central</v>
      </c>
      <c r="K756" t="str">
        <f>VLOOKUP(transactions_table8[[#This Row],[customer_code]],customer_table!$A:$B,2,0)</f>
        <v>Electricalslytical</v>
      </c>
      <c r="L756" t="str">
        <f>VLOOKUP(transactions_table8[[#This Row],[customer_code]],customer_table!$A:$C,3,0)</f>
        <v>E-Commerce</v>
      </c>
      <c r="M756">
        <f>IF(TRIM(CLEAN(transactions_table8[[#This Row],[currency]]))="USD",transactions_table8[[#This Row],[sales_amount]]*83,transactions_table8[[#This Row],[sales_amount]])</f>
        <v>3065</v>
      </c>
    </row>
    <row r="757" spans="1:13" x14ac:dyDescent="0.3">
      <c r="A757" t="s">
        <v>192</v>
      </c>
      <c r="B757" t="s">
        <v>53</v>
      </c>
      <c r="C757" t="s">
        <v>138</v>
      </c>
      <c r="D757" s="1">
        <v>43271</v>
      </c>
      <c r="E757">
        <v>108</v>
      </c>
      <c r="F757">
        <v>251903</v>
      </c>
      <c r="G757" t="s">
        <v>462</v>
      </c>
      <c r="H757" t="str">
        <f>VLOOKUP(A757, product_table!$A:$C, 3, 0)</f>
        <v>Own Brand</v>
      </c>
      <c r="I757" t="str">
        <f>VLOOKUP(transactions_table8[[#This Row],[market_code]],markets_table!$A:$B,2,0)</f>
        <v>Mumbai</v>
      </c>
      <c r="J757" t="str">
        <f>VLOOKUP(transactions_table8[[#This Row],[market_code]],markets_table!$A:$C,3,0)</f>
        <v>Central</v>
      </c>
      <c r="K757" t="str">
        <f>VLOOKUP(transactions_table8[[#This Row],[customer_code]],customer_table!$A:$B,2,0)</f>
        <v>Path</v>
      </c>
      <c r="L757" t="str">
        <f>VLOOKUP(transactions_table8[[#This Row],[customer_code]],customer_table!$A:$C,3,0)</f>
        <v>E-Commerce</v>
      </c>
      <c r="M757">
        <f>IF(TRIM(CLEAN(transactions_table8[[#This Row],[currency]]))="USD",transactions_table8[[#This Row],[sales_amount]]*83,transactions_table8[[#This Row],[sales_amount]])</f>
        <v>251903</v>
      </c>
    </row>
    <row r="758" spans="1:13" x14ac:dyDescent="0.3">
      <c r="A758" t="s">
        <v>192</v>
      </c>
      <c r="B758" t="s">
        <v>47</v>
      </c>
      <c r="C758" t="s">
        <v>138</v>
      </c>
      <c r="D758" s="1">
        <v>43272</v>
      </c>
      <c r="E758">
        <v>5</v>
      </c>
      <c r="F758">
        <v>12250</v>
      </c>
      <c r="G758" t="s">
        <v>462</v>
      </c>
      <c r="H758" t="str">
        <f>VLOOKUP(A758, product_table!$A:$C, 3, 0)</f>
        <v>Own Brand</v>
      </c>
      <c r="I758" t="str">
        <f>VLOOKUP(transactions_table8[[#This Row],[market_code]],markets_table!$A:$B,2,0)</f>
        <v>Mumbai</v>
      </c>
      <c r="J758" t="str">
        <f>VLOOKUP(transactions_table8[[#This Row],[market_code]],markets_table!$A:$C,3,0)</f>
        <v>Central</v>
      </c>
      <c r="K758" t="str">
        <f>VLOOKUP(transactions_table8[[#This Row],[customer_code]],customer_table!$A:$B,2,0)</f>
        <v>Electricalslytical</v>
      </c>
      <c r="L758" t="str">
        <f>VLOOKUP(transactions_table8[[#This Row],[customer_code]],customer_table!$A:$C,3,0)</f>
        <v>E-Commerce</v>
      </c>
      <c r="M758">
        <f>IF(TRIM(CLEAN(transactions_table8[[#This Row],[currency]]))="USD",transactions_table8[[#This Row],[sales_amount]]*83,transactions_table8[[#This Row],[sales_amount]])</f>
        <v>12250</v>
      </c>
    </row>
    <row r="759" spans="1:13" x14ac:dyDescent="0.3">
      <c r="A759" t="s">
        <v>192</v>
      </c>
      <c r="B759" t="s">
        <v>49</v>
      </c>
      <c r="C759" t="s">
        <v>138</v>
      </c>
      <c r="D759" s="1">
        <v>43272</v>
      </c>
      <c r="E759">
        <v>1</v>
      </c>
      <c r="F759">
        <v>1440</v>
      </c>
      <c r="G759" t="s">
        <v>462</v>
      </c>
      <c r="H759" t="str">
        <f>VLOOKUP(A759, product_table!$A:$C, 3, 0)</f>
        <v>Own Brand</v>
      </c>
      <c r="I759" t="str">
        <f>VLOOKUP(transactions_table8[[#This Row],[market_code]],markets_table!$A:$B,2,0)</f>
        <v>Mumbai</v>
      </c>
      <c r="J759" t="str">
        <f>VLOOKUP(transactions_table8[[#This Row],[market_code]],markets_table!$A:$C,3,0)</f>
        <v>Central</v>
      </c>
      <c r="K759" t="str">
        <f>VLOOKUP(transactions_table8[[#This Row],[customer_code]],customer_table!$A:$B,2,0)</f>
        <v>Sound</v>
      </c>
      <c r="L759" t="str">
        <f>VLOOKUP(transactions_table8[[#This Row],[customer_code]],customer_table!$A:$C,3,0)</f>
        <v>E-Commerce</v>
      </c>
      <c r="M759">
        <f>IF(TRIM(CLEAN(transactions_table8[[#This Row],[currency]]))="USD",transactions_table8[[#This Row],[sales_amount]]*83,transactions_table8[[#This Row],[sales_amount]])</f>
        <v>1440</v>
      </c>
    </row>
    <row r="760" spans="1:13" x14ac:dyDescent="0.3">
      <c r="A760" t="s">
        <v>192</v>
      </c>
      <c r="B760" t="s">
        <v>24</v>
      </c>
      <c r="C760" t="s">
        <v>141</v>
      </c>
      <c r="D760" s="1">
        <v>43276</v>
      </c>
      <c r="E760">
        <v>6</v>
      </c>
      <c r="F760">
        <v>21199</v>
      </c>
      <c r="G760" t="s">
        <v>462</v>
      </c>
      <c r="H760" t="str">
        <f>VLOOKUP(A760, product_table!$A:$C, 3, 0)</f>
        <v>Own Brand</v>
      </c>
      <c r="I760" t="str">
        <f>VLOOKUP(transactions_table8[[#This Row],[market_code]],markets_table!$A:$B,2,0)</f>
        <v>Ahmedabad</v>
      </c>
      <c r="J760" t="str">
        <f>VLOOKUP(transactions_table8[[#This Row],[market_code]],markets_table!$A:$C,3,0)</f>
        <v>North</v>
      </c>
      <c r="K760" t="str">
        <f>VLOOKUP(transactions_table8[[#This Row],[customer_code]],customer_table!$A:$B,2,0)</f>
        <v>Flawless Stores</v>
      </c>
      <c r="L760" t="str">
        <f>VLOOKUP(transactions_table8[[#This Row],[customer_code]],customer_table!$A:$C,3,0)</f>
        <v>Brick &amp; Mortar</v>
      </c>
      <c r="M760">
        <f>IF(TRIM(CLEAN(transactions_table8[[#This Row],[currency]]))="USD",transactions_table8[[#This Row],[sales_amount]]*83,transactions_table8[[#This Row],[sales_amount]])</f>
        <v>21199</v>
      </c>
    </row>
    <row r="761" spans="1:13" x14ac:dyDescent="0.3">
      <c r="A761" t="s">
        <v>192</v>
      </c>
      <c r="B761" t="s">
        <v>47</v>
      </c>
      <c r="C761" t="s">
        <v>138</v>
      </c>
      <c r="D761" s="1">
        <v>43276</v>
      </c>
      <c r="E761">
        <v>1</v>
      </c>
      <c r="F761">
        <v>3065</v>
      </c>
      <c r="G761" t="s">
        <v>462</v>
      </c>
      <c r="H761" t="str">
        <f>VLOOKUP(A761, product_table!$A:$C, 3, 0)</f>
        <v>Own Brand</v>
      </c>
      <c r="I761" t="str">
        <f>VLOOKUP(transactions_table8[[#This Row],[market_code]],markets_table!$A:$B,2,0)</f>
        <v>Mumbai</v>
      </c>
      <c r="J761" t="str">
        <f>VLOOKUP(transactions_table8[[#This Row],[market_code]],markets_table!$A:$C,3,0)</f>
        <v>Central</v>
      </c>
      <c r="K761" t="str">
        <f>VLOOKUP(transactions_table8[[#This Row],[customer_code]],customer_table!$A:$B,2,0)</f>
        <v>Electricalslytical</v>
      </c>
      <c r="L761" t="str">
        <f>VLOOKUP(transactions_table8[[#This Row],[customer_code]],customer_table!$A:$C,3,0)</f>
        <v>E-Commerce</v>
      </c>
      <c r="M761">
        <f>IF(TRIM(CLEAN(transactions_table8[[#This Row],[currency]]))="USD",transactions_table8[[#This Row],[sales_amount]]*83,transactions_table8[[#This Row],[sales_amount]])</f>
        <v>3065</v>
      </c>
    </row>
    <row r="762" spans="1:13" x14ac:dyDescent="0.3">
      <c r="A762" t="s">
        <v>192</v>
      </c>
      <c r="B762" t="s">
        <v>47</v>
      </c>
      <c r="C762" t="s">
        <v>138</v>
      </c>
      <c r="D762" s="1">
        <v>43278</v>
      </c>
      <c r="E762">
        <v>3</v>
      </c>
      <c r="F762">
        <v>6125</v>
      </c>
      <c r="G762" t="s">
        <v>462</v>
      </c>
      <c r="H762" t="str">
        <f>VLOOKUP(A762, product_table!$A:$C, 3, 0)</f>
        <v>Own Brand</v>
      </c>
      <c r="I762" t="str">
        <f>VLOOKUP(transactions_table8[[#This Row],[market_code]],markets_table!$A:$B,2,0)</f>
        <v>Mumbai</v>
      </c>
      <c r="J762" t="str">
        <f>VLOOKUP(transactions_table8[[#This Row],[market_code]],markets_table!$A:$C,3,0)</f>
        <v>Central</v>
      </c>
      <c r="K762" t="str">
        <f>VLOOKUP(transactions_table8[[#This Row],[customer_code]],customer_table!$A:$B,2,0)</f>
        <v>Electricalslytical</v>
      </c>
      <c r="L762" t="str">
        <f>VLOOKUP(transactions_table8[[#This Row],[customer_code]],customer_table!$A:$C,3,0)</f>
        <v>E-Commerce</v>
      </c>
      <c r="M762">
        <f>IF(TRIM(CLEAN(transactions_table8[[#This Row],[currency]]))="USD",transactions_table8[[#This Row],[sales_amount]]*83,transactions_table8[[#This Row],[sales_amount]])</f>
        <v>6125</v>
      </c>
    </row>
    <row r="763" spans="1:13" x14ac:dyDescent="0.3">
      <c r="A763" t="s">
        <v>192</v>
      </c>
      <c r="B763" t="s">
        <v>47</v>
      </c>
      <c r="C763" t="s">
        <v>138</v>
      </c>
      <c r="D763" s="1">
        <v>43279</v>
      </c>
      <c r="E763">
        <v>3</v>
      </c>
      <c r="F763">
        <v>6125</v>
      </c>
      <c r="G763" t="s">
        <v>462</v>
      </c>
      <c r="H763" t="str">
        <f>VLOOKUP(A763, product_table!$A:$C, 3, 0)</f>
        <v>Own Brand</v>
      </c>
      <c r="I763" t="str">
        <f>VLOOKUP(transactions_table8[[#This Row],[market_code]],markets_table!$A:$B,2,0)</f>
        <v>Mumbai</v>
      </c>
      <c r="J763" t="str">
        <f>VLOOKUP(transactions_table8[[#This Row],[market_code]],markets_table!$A:$C,3,0)</f>
        <v>Central</v>
      </c>
      <c r="K763" t="str">
        <f>VLOOKUP(transactions_table8[[#This Row],[customer_code]],customer_table!$A:$B,2,0)</f>
        <v>Electricalslytical</v>
      </c>
      <c r="L763" t="str">
        <f>VLOOKUP(transactions_table8[[#This Row],[customer_code]],customer_table!$A:$C,3,0)</f>
        <v>E-Commerce</v>
      </c>
      <c r="M763">
        <f>IF(TRIM(CLEAN(transactions_table8[[#This Row],[currency]]))="USD",transactions_table8[[#This Row],[sales_amount]]*83,transactions_table8[[#This Row],[sales_amount]])</f>
        <v>6125</v>
      </c>
    </row>
    <row r="764" spans="1:13" x14ac:dyDescent="0.3">
      <c r="A764" t="s">
        <v>192</v>
      </c>
      <c r="B764" t="s">
        <v>49</v>
      </c>
      <c r="C764" t="s">
        <v>138</v>
      </c>
      <c r="D764" s="1">
        <v>43279</v>
      </c>
      <c r="E764">
        <v>1</v>
      </c>
      <c r="F764">
        <v>361</v>
      </c>
      <c r="G764" t="s">
        <v>462</v>
      </c>
      <c r="H764" t="str">
        <f>VLOOKUP(A764, product_table!$A:$C, 3, 0)</f>
        <v>Own Brand</v>
      </c>
      <c r="I764" t="str">
        <f>VLOOKUP(transactions_table8[[#This Row],[market_code]],markets_table!$A:$B,2,0)</f>
        <v>Mumbai</v>
      </c>
      <c r="J764" t="str">
        <f>VLOOKUP(transactions_table8[[#This Row],[market_code]],markets_table!$A:$C,3,0)</f>
        <v>Central</v>
      </c>
      <c r="K764" t="str">
        <f>VLOOKUP(transactions_table8[[#This Row],[customer_code]],customer_table!$A:$B,2,0)</f>
        <v>Sound</v>
      </c>
      <c r="L764" t="str">
        <f>VLOOKUP(transactions_table8[[#This Row],[customer_code]],customer_table!$A:$C,3,0)</f>
        <v>E-Commerce</v>
      </c>
      <c r="M764">
        <f>IF(TRIM(CLEAN(transactions_table8[[#This Row],[currency]]))="USD",transactions_table8[[#This Row],[sales_amount]]*83,transactions_table8[[#This Row],[sales_amount]])</f>
        <v>361</v>
      </c>
    </row>
    <row r="765" spans="1:13" x14ac:dyDescent="0.3">
      <c r="A765" t="s">
        <v>192</v>
      </c>
      <c r="B765" t="s">
        <v>47</v>
      </c>
      <c r="C765" t="s">
        <v>138</v>
      </c>
      <c r="D765" s="1">
        <v>43280</v>
      </c>
      <c r="E765">
        <v>1</v>
      </c>
      <c r="F765">
        <v>3065</v>
      </c>
      <c r="G765" t="s">
        <v>462</v>
      </c>
      <c r="H765" t="str">
        <f>VLOOKUP(A765, product_table!$A:$C, 3, 0)</f>
        <v>Own Brand</v>
      </c>
      <c r="I765" t="str">
        <f>VLOOKUP(transactions_table8[[#This Row],[market_code]],markets_table!$A:$B,2,0)</f>
        <v>Mumbai</v>
      </c>
      <c r="J765" t="str">
        <f>VLOOKUP(transactions_table8[[#This Row],[market_code]],markets_table!$A:$C,3,0)</f>
        <v>Central</v>
      </c>
      <c r="K765" t="str">
        <f>VLOOKUP(transactions_table8[[#This Row],[customer_code]],customer_table!$A:$B,2,0)</f>
        <v>Electricalslytical</v>
      </c>
      <c r="L765" t="str">
        <f>VLOOKUP(transactions_table8[[#This Row],[customer_code]],customer_table!$A:$C,3,0)</f>
        <v>E-Commerce</v>
      </c>
      <c r="M765">
        <f>IF(TRIM(CLEAN(transactions_table8[[#This Row],[currency]]))="USD",transactions_table8[[#This Row],[sales_amount]]*83,transactions_table8[[#This Row],[sales_amount]])</f>
        <v>3065</v>
      </c>
    </row>
    <row r="766" spans="1:13" x14ac:dyDescent="0.3">
      <c r="A766" t="s">
        <v>192</v>
      </c>
      <c r="B766" t="s">
        <v>24</v>
      </c>
      <c r="C766" t="s">
        <v>141</v>
      </c>
      <c r="D766" s="1">
        <v>43283</v>
      </c>
      <c r="E766">
        <v>16</v>
      </c>
      <c r="F766">
        <v>55356</v>
      </c>
      <c r="G766" t="s">
        <v>462</v>
      </c>
      <c r="H766" t="str">
        <f>VLOOKUP(A766, product_table!$A:$C, 3, 0)</f>
        <v>Own Brand</v>
      </c>
      <c r="I766" t="str">
        <f>VLOOKUP(transactions_table8[[#This Row],[market_code]],markets_table!$A:$B,2,0)</f>
        <v>Ahmedabad</v>
      </c>
      <c r="J766" t="str">
        <f>VLOOKUP(transactions_table8[[#This Row],[market_code]],markets_table!$A:$C,3,0)</f>
        <v>North</v>
      </c>
      <c r="K766" t="str">
        <f>VLOOKUP(transactions_table8[[#This Row],[customer_code]],customer_table!$A:$B,2,0)</f>
        <v>Flawless Stores</v>
      </c>
      <c r="L766" t="str">
        <f>VLOOKUP(transactions_table8[[#This Row],[customer_code]],customer_table!$A:$C,3,0)</f>
        <v>Brick &amp; Mortar</v>
      </c>
      <c r="M766">
        <f>IF(TRIM(CLEAN(transactions_table8[[#This Row],[currency]]))="USD",transactions_table8[[#This Row],[sales_amount]]*83,transactions_table8[[#This Row],[sales_amount]])</f>
        <v>55356</v>
      </c>
    </row>
    <row r="767" spans="1:13" x14ac:dyDescent="0.3">
      <c r="A767" t="s">
        <v>192</v>
      </c>
      <c r="B767" t="s">
        <v>47</v>
      </c>
      <c r="C767" t="s">
        <v>138</v>
      </c>
      <c r="D767" s="1">
        <v>43283</v>
      </c>
      <c r="E767">
        <v>1</v>
      </c>
      <c r="F767">
        <v>3065</v>
      </c>
      <c r="G767" t="s">
        <v>462</v>
      </c>
      <c r="H767" t="str">
        <f>VLOOKUP(A767, product_table!$A:$C, 3, 0)</f>
        <v>Own Brand</v>
      </c>
      <c r="I767" t="str">
        <f>VLOOKUP(transactions_table8[[#This Row],[market_code]],markets_table!$A:$B,2,0)</f>
        <v>Mumbai</v>
      </c>
      <c r="J767" t="str">
        <f>VLOOKUP(transactions_table8[[#This Row],[market_code]],markets_table!$A:$C,3,0)</f>
        <v>Central</v>
      </c>
      <c r="K767" t="str">
        <f>VLOOKUP(transactions_table8[[#This Row],[customer_code]],customer_table!$A:$B,2,0)</f>
        <v>Electricalslytical</v>
      </c>
      <c r="L767" t="str">
        <f>VLOOKUP(transactions_table8[[#This Row],[customer_code]],customer_table!$A:$C,3,0)</f>
        <v>E-Commerce</v>
      </c>
      <c r="M767">
        <f>IF(TRIM(CLEAN(transactions_table8[[#This Row],[currency]]))="USD",transactions_table8[[#This Row],[sales_amount]]*83,transactions_table8[[#This Row],[sales_amount]])</f>
        <v>3065</v>
      </c>
    </row>
    <row r="768" spans="1:13" x14ac:dyDescent="0.3">
      <c r="A768" t="s">
        <v>192</v>
      </c>
      <c r="B768" t="s">
        <v>47</v>
      </c>
      <c r="C768" t="s">
        <v>138</v>
      </c>
      <c r="D768" s="1">
        <v>43286</v>
      </c>
      <c r="E768">
        <v>4</v>
      </c>
      <c r="F768">
        <v>9190</v>
      </c>
      <c r="G768" t="s">
        <v>462</v>
      </c>
      <c r="H768" t="str">
        <f>VLOOKUP(A768, product_table!$A:$C, 3, 0)</f>
        <v>Own Brand</v>
      </c>
      <c r="I768" t="str">
        <f>VLOOKUP(transactions_table8[[#This Row],[market_code]],markets_table!$A:$B,2,0)</f>
        <v>Mumbai</v>
      </c>
      <c r="J768" t="str">
        <f>VLOOKUP(transactions_table8[[#This Row],[market_code]],markets_table!$A:$C,3,0)</f>
        <v>Central</v>
      </c>
      <c r="K768" t="str">
        <f>VLOOKUP(transactions_table8[[#This Row],[customer_code]],customer_table!$A:$B,2,0)</f>
        <v>Electricalslytical</v>
      </c>
      <c r="L768" t="str">
        <f>VLOOKUP(transactions_table8[[#This Row],[customer_code]],customer_table!$A:$C,3,0)</f>
        <v>E-Commerce</v>
      </c>
      <c r="M768">
        <f>IF(TRIM(CLEAN(transactions_table8[[#This Row],[currency]]))="USD",transactions_table8[[#This Row],[sales_amount]]*83,transactions_table8[[#This Row],[sales_amount]])</f>
        <v>9190</v>
      </c>
    </row>
    <row r="769" spans="1:13" x14ac:dyDescent="0.3">
      <c r="A769" t="s">
        <v>192</v>
      </c>
      <c r="B769" t="s">
        <v>47</v>
      </c>
      <c r="C769" t="s">
        <v>138</v>
      </c>
      <c r="D769" s="1">
        <v>43287</v>
      </c>
      <c r="E769">
        <v>3</v>
      </c>
      <c r="F769">
        <v>6125</v>
      </c>
      <c r="G769" t="s">
        <v>462</v>
      </c>
      <c r="H769" t="str">
        <f>VLOOKUP(A769, product_table!$A:$C, 3, 0)</f>
        <v>Own Brand</v>
      </c>
      <c r="I769" t="str">
        <f>VLOOKUP(transactions_table8[[#This Row],[market_code]],markets_table!$A:$B,2,0)</f>
        <v>Mumbai</v>
      </c>
      <c r="J769" t="str">
        <f>VLOOKUP(transactions_table8[[#This Row],[market_code]],markets_table!$A:$C,3,0)</f>
        <v>Central</v>
      </c>
      <c r="K769" t="str">
        <f>VLOOKUP(transactions_table8[[#This Row],[customer_code]],customer_table!$A:$B,2,0)</f>
        <v>Electricalslytical</v>
      </c>
      <c r="L769" t="str">
        <f>VLOOKUP(transactions_table8[[#This Row],[customer_code]],customer_table!$A:$C,3,0)</f>
        <v>E-Commerce</v>
      </c>
      <c r="M769">
        <f>IF(TRIM(CLEAN(transactions_table8[[#This Row],[currency]]))="USD",transactions_table8[[#This Row],[sales_amount]]*83,transactions_table8[[#This Row],[sales_amount]])</f>
        <v>6125</v>
      </c>
    </row>
    <row r="770" spans="1:13" x14ac:dyDescent="0.3">
      <c r="A770" t="s">
        <v>192</v>
      </c>
      <c r="B770" t="s">
        <v>24</v>
      </c>
      <c r="C770" t="s">
        <v>141</v>
      </c>
      <c r="D770" s="1">
        <v>43290</v>
      </c>
      <c r="E770">
        <v>8</v>
      </c>
      <c r="F770">
        <v>29444</v>
      </c>
      <c r="G770" t="s">
        <v>462</v>
      </c>
      <c r="H770" t="str">
        <f>VLOOKUP(A770, product_table!$A:$C, 3, 0)</f>
        <v>Own Brand</v>
      </c>
      <c r="I770" t="str">
        <f>VLOOKUP(transactions_table8[[#This Row],[market_code]],markets_table!$A:$B,2,0)</f>
        <v>Ahmedabad</v>
      </c>
      <c r="J770" t="str">
        <f>VLOOKUP(transactions_table8[[#This Row],[market_code]],markets_table!$A:$C,3,0)</f>
        <v>North</v>
      </c>
      <c r="K770" t="str">
        <f>VLOOKUP(transactions_table8[[#This Row],[customer_code]],customer_table!$A:$B,2,0)</f>
        <v>Flawless Stores</v>
      </c>
      <c r="L770" t="str">
        <f>VLOOKUP(transactions_table8[[#This Row],[customer_code]],customer_table!$A:$C,3,0)</f>
        <v>Brick &amp; Mortar</v>
      </c>
      <c r="M770">
        <f>IF(TRIM(CLEAN(transactions_table8[[#This Row],[currency]]))="USD",transactions_table8[[#This Row],[sales_amount]]*83,transactions_table8[[#This Row],[sales_amount]])</f>
        <v>29444</v>
      </c>
    </row>
    <row r="771" spans="1:13" x14ac:dyDescent="0.3">
      <c r="A771" t="s">
        <v>192</v>
      </c>
      <c r="B771" t="s">
        <v>47</v>
      </c>
      <c r="C771" t="s">
        <v>138</v>
      </c>
      <c r="D771" s="1">
        <v>43290</v>
      </c>
      <c r="E771">
        <v>1</v>
      </c>
      <c r="F771">
        <v>3065</v>
      </c>
      <c r="G771" t="s">
        <v>462</v>
      </c>
      <c r="H771" t="str">
        <f>VLOOKUP(A771, product_table!$A:$C, 3, 0)</f>
        <v>Own Brand</v>
      </c>
      <c r="I771" t="str">
        <f>VLOOKUP(transactions_table8[[#This Row],[market_code]],markets_table!$A:$B,2,0)</f>
        <v>Mumbai</v>
      </c>
      <c r="J771" t="str">
        <f>VLOOKUP(transactions_table8[[#This Row],[market_code]],markets_table!$A:$C,3,0)</f>
        <v>Central</v>
      </c>
      <c r="K771" t="str">
        <f>VLOOKUP(transactions_table8[[#This Row],[customer_code]],customer_table!$A:$B,2,0)</f>
        <v>Electricalslytical</v>
      </c>
      <c r="L771" t="str">
        <f>VLOOKUP(transactions_table8[[#This Row],[customer_code]],customer_table!$A:$C,3,0)</f>
        <v>E-Commerce</v>
      </c>
      <c r="M771">
        <f>IF(TRIM(CLEAN(transactions_table8[[#This Row],[currency]]))="USD",transactions_table8[[#This Row],[sales_amount]]*83,transactions_table8[[#This Row],[sales_amount]])</f>
        <v>3065</v>
      </c>
    </row>
    <row r="772" spans="1:13" x14ac:dyDescent="0.3">
      <c r="A772" t="s">
        <v>192</v>
      </c>
      <c r="B772" t="s">
        <v>47</v>
      </c>
      <c r="C772" t="s">
        <v>138</v>
      </c>
      <c r="D772" s="1">
        <v>43291</v>
      </c>
      <c r="E772">
        <v>1</v>
      </c>
      <c r="F772">
        <v>3065</v>
      </c>
      <c r="G772" t="s">
        <v>462</v>
      </c>
      <c r="H772" t="str">
        <f>VLOOKUP(A772, product_table!$A:$C, 3, 0)</f>
        <v>Own Brand</v>
      </c>
      <c r="I772" t="str">
        <f>VLOOKUP(transactions_table8[[#This Row],[market_code]],markets_table!$A:$B,2,0)</f>
        <v>Mumbai</v>
      </c>
      <c r="J772" t="str">
        <f>VLOOKUP(transactions_table8[[#This Row],[market_code]],markets_table!$A:$C,3,0)</f>
        <v>Central</v>
      </c>
      <c r="K772" t="str">
        <f>VLOOKUP(transactions_table8[[#This Row],[customer_code]],customer_table!$A:$B,2,0)</f>
        <v>Electricalslytical</v>
      </c>
      <c r="L772" t="str">
        <f>VLOOKUP(transactions_table8[[#This Row],[customer_code]],customer_table!$A:$C,3,0)</f>
        <v>E-Commerce</v>
      </c>
      <c r="M772">
        <f>IF(TRIM(CLEAN(transactions_table8[[#This Row],[currency]]))="USD",transactions_table8[[#This Row],[sales_amount]]*83,transactions_table8[[#This Row],[sales_amount]])</f>
        <v>3065</v>
      </c>
    </row>
    <row r="773" spans="1:13" x14ac:dyDescent="0.3">
      <c r="A773" t="s">
        <v>192</v>
      </c>
      <c r="B773" t="s">
        <v>51</v>
      </c>
      <c r="C773" t="s">
        <v>138</v>
      </c>
      <c r="D773" s="1">
        <v>43291</v>
      </c>
      <c r="E773">
        <v>1</v>
      </c>
      <c r="F773">
        <v>338</v>
      </c>
      <c r="G773" t="s">
        <v>462</v>
      </c>
      <c r="H773" t="str">
        <f>VLOOKUP(A773, product_table!$A:$C, 3, 0)</f>
        <v>Own Brand</v>
      </c>
      <c r="I773" t="str">
        <f>VLOOKUP(transactions_table8[[#This Row],[market_code]],markets_table!$A:$B,2,0)</f>
        <v>Mumbai</v>
      </c>
      <c r="J773" t="str">
        <f>VLOOKUP(transactions_table8[[#This Row],[market_code]],markets_table!$A:$C,3,0)</f>
        <v>Central</v>
      </c>
      <c r="K773" t="str">
        <f>VLOOKUP(transactions_table8[[#This Row],[customer_code]],customer_table!$A:$B,2,0)</f>
        <v>Power</v>
      </c>
      <c r="L773" t="str">
        <f>VLOOKUP(transactions_table8[[#This Row],[customer_code]],customer_table!$A:$C,3,0)</f>
        <v>E-Commerce</v>
      </c>
      <c r="M773">
        <f>IF(TRIM(CLEAN(transactions_table8[[#This Row],[currency]]))="USD",transactions_table8[[#This Row],[sales_amount]]*83,transactions_table8[[#This Row],[sales_amount]])</f>
        <v>338</v>
      </c>
    </row>
    <row r="774" spans="1:13" x14ac:dyDescent="0.3">
      <c r="A774" t="s">
        <v>192</v>
      </c>
      <c r="B774" t="s">
        <v>49</v>
      </c>
      <c r="C774" t="s">
        <v>138</v>
      </c>
      <c r="D774" s="1">
        <v>43291</v>
      </c>
      <c r="E774">
        <v>1</v>
      </c>
      <c r="F774">
        <v>1440</v>
      </c>
      <c r="G774" t="s">
        <v>462</v>
      </c>
      <c r="H774" t="str">
        <f>VLOOKUP(A774, product_table!$A:$C, 3, 0)</f>
        <v>Own Brand</v>
      </c>
      <c r="I774" t="str">
        <f>VLOOKUP(transactions_table8[[#This Row],[market_code]],markets_table!$A:$B,2,0)</f>
        <v>Mumbai</v>
      </c>
      <c r="J774" t="str">
        <f>VLOOKUP(transactions_table8[[#This Row],[market_code]],markets_table!$A:$C,3,0)</f>
        <v>Central</v>
      </c>
      <c r="K774" t="str">
        <f>VLOOKUP(transactions_table8[[#This Row],[customer_code]],customer_table!$A:$B,2,0)</f>
        <v>Sound</v>
      </c>
      <c r="L774" t="str">
        <f>VLOOKUP(transactions_table8[[#This Row],[customer_code]],customer_table!$A:$C,3,0)</f>
        <v>E-Commerce</v>
      </c>
      <c r="M774">
        <f>IF(TRIM(CLEAN(transactions_table8[[#This Row],[currency]]))="USD",transactions_table8[[#This Row],[sales_amount]]*83,transactions_table8[[#This Row],[sales_amount]])</f>
        <v>1440</v>
      </c>
    </row>
    <row r="775" spans="1:13" x14ac:dyDescent="0.3">
      <c r="A775" t="s">
        <v>192</v>
      </c>
      <c r="B775" t="s">
        <v>47</v>
      </c>
      <c r="C775" t="s">
        <v>138</v>
      </c>
      <c r="D775" s="1">
        <v>43292</v>
      </c>
      <c r="E775">
        <v>1</v>
      </c>
      <c r="F775">
        <v>3065</v>
      </c>
      <c r="G775" t="s">
        <v>462</v>
      </c>
      <c r="H775" t="str">
        <f>VLOOKUP(A775, product_table!$A:$C, 3, 0)</f>
        <v>Own Brand</v>
      </c>
      <c r="I775" t="str">
        <f>VLOOKUP(transactions_table8[[#This Row],[market_code]],markets_table!$A:$B,2,0)</f>
        <v>Mumbai</v>
      </c>
      <c r="J775" t="str">
        <f>VLOOKUP(transactions_table8[[#This Row],[market_code]],markets_table!$A:$C,3,0)</f>
        <v>Central</v>
      </c>
      <c r="K775" t="str">
        <f>VLOOKUP(transactions_table8[[#This Row],[customer_code]],customer_table!$A:$B,2,0)</f>
        <v>Electricalslytical</v>
      </c>
      <c r="L775" t="str">
        <f>VLOOKUP(transactions_table8[[#This Row],[customer_code]],customer_table!$A:$C,3,0)</f>
        <v>E-Commerce</v>
      </c>
      <c r="M775">
        <f>IF(TRIM(CLEAN(transactions_table8[[#This Row],[currency]]))="USD",transactions_table8[[#This Row],[sales_amount]]*83,transactions_table8[[#This Row],[sales_amount]])</f>
        <v>3065</v>
      </c>
    </row>
    <row r="776" spans="1:13" x14ac:dyDescent="0.3">
      <c r="A776" t="s">
        <v>192</v>
      </c>
      <c r="B776" t="s">
        <v>49</v>
      </c>
      <c r="C776" t="s">
        <v>138</v>
      </c>
      <c r="D776" s="1">
        <v>43293</v>
      </c>
      <c r="E776">
        <v>1</v>
      </c>
      <c r="F776">
        <v>2162</v>
      </c>
      <c r="G776" t="s">
        <v>462</v>
      </c>
      <c r="H776" t="str">
        <f>VLOOKUP(A776, product_table!$A:$C, 3, 0)</f>
        <v>Own Brand</v>
      </c>
      <c r="I776" t="str">
        <f>VLOOKUP(transactions_table8[[#This Row],[market_code]],markets_table!$A:$B,2,0)</f>
        <v>Mumbai</v>
      </c>
      <c r="J776" t="str">
        <f>VLOOKUP(transactions_table8[[#This Row],[market_code]],markets_table!$A:$C,3,0)</f>
        <v>Central</v>
      </c>
      <c r="K776" t="str">
        <f>VLOOKUP(transactions_table8[[#This Row],[customer_code]],customer_table!$A:$B,2,0)</f>
        <v>Sound</v>
      </c>
      <c r="L776" t="str">
        <f>VLOOKUP(transactions_table8[[#This Row],[customer_code]],customer_table!$A:$C,3,0)</f>
        <v>E-Commerce</v>
      </c>
      <c r="M776">
        <f>IF(TRIM(CLEAN(transactions_table8[[#This Row],[currency]]))="USD",transactions_table8[[#This Row],[sales_amount]]*83,transactions_table8[[#This Row],[sales_amount]])</f>
        <v>2162</v>
      </c>
    </row>
    <row r="777" spans="1:13" x14ac:dyDescent="0.3">
      <c r="A777" t="s">
        <v>192</v>
      </c>
      <c r="B777" t="s">
        <v>47</v>
      </c>
      <c r="C777" t="s">
        <v>138</v>
      </c>
      <c r="D777" s="1">
        <v>43294</v>
      </c>
      <c r="E777">
        <v>1</v>
      </c>
      <c r="F777">
        <v>3065</v>
      </c>
      <c r="G777" t="s">
        <v>462</v>
      </c>
      <c r="H777" t="str">
        <f>VLOOKUP(A777, product_table!$A:$C, 3, 0)</f>
        <v>Own Brand</v>
      </c>
      <c r="I777" t="str">
        <f>VLOOKUP(transactions_table8[[#This Row],[market_code]],markets_table!$A:$B,2,0)</f>
        <v>Mumbai</v>
      </c>
      <c r="J777" t="str">
        <f>VLOOKUP(transactions_table8[[#This Row],[market_code]],markets_table!$A:$C,3,0)</f>
        <v>Central</v>
      </c>
      <c r="K777" t="str">
        <f>VLOOKUP(transactions_table8[[#This Row],[customer_code]],customer_table!$A:$B,2,0)</f>
        <v>Electricalslytical</v>
      </c>
      <c r="L777" t="str">
        <f>VLOOKUP(transactions_table8[[#This Row],[customer_code]],customer_table!$A:$C,3,0)</f>
        <v>E-Commerce</v>
      </c>
      <c r="M777">
        <f>IF(TRIM(CLEAN(transactions_table8[[#This Row],[currency]]))="USD",transactions_table8[[#This Row],[sales_amount]]*83,transactions_table8[[#This Row],[sales_amount]])</f>
        <v>3065</v>
      </c>
    </row>
    <row r="778" spans="1:13" x14ac:dyDescent="0.3">
      <c r="A778" t="s">
        <v>192</v>
      </c>
      <c r="B778" t="s">
        <v>47</v>
      </c>
      <c r="C778" t="s">
        <v>138</v>
      </c>
      <c r="D778" s="1">
        <v>43297</v>
      </c>
      <c r="E778">
        <v>1</v>
      </c>
      <c r="F778">
        <v>3065</v>
      </c>
      <c r="G778" t="s">
        <v>462</v>
      </c>
      <c r="H778" t="str">
        <f>VLOOKUP(A778, product_table!$A:$C, 3, 0)</f>
        <v>Own Brand</v>
      </c>
      <c r="I778" t="str">
        <f>VLOOKUP(transactions_table8[[#This Row],[market_code]],markets_table!$A:$B,2,0)</f>
        <v>Mumbai</v>
      </c>
      <c r="J778" t="str">
        <f>VLOOKUP(transactions_table8[[#This Row],[market_code]],markets_table!$A:$C,3,0)</f>
        <v>Central</v>
      </c>
      <c r="K778" t="str">
        <f>VLOOKUP(transactions_table8[[#This Row],[customer_code]],customer_table!$A:$B,2,0)</f>
        <v>Electricalslytical</v>
      </c>
      <c r="L778" t="str">
        <f>VLOOKUP(transactions_table8[[#This Row],[customer_code]],customer_table!$A:$C,3,0)</f>
        <v>E-Commerce</v>
      </c>
      <c r="M778">
        <f>IF(TRIM(CLEAN(transactions_table8[[#This Row],[currency]]))="USD",transactions_table8[[#This Row],[sales_amount]]*83,transactions_table8[[#This Row],[sales_amount]])</f>
        <v>3065</v>
      </c>
    </row>
    <row r="779" spans="1:13" x14ac:dyDescent="0.3">
      <c r="A779" t="s">
        <v>192</v>
      </c>
      <c r="B779" t="s">
        <v>24</v>
      </c>
      <c r="C779" t="s">
        <v>141</v>
      </c>
      <c r="D779" s="1">
        <v>43298</v>
      </c>
      <c r="E779">
        <v>2</v>
      </c>
      <c r="F779">
        <v>7065</v>
      </c>
      <c r="G779" t="s">
        <v>462</v>
      </c>
      <c r="H779" t="str">
        <f>VLOOKUP(A779, product_table!$A:$C, 3, 0)</f>
        <v>Own Brand</v>
      </c>
      <c r="I779" t="str">
        <f>VLOOKUP(transactions_table8[[#This Row],[market_code]],markets_table!$A:$B,2,0)</f>
        <v>Ahmedabad</v>
      </c>
      <c r="J779" t="str">
        <f>VLOOKUP(transactions_table8[[#This Row],[market_code]],markets_table!$A:$C,3,0)</f>
        <v>North</v>
      </c>
      <c r="K779" t="str">
        <f>VLOOKUP(transactions_table8[[#This Row],[customer_code]],customer_table!$A:$B,2,0)</f>
        <v>Flawless Stores</v>
      </c>
      <c r="L779" t="str">
        <f>VLOOKUP(transactions_table8[[#This Row],[customer_code]],customer_table!$A:$C,3,0)</f>
        <v>Brick &amp; Mortar</v>
      </c>
      <c r="M779">
        <f>IF(TRIM(CLEAN(transactions_table8[[#This Row],[currency]]))="USD",transactions_table8[[#This Row],[sales_amount]]*83,transactions_table8[[#This Row],[sales_amount]])</f>
        <v>7065</v>
      </c>
    </row>
    <row r="780" spans="1:13" x14ac:dyDescent="0.3">
      <c r="A780" t="s">
        <v>192</v>
      </c>
      <c r="B780" t="s">
        <v>47</v>
      </c>
      <c r="C780" t="s">
        <v>138</v>
      </c>
      <c r="D780" s="1">
        <v>43298</v>
      </c>
      <c r="E780">
        <v>5</v>
      </c>
      <c r="F780">
        <v>12250</v>
      </c>
      <c r="G780" t="s">
        <v>462</v>
      </c>
      <c r="H780" t="str">
        <f>VLOOKUP(A780, product_table!$A:$C, 3, 0)</f>
        <v>Own Brand</v>
      </c>
      <c r="I780" t="str">
        <f>VLOOKUP(transactions_table8[[#This Row],[market_code]],markets_table!$A:$B,2,0)</f>
        <v>Mumbai</v>
      </c>
      <c r="J780" t="str">
        <f>VLOOKUP(transactions_table8[[#This Row],[market_code]],markets_table!$A:$C,3,0)</f>
        <v>Central</v>
      </c>
      <c r="K780" t="str">
        <f>VLOOKUP(transactions_table8[[#This Row],[customer_code]],customer_table!$A:$B,2,0)</f>
        <v>Electricalslytical</v>
      </c>
      <c r="L780" t="str">
        <f>VLOOKUP(transactions_table8[[#This Row],[customer_code]],customer_table!$A:$C,3,0)</f>
        <v>E-Commerce</v>
      </c>
      <c r="M780">
        <f>IF(TRIM(CLEAN(transactions_table8[[#This Row],[currency]]))="USD",transactions_table8[[#This Row],[sales_amount]]*83,transactions_table8[[#This Row],[sales_amount]])</f>
        <v>12250</v>
      </c>
    </row>
    <row r="781" spans="1:13" x14ac:dyDescent="0.3">
      <c r="A781" t="s">
        <v>192</v>
      </c>
      <c r="B781" t="s">
        <v>47</v>
      </c>
      <c r="C781" t="s">
        <v>138</v>
      </c>
      <c r="D781" s="1">
        <v>43300</v>
      </c>
      <c r="E781">
        <v>3</v>
      </c>
      <c r="F781">
        <v>6125</v>
      </c>
      <c r="G781" t="s">
        <v>462</v>
      </c>
      <c r="H781" t="str">
        <f>VLOOKUP(A781, product_table!$A:$C, 3, 0)</f>
        <v>Own Brand</v>
      </c>
      <c r="I781" t="str">
        <f>VLOOKUP(transactions_table8[[#This Row],[market_code]],markets_table!$A:$B,2,0)</f>
        <v>Mumbai</v>
      </c>
      <c r="J781" t="str">
        <f>VLOOKUP(transactions_table8[[#This Row],[market_code]],markets_table!$A:$C,3,0)</f>
        <v>Central</v>
      </c>
      <c r="K781" t="str">
        <f>VLOOKUP(transactions_table8[[#This Row],[customer_code]],customer_table!$A:$B,2,0)</f>
        <v>Electricalslytical</v>
      </c>
      <c r="L781" t="str">
        <f>VLOOKUP(transactions_table8[[#This Row],[customer_code]],customer_table!$A:$C,3,0)</f>
        <v>E-Commerce</v>
      </c>
      <c r="M781">
        <f>IF(TRIM(CLEAN(transactions_table8[[#This Row],[currency]]))="USD",transactions_table8[[#This Row],[sales_amount]]*83,transactions_table8[[#This Row],[sales_amount]])</f>
        <v>6125</v>
      </c>
    </row>
    <row r="782" spans="1:13" x14ac:dyDescent="0.3">
      <c r="A782" t="s">
        <v>192</v>
      </c>
      <c r="B782" t="s">
        <v>47</v>
      </c>
      <c r="C782" t="s">
        <v>138</v>
      </c>
      <c r="D782" s="1">
        <v>43300</v>
      </c>
      <c r="E782">
        <v>13</v>
      </c>
      <c r="F782">
        <v>28269</v>
      </c>
      <c r="G782" t="s">
        <v>462</v>
      </c>
      <c r="H782" t="str">
        <f>VLOOKUP(A782, product_table!$A:$C, 3, 0)</f>
        <v>Own Brand</v>
      </c>
      <c r="I782" t="str">
        <f>VLOOKUP(transactions_table8[[#This Row],[market_code]],markets_table!$A:$B,2,0)</f>
        <v>Mumbai</v>
      </c>
      <c r="J782" t="str">
        <f>VLOOKUP(transactions_table8[[#This Row],[market_code]],markets_table!$A:$C,3,0)</f>
        <v>Central</v>
      </c>
      <c r="K782" t="str">
        <f>VLOOKUP(transactions_table8[[#This Row],[customer_code]],customer_table!$A:$B,2,0)</f>
        <v>Electricalslytical</v>
      </c>
      <c r="L782" t="str">
        <f>VLOOKUP(transactions_table8[[#This Row],[customer_code]],customer_table!$A:$C,3,0)</f>
        <v>E-Commerce</v>
      </c>
      <c r="M782">
        <f>IF(TRIM(CLEAN(transactions_table8[[#This Row],[currency]]))="USD",transactions_table8[[#This Row],[sales_amount]]*83,transactions_table8[[#This Row],[sales_amount]])</f>
        <v>28269</v>
      </c>
    </row>
    <row r="783" spans="1:13" x14ac:dyDescent="0.3">
      <c r="A783" t="s">
        <v>192</v>
      </c>
      <c r="B783" t="s">
        <v>49</v>
      </c>
      <c r="C783" t="s">
        <v>138</v>
      </c>
      <c r="D783" s="1">
        <v>43301</v>
      </c>
      <c r="E783">
        <v>1</v>
      </c>
      <c r="F783">
        <v>1440</v>
      </c>
      <c r="G783" t="s">
        <v>462</v>
      </c>
      <c r="H783" t="str">
        <f>VLOOKUP(A783, product_table!$A:$C, 3, 0)</f>
        <v>Own Brand</v>
      </c>
      <c r="I783" t="str">
        <f>VLOOKUP(transactions_table8[[#This Row],[market_code]],markets_table!$A:$B,2,0)</f>
        <v>Mumbai</v>
      </c>
      <c r="J783" t="str">
        <f>VLOOKUP(transactions_table8[[#This Row],[market_code]],markets_table!$A:$C,3,0)</f>
        <v>Central</v>
      </c>
      <c r="K783" t="str">
        <f>VLOOKUP(transactions_table8[[#This Row],[customer_code]],customer_table!$A:$B,2,0)</f>
        <v>Sound</v>
      </c>
      <c r="L783" t="str">
        <f>VLOOKUP(transactions_table8[[#This Row],[customer_code]],customer_table!$A:$C,3,0)</f>
        <v>E-Commerce</v>
      </c>
      <c r="M783">
        <f>IF(TRIM(CLEAN(transactions_table8[[#This Row],[currency]]))="USD",transactions_table8[[#This Row],[sales_amount]]*83,transactions_table8[[#This Row],[sales_amount]])</f>
        <v>1440</v>
      </c>
    </row>
    <row r="784" spans="1:13" x14ac:dyDescent="0.3">
      <c r="A784" t="s">
        <v>192</v>
      </c>
      <c r="B784" t="s">
        <v>47</v>
      </c>
      <c r="C784" t="s">
        <v>138</v>
      </c>
      <c r="D784" s="1">
        <v>43306</v>
      </c>
      <c r="E784">
        <v>3</v>
      </c>
      <c r="F784">
        <v>6125</v>
      </c>
      <c r="G784" t="s">
        <v>462</v>
      </c>
      <c r="H784" t="str">
        <f>VLOOKUP(A784, product_table!$A:$C, 3, 0)</f>
        <v>Own Brand</v>
      </c>
      <c r="I784" t="str">
        <f>VLOOKUP(transactions_table8[[#This Row],[market_code]],markets_table!$A:$B,2,0)</f>
        <v>Mumbai</v>
      </c>
      <c r="J784" t="str">
        <f>VLOOKUP(transactions_table8[[#This Row],[market_code]],markets_table!$A:$C,3,0)</f>
        <v>Central</v>
      </c>
      <c r="K784" t="str">
        <f>VLOOKUP(transactions_table8[[#This Row],[customer_code]],customer_table!$A:$B,2,0)</f>
        <v>Electricalslytical</v>
      </c>
      <c r="L784" t="str">
        <f>VLOOKUP(transactions_table8[[#This Row],[customer_code]],customer_table!$A:$C,3,0)</f>
        <v>E-Commerce</v>
      </c>
      <c r="M784">
        <f>IF(TRIM(CLEAN(transactions_table8[[#This Row],[currency]]))="USD",transactions_table8[[#This Row],[sales_amount]]*83,transactions_table8[[#This Row],[sales_amount]])</f>
        <v>6125</v>
      </c>
    </row>
    <row r="785" spans="1:13" x14ac:dyDescent="0.3">
      <c r="A785" t="s">
        <v>192</v>
      </c>
      <c r="B785" t="s">
        <v>47</v>
      </c>
      <c r="C785" t="s">
        <v>138</v>
      </c>
      <c r="D785" s="1">
        <v>43307</v>
      </c>
      <c r="E785">
        <v>1</v>
      </c>
      <c r="F785">
        <v>3065</v>
      </c>
      <c r="G785" t="s">
        <v>462</v>
      </c>
      <c r="H785" t="str">
        <f>VLOOKUP(A785, product_table!$A:$C, 3, 0)</f>
        <v>Own Brand</v>
      </c>
      <c r="I785" t="str">
        <f>VLOOKUP(transactions_table8[[#This Row],[market_code]],markets_table!$A:$B,2,0)</f>
        <v>Mumbai</v>
      </c>
      <c r="J785" t="str">
        <f>VLOOKUP(transactions_table8[[#This Row],[market_code]],markets_table!$A:$C,3,0)</f>
        <v>Central</v>
      </c>
      <c r="K785" t="str">
        <f>VLOOKUP(transactions_table8[[#This Row],[customer_code]],customer_table!$A:$B,2,0)</f>
        <v>Electricalslytical</v>
      </c>
      <c r="L785" t="str">
        <f>VLOOKUP(transactions_table8[[#This Row],[customer_code]],customer_table!$A:$C,3,0)</f>
        <v>E-Commerce</v>
      </c>
      <c r="M785">
        <f>IF(TRIM(CLEAN(transactions_table8[[#This Row],[currency]]))="USD",transactions_table8[[#This Row],[sales_amount]]*83,transactions_table8[[#This Row],[sales_amount]])</f>
        <v>3065</v>
      </c>
    </row>
    <row r="786" spans="1:13" x14ac:dyDescent="0.3">
      <c r="A786" t="s">
        <v>192</v>
      </c>
      <c r="B786" t="s">
        <v>47</v>
      </c>
      <c r="C786" t="s">
        <v>138</v>
      </c>
      <c r="D786" s="1">
        <v>43308</v>
      </c>
      <c r="E786">
        <v>1</v>
      </c>
      <c r="F786">
        <v>3065</v>
      </c>
      <c r="G786" t="s">
        <v>462</v>
      </c>
      <c r="H786" t="str">
        <f>VLOOKUP(A786, product_table!$A:$C, 3, 0)</f>
        <v>Own Brand</v>
      </c>
      <c r="I786" t="str">
        <f>VLOOKUP(transactions_table8[[#This Row],[market_code]],markets_table!$A:$B,2,0)</f>
        <v>Mumbai</v>
      </c>
      <c r="J786" t="str">
        <f>VLOOKUP(transactions_table8[[#This Row],[market_code]],markets_table!$A:$C,3,0)</f>
        <v>Central</v>
      </c>
      <c r="K786" t="str">
        <f>VLOOKUP(transactions_table8[[#This Row],[customer_code]],customer_table!$A:$B,2,0)</f>
        <v>Electricalslytical</v>
      </c>
      <c r="L786" t="str">
        <f>VLOOKUP(transactions_table8[[#This Row],[customer_code]],customer_table!$A:$C,3,0)</f>
        <v>E-Commerce</v>
      </c>
      <c r="M786">
        <f>IF(TRIM(CLEAN(transactions_table8[[#This Row],[currency]]))="USD",transactions_table8[[#This Row],[sales_amount]]*83,transactions_table8[[#This Row],[sales_amount]])</f>
        <v>3065</v>
      </c>
    </row>
    <row r="787" spans="1:13" x14ac:dyDescent="0.3">
      <c r="A787" t="s">
        <v>192</v>
      </c>
      <c r="B787" t="s">
        <v>47</v>
      </c>
      <c r="C787" t="s">
        <v>138</v>
      </c>
      <c r="D787" s="1">
        <v>43311</v>
      </c>
      <c r="E787">
        <v>1</v>
      </c>
      <c r="F787">
        <v>3065</v>
      </c>
      <c r="G787" t="s">
        <v>462</v>
      </c>
      <c r="H787" t="str">
        <f>VLOOKUP(A787, product_table!$A:$C, 3, 0)</f>
        <v>Own Brand</v>
      </c>
      <c r="I787" t="str">
        <f>VLOOKUP(transactions_table8[[#This Row],[market_code]],markets_table!$A:$B,2,0)</f>
        <v>Mumbai</v>
      </c>
      <c r="J787" t="str">
        <f>VLOOKUP(transactions_table8[[#This Row],[market_code]],markets_table!$A:$C,3,0)</f>
        <v>Central</v>
      </c>
      <c r="K787" t="str">
        <f>VLOOKUP(transactions_table8[[#This Row],[customer_code]],customer_table!$A:$B,2,0)</f>
        <v>Electricalslytical</v>
      </c>
      <c r="L787" t="str">
        <f>VLOOKUP(transactions_table8[[#This Row],[customer_code]],customer_table!$A:$C,3,0)</f>
        <v>E-Commerce</v>
      </c>
      <c r="M787">
        <f>IF(TRIM(CLEAN(transactions_table8[[#This Row],[currency]]))="USD",transactions_table8[[#This Row],[sales_amount]]*83,transactions_table8[[#This Row],[sales_amount]])</f>
        <v>3065</v>
      </c>
    </row>
    <row r="788" spans="1:13" x14ac:dyDescent="0.3">
      <c r="A788" t="s">
        <v>192</v>
      </c>
      <c r="B788" t="s">
        <v>49</v>
      </c>
      <c r="C788" t="s">
        <v>138</v>
      </c>
      <c r="D788" s="1">
        <v>43311</v>
      </c>
      <c r="E788">
        <v>1</v>
      </c>
      <c r="F788">
        <v>2162</v>
      </c>
      <c r="G788" t="s">
        <v>462</v>
      </c>
      <c r="H788" t="str">
        <f>VLOOKUP(A788, product_table!$A:$C, 3, 0)</f>
        <v>Own Brand</v>
      </c>
      <c r="I788" t="str">
        <f>VLOOKUP(transactions_table8[[#This Row],[market_code]],markets_table!$A:$B,2,0)</f>
        <v>Mumbai</v>
      </c>
      <c r="J788" t="str">
        <f>VLOOKUP(transactions_table8[[#This Row],[market_code]],markets_table!$A:$C,3,0)</f>
        <v>Central</v>
      </c>
      <c r="K788" t="str">
        <f>VLOOKUP(transactions_table8[[#This Row],[customer_code]],customer_table!$A:$B,2,0)</f>
        <v>Sound</v>
      </c>
      <c r="L788" t="str">
        <f>VLOOKUP(transactions_table8[[#This Row],[customer_code]],customer_table!$A:$C,3,0)</f>
        <v>E-Commerce</v>
      </c>
      <c r="M788">
        <f>IF(TRIM(CLEAN(transactions_table8[[#This Row],[currency]]))="USD",transactions_table8[[#This Row],[sales_amount]]*83,transactions_table8[[#This Row],[sales_amount]])</f>
        <v>2162</v>
      </c>
    </row>
    <row r="789" spans="1:13" x14ac:dyDescent="0.3">
      <c r="A789" t="s">
        <v>192</v>
      </c>
      <c r="B789" t="s">
        <v>47</v>
      </c>
      <c r="C789" t="s">
        <v>138</v>
      </c>
      <c r="D789" s="1">
        <v>43313</v>
      </c>
      <c r="E789">
        <v>1</v>
      </c>
      <c r="F789">
        <v>3065</v>
      </c>
      <c r="G789" t="s">
        <v>462</v>
      </c>
      <c r="H789" t="str">
        <f>VLOOKUP(A789, product_table!$A:$C, 3, 0)</f>
        <v>Own Brand</v>
      </c>
      <c r="I789" t="str">
        <f>VLOOKUP(transactions_table8[[#This Row],[market_code]],markets_table!$A:$B,2,0)</f>
        <v>Mumbai</v>
      </c>
      <c r="J789" t="str">
        <f>VLOOKUP(transactions_table8[[#This Row],[market_code]],markets_table!$A:$C,3,0)</f>
        <v>Central</v>
      </c>
      <c r="K789" t="str">
        <f>VLOOKUP(transactions_table8[[#This Row],[customer_code]],customer_table!$A:$B,2,0)</f>
        <v>Electricalslytical</v>
      </c>
      <c r="L789" t="str">
        <f>VLOOKUP(transactions_table8[[#This Row],[customer_code]],customer_table!$A:$C,3,0)</f>
        <v>E-Commerce</v>
      </c>
      <c r="M789">
        <f>IF(TRIM(CLEAN(transactions_table8[[#This Row],[currency]]))="USD",transactions_table8[[#This Row],[sales_amount]]*83,transactions_table8[[#This Row],[sales_amount]])</f>
        <v>3065</v>
      </c>
    </row>
    <row r="790" spans="1:13" x14ac:dyDescent="0.3">
      <c r="A790" t="s">
        <v>192</v>
      </c>
      <c r="B790" t="s">
        <v>47</v>
      </c>
      <c r="C790" t="s">
        <v>138</v>
      </c>
      <c r="D790" s="1">
        <v>43314</v>
      </c>
      <c r="E790">
        <v>1</v>
      </c>
      <c r="F790">
        <v>3065</v>
      </c>
      <c r="G790" t="s">
        <v>462</v>
      </c>
      <c r="H790" t="str">
        <f>VLOOKUP(A790, product_table!$A:$C, 3, 0)</f>
        <v>Own Brand</v>
      </c>
      <c r="I790" t="str">
        <f>VLOOKUP(transactions_table8[[#This Row],[market_code]],markets_table!$A:$B,2,0)</f>
        <v>Mumbai</v>
      </c>
      <c r="J790" t="str">
        <f>VLOOKUP(transactions_table8[[#This Row],[market_code]],markets_table!$A:$C,3,0)</f>
        <v>Central</v>
      </c>
      <c r="K790" t="str">
        <f>VLOOKUP(transactions_table8[[#This Row],[customer_code]],customer_table!$A:$B,2,0)</f>
        <v>Electricalslytical</v>
      </c>
      <c r="L790" t="str">
        <f>VLOOKUP(transactions_table8[[#This Row],[customer_code]],customer_table!$A:$C,3,0)</f>
        <v>E-Commerce</v>
      </c>
      <c r="M790">
        <f>IF(TRIM(CLEAN(transactions_table8[[#This Row],[currency]]))="USD",transactions_table8[[#This Row],[sales_amount]]*83,transactions_table8[[#This Row],[sales_amount]])</f>
        <v>3065</v>
      </c>
    </row>
    <row r="791" spans="1:13" x14ac:dyDescent="0.3">
      <c r="A791" t="s">
        <v>192</v>
      </c>
      <c r="B791" t="s">
        <v>53</v>
      </c>
      <c r="C791" t="s">
        <v>138</v>
      </c>
      <c r="D791" s="1">
        <v>43314</v>
      </c>
      <c r="E791">
        <v>24</v>
      </c>
      <c r="F791">
        <v>55977</v>
      </c>
      <c r="G791" t="s">
        <v>462</v>
      </c>
      <c r="H791" t="str">
        <f>VLOOKUP(A791, product_table!$A:$C, 3, 0)</f>
        <v>Own Brand</v>
      </c>
      <c r="I791" t="str">
        <f>VLOOKUP(transactions_table8[[#This Row],[market_code]],markets_table!$A:$B,2,0)</f>
        <v>Mumbai</v>
      </c>
      <c r="J791" t="str">
        <f>VLOOKUP(transactions_table8[[#This Row],[market_code]],markets_table!$A:$C,3,0)</f>
        <v>Central</v>
      </c>
      <c r="K791" t="str">
        <f>VLOOKUP(transactions_table8[[#This Row],[customer_code]],customer_table!$A:$B,2,0)</f>
        <v>Path</v>
      </c>
      <c r="L791" t="str">
        <f>VLOOKUP(transactions_table8[[#This Row],[customer_code]],customer_table!$A:$C,3,0)</f>
        <v>E-Commerce</v>
      </c>
      <c r="M791">
        <f>IF(TRIM(CLEAN(transactions_table8[[#This Row],[currency]]))="USD",transactions_table8[[#This Row],[sales_amount]]*83,transactions_table8[[#This Row],[sales_amount]])</f>
        <v>55977</v>
      </c>
    </row>
    <row r="792" spans="1:13" x14ac:dyDescent="0.3">
      <c r="A792" t="s">
        <v>192</v>
      </c>
      <c r="B792" t="s">
        <v>47</v>
      </c>
      <c r="C792" t="s">
        <v>138</v>
      </c>
      <c r="D792" s="1">
        <v>43315</v>
      </c>
      <c r="E792">
        <v>1</v>
      </c>
      <c r="F792">
        <v>3065</v>
      </c>
      <c r="G792" t="s">
        <v>462</v>
      </c>
      <c r="H792" t="str">
        <f>VLOOKUP(A792, product_table!$A:$C, 3, 0)</f>
        <v>Own Brand</v>
      </c>
      <c r="I792" t="str">
        <f>VLOOKUP(transactions_table8[[#This Row],[market_code]],markets_table!$A:$B,2,0)</f>
        <v>Mumbai</v>
      </c>
      <c r="J792" t="str">
        <f>VLOOKUP(transactions_table8[[#This Row],[market_code]],markets_table!$A:$C,3,0)</f>
        <v>Central</v>
      </c>
      <c r="K792" t="str">
        <f>VLOOKUP(transactions_table8[[#This Row],[customer_code]],customer_table!$A:$B,2,0)</f>
        <v>Electricalslytical</v>
      </c>
      <c r="L792" t="str">
        <f>VLOOKUP(transactions_table8[[#This Row],[customer_code]],customer_table!$A:$C,3,0)</f>
        <v>E-Commerce</v>
      </c>
      <c r="M792">
        <f>IF(TRIM(CLEAN(transactions_table8[[#This Row],[currency]]))="USD",transactions_table8[[#This Row],[sales_amount]]*83,transactions_table8[[#This Row],[sales_amount]])</f>
        <v>3065</v>
      </c>
    </row>
    <row r="793" spans="1:13" x14ac:dyDescent="0.3">
      <c r="A793" t="s">
        <v>192</v>
      </c>
      <c r="B793" t="s">
        <v>47</v>
      </c>
      <c r="C793" t="s">
        <v>138</v>
      </c>
      <c r="D793" s="1">
        <v>43318</v>
      </c>
      <c r="E793">
        <v>1</v>
      </c>
      <c r="F793">
        <v>3065</v>
      </c>
      <c r="G793" t="s">
        <v>462</v>
      </c>
      <c r="H793" t="str">
        <f>VLOOKUP(A793, product_table!$A:$C, 3, 0)</f>
        <v>Own Brand</v>
      </c>
      <c r="I793" t="str">
        <f>VLOOKUP(transactions_table8[[#This Row],[market_code]],markets_table!$A:$B,2,0)</f>
        <v>Mumbai</v>
      </c>
      <c r="J793" t="str">
        <f>VLOOKUP(transactions_table8[[#This Row],[market_code]],markets_table!$A:$C,3,0)</f>
        <v>Central</v>
      </c>
      <c r="K793" t="str">
        <f>VLOOKUP(transactions_table8[[#This Row],[customer_code]],customer_table!$A:$B,2,0)</f>
        <v>Electricalslytical</v>
      </c>
      <c r="L793" t="str">
        <f>VLOOKUP(transactions_table8[[#This Row],[customer_code]],customer_table!$A:$C,3,0)</f>
        <v>E-Commerce</v>
      </c>
      <c r="M793">
        <f>IF(TRIM(CLEAN(transactions_table8[[#This Row],[currency]]))="USD",transactions_table8[[#This Row],[sales_amount]]*83,transactions_table8[[#This Row],[sales_amount]])</f>
        <v>3065</v>
      </c>
    </row>
    <row r="794" spans="1:13" x14ac:dyDescent="0.3">
      <c r="A794" t="s">
        <v>192</v>
      </c>
      <c r="B794" t="s">
        <v>47</v>
      </c>
      <c r="C794" t="s">
        <v>138</v>
      </c>
      <c r="D794" s="1">
        <v>43320</v>
      </c>
      <c r="E794">
        <v>3</v>
      </c>
      <c r="F794">
        <v>6125</v>
      </c>
      <c r="G794" t="s">
        <v>462</v>
      </c>
      <c r="H794" t="str">
        <f>VLOOKUP(A794, product_table!$A:$C, 3, 0)</f>
        <v>Own Brand</v>
      </c>
      <c r="I794" t="str">
        <f>VLOOKUP(transactions_table8[[#This Row],[market_code]],markets_table!$A:$B,2,0)</f>
        <v>Mumbai</v>
      </c>
      <c r="J794" t="str">
        <f>VLOOKUP(transactions_table8[[#This Row],[market_code]],markets_table!$A:$C,3,0)</f>
        <v>Central</v>
      </c>
      <c r="K794" t="str">
        <f>VLOOKUP(transactions_table8[[#This Row],[customer_code]],customer_table!$A:$B,2,0)</f>
        <v>Electricalslytical</v>
      </c>
      <c r="L794" t="str">
        <f>VLOOKUP(transactions_table8[[#This Row],[customer_code]],customer_table!$A:$C,3,0)</f>
        <v>E-Commerce</v>
      </c>
      <c r="M794">
        <f>IF(TRIM(CLEAN(transactions_table8[[#This Row],[currency]]))="USD",transactions_table8[[#This Row],[sales_amount]]*83,transactions_table8[[#This Row],[sales_amount]])</f>
        <v>6125</v>
      </c>
    </row>
    <row r="795" spans="1:13" x14ac:dyDescent="0.3">
      <c r="A795" t="s">
        <v>192</v>
      </c>
      <c r="B795" t="s">
        <v>47</v>
      </c>
      <c r="C795" t="s">
        <v>138</v>
      </c>
      <c r="D795" s="1">
        <v>43321</v>
      </c>
      <c r="E795">
        <v>1</v>
      </c>
      <c r="F795">
        <v>3065</v>
      </c>
      <c r="G795" t="s">
        <v>462</v>
      </c>
      <c r="H795" t="str">
        <f>VLOOKUP(A795, product_table!$A:$C, 3, 0)</f>
        <v>Own Brand</v>
      </c>
      <c r="I795" t="str">
        <f>VLOOKUP(transactions_table8[[#This Row],[market_code]],markets_table!$A:$B,2,0)</f>
        <v>Mumbai</v>
      </c>
      <c r="J795" t="str">
        <f>VLOOKUP(transactions_table8[[#This Row],[market_code]],markets_table!$A:$C,3,0)</f>
        <v>Central</v>
      </c>
      <c r="K795" t="str">
        <f>VLOOKUP(transactions_table8[[#This Row],[customer_code]],customer_table!$A:$B,2,0)</f>
        <v>Electricalslytical</v>
      </c>
      <c r="L795" t="str">
        <f>VLOOKUP(transactions_table8[[#This Row],[customer_code]],customer_table!$A:$C,3,0)</f>
        <v>E-Commerce</v>
      </c>
      <c r="M795">
        <f>IF(TRIM(CLEAN(transactions_table8[[#This Row],[currency]]))="USD",transactions_table8[[#This Row],[sales_amount]]*83,transactions_table8[[#This Row],[sales_amount]])</f>
        <v>3065</v>
      </c>
    </row>
    <row r="796" spans="1:13" x14ac:dyDescent="0.3">
      <c r="A796" t="s">
        <v>192</v>
      </c>
      <c r="B796" t="s">
        <v>53</v>
      </c>
      <c r="C796" t="s">
        <v>138</v>
      </c>
      <c r="D796" s="1">
        <v>43321</v>
      </c>
      <c r="E796">
        <v>5</v>
      </c>
      <c r="F796">
        <v>10495</v>
      </c>
      <c r="G796" t="s">
        <v>462</v>
      </c>
      <c r="H796" t="str">
        <f>VLOOKUP(A796, product_table!$A:$C, 3, 0)</f>
        <v>Own Brand</v>
      </c>
      <c r="I796" t="str">
        <f>VLOOKUP(transactions_table8[[#This Row],[market_code]],markets_table!$A:$B,2,0)</f>
        <v>Mumbai</v>
      </c>
      <c r="J796" t="str">
        <f>VLOOKUP(transactions_table8[[#This Row],[market_code]],markets_table!$A:$C,3,0)</f>
        <v>Central</v>
      </c>
      <c r="K796" t="str">
        <f>VLOOKUP(transactions_table8[[#This Row],[customer_code]],customer_table!$A:$B,2,0)</f>
        <v>Path</v>
      </c>
      <c r="L796" t="str">
        <f>VLOOKUP(transactions_table8[[#This Row],[customer_code]],customer_table!$A:$C,3,0)</f>
        <v>E-Commerce</v>
      </c>
      <c r="M796">
        <f>IF(TRIM(CLEAN(transactions_table8[[#This Row],[currency]]))="USD",transactions_table8[[#This Row],[sales_amount]]*83,transactions_table8[[#This Row],[sales_amount]])</f>
        <v>10495</v>
      </c>
    </row>
    <row r="797" spans="1:13" x14ac:dyDescent="0.3">
      <c r="A797" t="s">
        <v>192</v>
      </c>
      <c r="B797" t="s">
        <v>24</v>
      </c>
      <c r="C797" t="s">
        <v>141</v>
      </c>
      <c r="D797" s="1">
        <v>43322</v>
      </c>
      <c r="E797">
        <v>13</v>
      </c>
      <c r="F797">
        <v>45935</v>
      </c>
      <c r="G797" t="s">
        <v>462</v>
      </c>
      <c r="H797" t="str">
        <f>VLOOKUP(A797, product_table!$A:$C, 3, 0)</f>
        <v>Own Brand</v>
      </c>
      <c r="I797" t="str">
        <f>VLOOKUP(transactions_table8[[#This Row],[market_code]],markets_table!$A:$B,2,0)</f>
        <v>Ahmedabad</v>
      </c>
      <c r="J797" t="str">
        <f>VLOOKUP(transactions_table8[[#This Row],[market_code]],markets_table!$A:$C,3,0)</f>
        <v>North</v>
      </c>
      <c r="K797" t="str">
        <f>VLOOKUP(transactions_table8[[#This Row],[customer_code]],customer_table!$A:$B,2,0)</f>
        <v>Flawless Stores</v>
      </c>
      <c r="L797" t="str">
        <f>VLOOKUP(transactions_table8[[#This Row],[customer_code]],customer_table!$A:$C,3,0)</f>
        <v>Brick &amp; Mortar</v>
      </c>
      <c r="M797">
        <f>IF(TRIM(CLEAN(transactions_table8[[#This Row],[currency]]))="USD",transactions_table8[[#This Row],[sales_amount]]*83,transactions_table8[[#This Row],[sales_amount]])</f>
        <v>45935</v>
      </c>
    </row>
    <row r="798" spans="1:13" x14ac:dyDescent="0.3">
      <c r="A798" t="s">
        <v>192</v>
      </c>
      <c r="B798" t="s">
        <v>47</v>
      </c>
      <c r="C798" t="s">
        <v>138</v>
      </c>
      <c r="D798" s="1">
        <v>43322</v>
      </c>
      <c r="E798">
        <v>3</v>
      </c>
      <c r="F798">
        <v>6125</v>
      </c>
      <c r="G798" t="s">
        <v>462</v>
      </c>
      <c r="H798" t="str">
        <f>VLOOKUP(A798, product_table!$A:$C, 3, 0)</f>
        <v>Own Brand</v>
      </c>
      <c r="I798" t="str">
        <f>VLOOKUP(transactions_table8[[#This Row],[market_code]],markets_table!$A:$B,2,0)</f>
        <v>Mumbai</v>
      </c>
      <c r="J798" t="str">
        <f>VLOOKUP(transactions_table8[[#This Row],[market_code]],markets_table!$A:$C,3,0)</f>
        <v>Central</v>
      </c>
      <c r="K798" t="str">
        <f>VLOOKUP(transactions_table8[[#This Row],[customer_code]],customer_table!$A:$B,2,0)</f>
        <v>Electricalslytical</v>
      </c>
      <c r="L798" t="str">
        <f>VLOOKUP(transactions_table8[[#This Row],[customer_code]],customer_table!$A:$C,3,0)</f>
        <v>E-Commerce</v>
      </c>
      <c r="M798">
        <f>IF(TRIM(CLEAN(transactions_table8[[#This Row],[currency]]))="USD",transactions_table8[[#This Row],[sales_amount]]*83,transactions_table8[[#This Row],[sales_amount]])</f>
        <v>6125</v>
      </c>
    </row>
    <row r="799" spans="1:13" x14ac:dyDescent="0.3">
      <c r="A799" t="s">
        <v>192</v>
      </c>
      <c r="B799" t="s">
        <v>47</v>
      </c>
      <c r="C799" t="s">
        <v>138</v>
      </c>
      <c r="D799" s="1">
        <v>43325</v>
      </c>
      <c r="E799">
        <v>3</v>
      </c>
      <c r="F799">
        <v>6125</v>
      </c>
      <c r="G799" t="s">
        <v>462</v>
      </c>
      <c r="H799" t="str">
        <f>VLOOKUP(A799, product_table!$A:$C, 3, 0)</f>
        <v>Own Brand</v>
      </c>
      <c r="I799" t="str">
        <f>VLOOKUP(transactions_table8[[#This Row],[market_code]],markets_table!$A:$B,2,0)</f>
        <v>Mumbai</v>
      </c>
      <c r="J799" t="str">
        <f>VLOOKUP(transactions_table8[[#This Row],[market_code]],markets_table!$A:$C,3,0)</f>
        <v>Central</v>
      </c>
      <c r="K799" t="str">
        <f>VLOOKUP(transactions_table8[[#This Row],[customer_code]],customer_table!$A:$B,2,0)</f>
        <v>Electricalslytical</v>
      </c>
      <c r="L799" t="str">
        <f>VLOOKUP(transactions_table8[[#This Row],[customer_code]],customer_table!$A:$C,3,0)</f>
        <v>E-Commerce</v>
      </c>
      <c r="M799">
        <f>IF(TRIM(CLEAN(transactions_table8[[#This Row],[currency]]))="USD",transactions_table8[[#This Row],[sales_amount]]*83,transactions_table8[[#This Row],[sales_amount]])</f>
        <v>6125</v>
      </c>
    </row>
    <row r="800" spans="1:13" x14ac:dyDescent="0.3">
      <c r="A800" t="s">
        <v>192</v>
      </c>
      <c r="B800" t="s">
        <v>53</v>
      </c>
      <c r="C800" t="s">
        <v>138</v>
      </c>
      <c r="D800" s="1">
        <v>43325</v>
      </c>
      <c r="E800">
        <v>15</v>
      </c>
      <c r="F800">
        <v>34986</v>
      </c>
      <c r="G800" t="s">
        <v>462</v>
      </c>
      <c r="H800" t="str">
        <f>VLOOKUP(A800, product_table!$A:$C, 3, 0)</f>
        <v>Own Brand</v>
      </c>
      <c r="I800" t="str">
        <f>VLOOKUP(transactions_table8[[#This Row],[market_code]],markets_table!$A:$B,2,0)</f>
        <v>Mumbai</v>
      </c>
      <c r="J800" t="str">
        <f>VLOOKUP(transactions_table8[[#This Row],[market_code]],markets_table!$A:$C,3,0)</f>
        <v>Central</v>
      </c>
      <c r="K800" t="str">
        <f>VLOOKUP(transactions_table8[[#This Row],[customer_code]],customer_table!$A:$B,2,0)</f>
        <v>Path</v>
      </c>
      <c r="L800" t="str">
        <f>VLOOKUP(transactions_table8[[#This Row],[customer_code]],customer_table!$A:$C,3,0)</f>
        <v>E-Commerce</v>
      </c>
      <c r="M800">
        <f>IF(TRIM(CLEAN(transactions_table8[[#This Row],[currency]]))="USD",transactions_table8[[#This Row],[sales_amount]]*83,transactions_table8[[#This Row],[sales_amount]])</f>
        <v>34986</v>
      </c>
    </row>
    <row r="801" spans="1:13" x14ac:dyDescent="0.3">
      <c r="A801" t="s">
        <v>192</v>
      </c>
      <c r="B801" t="s">
        <v>47</v>
      </c>
      <c r="C801" t="s">
        <v>138</v>
      </c>
      <c r="D801" s="1">
        <v>43326</v>
      </c>
      <c r="E801">
        <v>1</v>
      </c>
      <c r="F801">
        <v>3065</v>
      </c>
      <c r="G801" t="s">
        <v>462</v>
      </c>
      <c r="H801" t="str">
        <f>VLOOKUP(A801, product_table!$A:$C, 3, 0)</f>
        <v>Own Brand</v>
      </c>
      <c r="I801" t="str">
        <f>VLOOKUP(transactions_table8[[#This Row],[market_code]],markets_table!$A:$B,2,0)</f>
        <v>Mumbai</v>
      </c>
      <c r="J801" t="str">
        <f>VLOOKUP(transactions_table8[[#This Row],[market_code]],markets_table!$A:$C,3,0)</f>
        <v>Central</v>
      </c>
      <c r="K801" t="str">
        <f>VLOOKUP(transactions_table8[[#This Row],[customer_code]],customer_table!$A:$B,2,0)</f>
        <v>Electricalslytical</v>
      </c>
      <c r="L801" t="str">
        <f>VLOOKUP(transactions_table8[[#This Row],[customer_code]],customer_table!$A:$C,3,0)</f>
        <v>E-Commerce</v>
      </c>
      <c r="M801">
        <f>IF(TRIM(CLEAN(transactions_table8[[#This Row],[currency]]))="USD",transactions_table8[[#This Row],[sales_amount]]*83,transactions_table8[[#This Row],[sales_amount]])</f>
        <v>3065</v>
      </c>
    </row>
    <row r="802" spans="1:13" x14ac:dyDescent="0.3">
      <c r="A802" t="s">
        <v>192</v>
      </c>
      <c r="B802" t="s">
        <v>47</v>
      </c>
      <c r="C802" t="s">
        <v>138</v>
      </c>
      <c r="D802" s="1">
        <v>43326</v>
      </c>
      <c r="E802">
        <v>13</v>
      </c>
      <c r="F802">
        <v>28269</v>
      </c>
      <c r="G802" t="s">
        <v>462</v>
      </c>
      <c r="H802" t="str">
        <f>VLOOKUP(A802, product_table!$A:$C, 3, 0)</f>
        <v>Own Brand</v>
      </c>
      <c r="I802" t="str">
        <f>VLOOKUP(transactions_table8[[#This Row],[market_code]],markets_table!$A:$B,2,0)</f>
        <v>Mumbai</v>
      </c>
      <c r="J802" t="str">
        <f>VLOOKUP(transactions_table8[[#This Row],[market_code]],markets_table!$A:$C,3,0)</f>
        <v>Central</v>
      </c>
      <c r="K802" t="str">
        <f>VLOOKUP(transactions_table8[[#This Row],[customer_code]],customer_table!$A:$B,2,0)</f>
        <v>Electricalslytical</v>
      </c>
      <c r="L802" t="str">
        <f>VLOOKUP(transactions_table8[[#This Row],[customer_code]],customer_table!$A:$C,3,0)</f>
        <v>E-Commerce</v>
      </c>
      <c r="M802">
        <f>IF(TRIM(CLEAN(transactions_table8[[#This Row],[currency]]))="USD",transactions_table8[[#This Row],[sales_amount]]*83,transactions_table8[[#This Row],[sales_amount]])</f>
        <v>28269</v>
      </c>
    </row>
    <row r="803" spans="1:13" x14ac:dyDescent="0.3">
      <c r="A803" t="s">
        <v>192</v>
      </c>
      <c r="B803" t="s">
        <v>47</v>
      </c>
      <c r="C803" t="s">
        <v>138</v>
      </c>
      <c r="D803" s="1">
        <v>43329</v>
      </c>
      <c r="E803">
        <v>4</v>
      </c>
      <c r="F803">
        <v>9190</v>
      </c>
      <c r="G803" t="s">
        <v>462</v>
      </c>
      <c r="H803" t="str">
        <f>VLOOKUP(A803, product_table!$A:$C, 3, 0)</f>
        <v>Own Brand</v>
      </c>
      <c r="I803" t="str">
        <f>VLOOKUP(transactions_table8[[#This Row],[market_code]],markets_table!$A:$B,2,0)</f>
        <v>Mumbai</v>
      </c>
      <c r="J803" t="str">
        <f>VLOOKUP(transactions_table8[[#This Row],[market_code]],markets_table!$A:$C,3,0)</f>
        <v>Central</v>
      </c>
      <c r="K803" t="str">
        <f>VLOOKUP(transactions_table8[[#This Row],[customer_code]],customer_table!$A:$B,2,0)</f>
        <v>Electricalslytical</v>
      </c>
      <c r="L803" t="str">
        <f>VLOOKUP(transactions_table8[[#This Row],[customer_code]],customer_table!$A:$C,3,0)</f>
        <v>E-Commerce</v>
      </c>
      <c r="M803">
        <f>IF(TRIM(CLEAN(transactions_table8[[#This Row],[currency]]))="USD",transactions_table8[[#This Row],[sales_amount]]*83,transactions_table8[[#This Row],[sales_amount]])</f>
        <v>9190</v>
      </c>
    </row>
    <row r="804" spans="1:13" x14ac:dyDescent="0.3">
      <c r="A804" t="s">
        <v>192</v>
      </c>
      <c r="B804" t="s">
        <v>53</v>
      </c>
      <c r="C804" t="s">
        <v>138</v>
      </c>
      <c r="D804" s="1">
        <v>43329</v>
      </c>
      <c r="E804">
        <v>15</v>
      </c>
      <c r="F804">
        <v>34986</v>
      </c>
      <c r="G804" t="s">
        <v>462</v>
      </c>
      <c r="H804" t="str">
        <f>VLOOKUP(A804, product_table!$A:$C, 3, 0)</f>
        <v>Own Brand</v>
      </c>
      <c r="I804" t="str">
        <f>VLOOKUP(transactions_table8[[#This Row],[market_code]],markets_table!$A:$B,2,0)</f>
        <v>Mumbai</v>
      </c>
      <c r="J804" t="str">
        <f>VLOOKUP(transactions_table8[[#This Row],[market_code]],markets_table!$A:$C,3,0)</f>
        <v>Central</v>
      </c>
      <c r="K804" t="str">
        <f>VLOOKUP(transactions_table8[[#This Row],[customer_code]],customer_table!$A:$B,2,0)</f>
        <v>Path</v>
      </c>
      <c r="L804" t="str">
        <f>VLOOKUP(transactions_table8[[#This Row],[customer_code]],customer_table!$A:$C,3,0)</f>
        <v>E-Commerce</v>
      </c>
      <c r="M804">
        <f>IF(TRIM(CLEAN(transactions_table8[[#This Row],[currency]]))="USD",transactions_table8[[#This Row],[sales_amount]]*83,transactions_table8[[#This Row],[sales_amount]])</f>
        <v>34986</v>
      </c>
    </row>
    <row r="805" spans="1:13" x14ac:dyDescent="0.3">
      <c r="A805" t="s">
        <v>192</v>
      </c>
      <c r="B805" t="s">
        <v>24</v>
      </c>
      <c r="C805" t="s">
        <v>141</v>
      </c>
      <c r="D805" s="1">
        <v>43332</v>
      </c>
      <c r="E805">
        <v>10</v>
      </c>
      <c r="F805">
        <v>36509</v>
      </c>
      <c r="G805" t="s">
        <v>462</v>
      </c>
      <c r="H805" t="str">
        <f>VLOOKUP(A805, product_table!$A:$C, 3, 0)</f>
        <v>Own Brand</v>
      </c>
      <c r="I805" t="str">
        <f>VLOOKUP(transactions_table8[[#This Row],[market_code]],markets_table!$A:$B,2,0)</f>
        <v>Ahmedabad</v>
      </c>
      <c r="J805" t="str">
        <f>VLOOKUP(transactions_table8[[#This Row],[market_code]],markets_table!$A:$C,3,0)</f>
        <v>North</v>
      </c>
      <c r="K805" t="str">
        <f>VLOOKUP(transactions_table8[[#This Row],[customer_code]],customer_table!$A:$B,2,0)</f>
        <v>Flawless Stores</v>
      </c>
      <c r="L805" t="str">
        <f>VLOOKUP(transactions_table8[[#This Row],[customer_code]],customer_table!$A:$C,3,0)</f>
        <v>Brick &amp; Mortar</v>
      </c>
      <c r="M805">
        <f>IF(TRIM(CLEAN(transactions_table8[[#This Row],[currency]]))="USD",transactions_table8[[#This Row],[sales_amount]]*83,transactions_table8[[#This Row],[sales_amount]])</f>
        <v>36509</v>
      </c>
    </row>
    <row r="806" spans="1:13" x14ac:dyDescent="0.3">
      <c r="A806" t="s">
        <v>192</v>
      </c>
      <c r="B806" t="s">
        <v>47</v>
      </c>
      <c r="C806" t="s">
        <v>138</v>
      </c>
      <c r="D806" s="1">
        <v>43333</v>
      </c>
      <c r="E806">
        <v>5</v>
      </c>
      <c r="F806">
        <v>12250</v>
      </c>
      <c r="G806" t="s">
        <v>462</v>
      </c>
      <c r="H806" t="str">
        <f>VLOOKUP(A806, product_table!$A:$C, 3, 0)</f>
        <v>Own Brand</v>
      </c>
      <c r="I806" t="str">
        <f>VLOOKUP(transactions_table8[[#This Row],[market_code]],markets_table!$A:$B,2,0)</f>
        <v>Mumbai</v>
      </c>
      <c r="J806" t="str">
        <f>VLOOKUP(transactions_table8[[#This Row],[market_code]],markets_table!$A:$C,3,0)</f>
        <v>Central</v>
      </c>
      <c r="K806" t="str">
        <f>VLOOKUP(transactions_table8[[#This Row],[customer_code]],customer_table!$A:$B,2,0)</f>
        <v>Electricalslytical</v>
      </c>
      <c r="L806" t="str">
        <f>VLOOKUP(transactions_table8[[#This Row],[customer_code]],customer_table!$A:$C,3,0)</f>
        <v>E-Commerce</v>
      </c>
      <c r="M806">
        <f>IF(TRIM(CLEAN(transactions_table8[[#This Row],[currency]]))="USD",transactions_table8[[#This Row],[sales_amount]]*83,transactions_table8[[#This Row],[sales_amount]])</f>
        <v>12250</v>
      </c>
    </row>
    <row r="807" spans="1:13" x14ac:dyDescent="0.3">
      <c r="A807" t="s">
        <v>192</v>
      </c>
      <c r="B807" t="s">
        <v>51</v>
      </c>
      <c r="C807" t="s">
        <v>138</v>
      </c>
      <c r="D807" s="1">
        <v>43333</v>
      </c>
      <c r="E807">
        <v>1</v>
      </c>
      <c r="F807">
        <v>338</v>
      </c>
      <c r="G807" t="s">
        <v>462</v>
      </c>
      <c r="H807" t="str">
        <f>VLOOKUP(A807, product_table!$A:$C, 3, 0)</f>
        <v>Own Brand</v>
      </c>
      <c r="I807" t="str">
        <f>VLOOKUP(transactions_table8[[#This Row],[market_code]],markets_table!$A:$B,2,0)</f>
        <v>Mumbai</v>
      </c>
      <c r="J807" t="str">
        <f>VLOOKUP(transactions_table8[[#This Row],[market_code]],markets_table!$A:$C,3,0)</f>
        <v>Central</v>
      </c>
      <c r="K807" t="str">
        <f>VLOOKUP(transactions_table8[[#This Row],[customer_code]],customer_table!$A:$B,2,0)</f>
        <v>Power</v>
      </c>
      <c r="L807" t="str">
        <f>VLOOKUP(transactions_table8[[#This Row],[customer_code]],customer_table!$A:$C,3,0)</f>
        <v>E-Commerce</v>
      </c>
      <c r="M807">
        <f>IF(TRIM(CLEAN(transactions_table8[[#This Row],[currency]]))="USD",transactions_table8[[#This Row],[sales_amount]]*83,transactions_table8[[#This Row],[sales_amount]])</f>
        <v>338</v>
      </c>
    </row>
    <row r="808" spans="1:13" x14ac:dyDescent="0.3">
      <c r="A808" t="s">
        <v>192</v>
      </c>
      <c r="B808" t="s">
        <v>47</v>
      </c>
      <c r="C808" t="s">
        <v>138</v>
      </c>
      <c r="D808" s="1">
        <v>43334</v>
      </c>
      <c r="E808">
        <v>1</v>
      </c>
      <c r="F808">
        <v>3065</v>
      </c>
      <c r="G808" t="s">
        <v>462</v>
      </c>
      <c r="H808" t="str">
        <f>VLOOKUP(A808, product_table!$A:$C, 3, 0)</f>
        <v>Own Brand</v>
      </c>
      <c r="I808" t="str">
        <f>VLOOKUP(transactions_table8[[#This Row],[market_code]],markets_table!$A:$B,2,0)</f>
        <v>Mumbai</v>
      </c>
      <c r="J808" t="str">
        <f>VLOOKUP(transactions_table8[[#This Row],[market_code]],markets_table!$A:$C,3,0)</f>
        <v>Central</v>
      </c>
      <c r="K808" t="str">
        <f>VLOOKUP(transactions_table8[[#This Row],[customer_code]],customer_table!$A:$B,2,0)</f>
        <v>Electricalslytical</v>
      </c>
      <c r="L808" t="str">
        <f>VLOOKUP(transactions_table8[[#This Row],[customer_code]],customer_table!$A:$C,3,0)</f>
        <v>E-Commerce</v>
      </c>
      <c r="M808">
        <f>IF(TRIM(CLEAN(transactions_table8[[#This Row],[currency]]))="USD",transactions_table8[[#This Row],[sales_amount]]*83,transactions_table8[[#This Row],[sales_amount]])</f>
        <v>3065</v>
      </c>
    </row>
    <row r="809" spans="1:13" x14ac:dyDescent="0.3">
      <c r="A809" t="s">
        <v>192</v>
      </c>
      <c r="B809" t="s">
        <v>47</v>
      </c>
      <c r="C809" t="s">
        <v>138</v>
      </c>
      <c r="D809" s="1">
        <v>43335</v>
      </c>
      <c r="E809">
        <v>3</v>
      </c>
      <c r="F809">
        <v>6125</v>
      </c>
      <c r="G809" t="s">
        <v>462</v>
      </c>
      <c r="H809" t="str">
        <f>VLOOKUP(A809, product_table!$A:$C, 3, 0)</f>
        <v>Own Brand</v>
      </c>
      <c r="I809" t="str">
        <f>VLOOKUP(transactions_table8[[#This Row],[market_code]],markets_table!$A:$B,2,0)</f>
        <v>Mumbai</v>
      </c>
      <c r="J809" t="str">
        <f>VLOOKUP(transactions_table8[[#This Row],[market_code]],markets_table!$A:$C,3,0)</f>
        <v>Central</v>
      </c>
      <c r="K809" t="str">
        <f>VLOOKUP(transactions_table8[[#This Row],[customer_code]],customer_table!$A:$B,2,0)</f>
        <v>Electricalslytical</v>
      </c>
      <c r="L809" t="str">
        <f>VLOOKUP(transactions_table8[[#This Row],[customer_code]],customer_table!$A:$C,3,0)</f>
        <v>E-Commerce</v>
      </c>
      <c r="M809">
        <f>IF(TRIM(CLEAN(transactions_table8[[#This Row],[currency]]))="USD",transactions_table8[[#This Row],[sales_amount]]*83,transactions_table8[[#This Row],[sales_amount]])</f>
        <v>6125</v>
      </c>
    </row>
    <row r="810" spans="1:13" x14ac:dyDescent="0.3">
      <c r="A810" t="s">
        <v>192</v>
      </c>
      <c r="B810" t="s">
        <v>53</v>
      </c>
      <c r="C810" t="s">
        <v>138</v>
      </c>
      <c r="D810" s="1">
        <v>43335</v>
      </c>
      <c r="E810">
        <v>12</v>
      </c>
      <c r="F810">
        <v>27991</v>
      </c>
      <c r="G810" t="s">
        <v>462</v>
      </c>
      <c r="H810" t="str">
        <f>VLOOKUP(A810, product_table!$A:$C, 3, 0)</f>
        <v>Own Brand</v>
      </c>
      <c r="I810" t="str">
        <f>VLOOKUP(transactions_table8[[#This Row],[market_code]],markets_table!$A:$B,2,0)</f>
        <v>Mumbai</v>
      </c>
      <c r="J810" t="str">
        <f>VLOOKUP(transactions_table8[[#This Row],[market_code]],markets_table!$A:$C,3,0)</f>
        <v>Central</v>
      </c>
      <c r="K810" t="str">
        <f>VLOOKUP(transactions_table8[[#This Row],[customer_code]],customer_table!$A:$B,2,0)</f>
        <v>Path</v>
      </c>
      <c r="L810" t="str">
        <f>VLOOKUP(transactions_table8[[#This Row],[customer_code]],customer_table!$A:$C,3,0)</f>
        <v>E-Commerce</v>
      </c>
      <c r="M810">
        <f>IF(TRIM(CLEAN(transactions_table8[[#This Row],[currency]]))="USD",transactions_table8[[#This Row],[sales_amount]]*83,transactions_table8[[#This Row],[sales_amount]])</f>
        <v>27991</v>
      </c>
    </row>
    <row r="811" spans="1:13" x14ac:dyDescent="0.3">
      <c r="A811" t="s">
        <v>192</v>
      </c>
      <c r="B811" t="s">
        <v>47</v>
      </c>
      <c r="C811" t="s">
        <v>138</v>
      </c>
      <c r="D811" s="1">
        <v>43336</v>
      </c>
      <c r="E811">
        <v>3</v>
      </c>
      <c r="F811">
        <v>6125</v>
      </c>
      <c r="G811" t="s">
        <v>462</v>
      </c>
      <c r="H811" t="str">
        <f>VLOOKUP(A811, product_table!$A:$C, 3, 0)</f>
        <v>Own Brand</v>
      </c>
      <c r="I811" t="str">
        <f>VLOOKUP(transactions_table8[[#This Row],[market_code]],markets_table!$A:$B,2,0)</f>
        <v>Mumbai</v>
      </c>
      <c r="J811" t="str">
        <f>VLOOKUP(transactions_table8[[#This Row],[market_code]],markets_table!$A:$C,3,0)</f>
        <v>Central</v>
      </c>
      <c r="K811" t="str">
        <f>VLOOKUP(transactions_table8[[#This Row],[customer_code]],customer_table!$A:$B,2,0)</f>
        <v>Electricalslytical</v>
      </c>
      <c r="L811" t="str">
        <f>VLOOKUP(transactions_table8[[#This Row],[customer_code]],customer_table!$A:$C,3,0)</f>
        <v>E-Commerce</v>
      </c>
      <c r="M811">
        <f>IF(TRIM(CLEAN(transactions_table8[[#This Row],[currency]]))="USD",transactions_table8[[#This Row],[sales_amount]]*83,transactions_table8[[#This Row],[sales_amount]])</f>
        <v>6125</v>
      </c>
    </row>
    <row r="812" spans="1:13" x14ac:dyDescent="0.3">
      <c r="A812" t="s">
        <v>192</v>
      </c>
      <c r="B812" t="s">
        <v>24</v>
      </c>
      <c r="C812" t="s">
        <v>141</v>
      </c>
      <c r="D812" s="1">
        <v>43339</v>
      </c>
      <c r="E812">
        <v>13</v>
      </c>
      <c r="F812">
        <v>45935</v>
      </c>
      <c r="G812" t="s">
        <v>462</v>
      </c>
      <c r="H812" t="str">
        <f>VLOOKUP(A812, product_table!$A:$C, 3, 0)</f>
        <v>Own Brand</v>
      </c>
      <c r="I812" t="str">
        <f>VLOOKUP(transactions_table8[[#This Row],[market_code]],markets_table!$A:$B,2,0)</f>
        <v>Ahmedabad</v>
      </c>
      <c r="J812" t="str">
        <f>VLOOKUP(transactions_table8[[#This Row],[market_code]],markets_table!$A:$C,3,0)</f>
        <v>North</v>
      </c>
      <c r="K812" t="str">
        <f>VLOOKUP(transactions_table8[[#This Row],[customer_code]],customer_table!$A:$B,2,0)</f>
        <v>Flawless Stores</v>
      </c>
      <c r="L812" t="str">
        <f>VLOOKUP(transactions_table8[[#This Row],[customer_code]],customer_table!$A:$C,3,0)</f>
        <v>Brick &amp; Mortar</v>
      </c>
      <c r="M812">
        <f>IF(TRIM(CLEAN(transactions_table8[[#This Row],[currency]]))="USD",transactions_table8[[#This Row],[sales_amount]]*83,transactions_table8[[#This Row],[sales_amount]])</f>
        <v>45935</v>
      </c>
    </row>
    <row r="813" spans="1:13" x14ac:dyDescent="0.3">
      <c r="A813" t="s">
        <v>192</v>
      </c>
      <c r="B813" t="s">
        <v>47</v>
      </c>
      <c r="C813" t="s">
        <v>138</v>
      </c>
      <c r="D813" s="1">
        <v>43341</v>
      </c>
      <c r="E813">
        <v>1</v>
      </c>
      <c r="F813">
        <v>3065</v>
      </c>
      <c r="G813" t="s">
        <v>462</v>
      </c>
      <c r="H813" t="str">
        <f>VLOOKUP(A813, product_table!$A:$C, 3, 0)</f>
        <v>Own Brand</v>
      </c>
      <c r="I813" t="str">
        <f>VLOOKUP(transactions_table8[[#This Row],[market_code]],markets_table!$A:$B,2,0)</f>
        <v>Mumbai</v>
      </c>
      <c r="J813" t="str">
        <f>VLOOKUP(transactions_table8[[#This Row],[market_code]],markets_table!$A:$C,3,0)</f>
        <v>Central</v>
      </c>
      <c r="K813" t="str">
        <f>VLOOKUP(transactions_table8[[#This Row],[customer_code]],customer_table!$A:$B,2,0)</f>
        <v>Electricalslytical</v>
      </c>
      <c r="L813" t="str">
        <f>VLOOKUP(transactions_table8[[#This Row],[customer_code]],customer_table!$A:$C,3,0)</f>
        <v>E-Commerce</v>
      </c>
      <c r="M813">
        <f>IF(TRIM(CLEAN(transactions_table8[[#This Row],[currency]]))="USD",transactions_table8[[#This Row],[sales_amount]]*83,transactions_table8[[#This Row],[sales_amount]])</f>
        <v>3065</v>
      </c>
    </row>
    <row r="814" spans="1:13" x14ac:dyDescent="0.3">
      <c r="A814" t="s">
        <v>192</v>
      </c>
      <c r="B814" t="s">
        <v>49</v>
      </c>
      <c r="C814" t="s">
        <v>138</v>
      </c>
      <c r="D814" s="1">
        <v>43341</v>
      </c>
      <c r="E814">
        <v>1</v>
      </c>
      <c r="F814">
        <v>361</v>
      </c>
      <c r="G814" t="s">
        <v>462</v>
      </c>
      <c r="H814" t="str">
        <f>VLOOKUP(A814, product_table!$A:$C, 3, 0)</f>
        <v>Own Brand</v>
      </c>
      <c r="I814" t="str">
        <f>VLOOKUP(transactions_table8[[#This Row],[market_code]],markets_table!$A:$B,2,0)</f>
        <v>Mumbai</v>
      </c>
      <c r="J814" t="str">
        <f>VLOOKUP(transactions_table8[[#This Row],[market_code]],markets_table!$A:$C,3,0)</f>
        <v>Central</v>
      </c>
      <c r="K814" t="str">
        <f>VLOOKUP(transactions_table8[[#This Row],[customer_code]],customer_table!$A:$B,2,0)</f>
        <v>Sound</v>
      </c>
      <c r="L814" t="str">
        <f>VLOOKUP(transactions_table8[[#This Row],[customer_code]],customer_table!$A:$C,3,0)</f>
        <v>E-Commerce</v>
      </c>
      <c r="M814">
        <f>IF(TRIM(CLEAN(transactions_table8[[#This Row],[currency]]))="USD",transactions_table8[[#This Row],[sales_amount]]*83,transactions_table8[[#This Row],[sales_amount]])</f>
        <v>361</v>
      </c>
    </row>
    <row r="815" spans="1:13" x14ac:dyDescent="0.3">
      <c r="A815" t="s">
        <v>192</v>
      </c>
      <c r="B815" t="s">
        <v>47</v>
      </c>
      <c r="C815" t="s">
        <v>138</v>
      </c>
      <c r="D815" s="1">
        <v>43343</v>
      </c>
      <c r="E815">
        <v>7</v>
      </c>
      <c r="F815">
        <v>15315</v>
      </c>
      <c r="G815" t="s">
        <v>462</v>
      </c>
      <c r="H815" t="str">
        <f>VLOOKUP(A815, product_table!$A:$C, 3, 0)</f>
        <v>Own Brand</v>
      </c>
      <c r="I815" t="str">
        <f>VLOOKUP(transactions_table8[[#This Row],[market_code]],markets_table!$A:$B,2,0)</f>
        <v>Mumbai</v>
      </c>
      <c r="J815" t="str">
        <f>VLOOKUP(transactions_table8[[#This Row],[market_code]],markets_table!$A:$C,3,0)</f>
        <v>Central</v>
      </c>
      <c r="K815" t="str">
        <f>VLOOKUP(transactions_table8[[#This Row],[customer_code]],customer_table!$A:$B,2,0)</f>
        <v>Electricalslytical</v>
      </c>
      <c r="L815" t="str">
        <f>VLOOKUP(transactions_table8[[#This Row],[customer_code]],customer_table!$A:$C,3,0)</f>
        <v>E-Commerce</v>
      </c>
      <c r="M815">
        <f>IF(TRIM(CLEAN(transactions_table8[[#This Row],[currency]]))="USD",transactions_table8[[#This Row],[sales_amount]]*83,transactions_table8[[#This Row],[sales_amount]])</f>
        <v>15315</v>
      </c>
    </row>
    <row r="816" spans="1:13" x14ac:dyDescent="0.3">
      <c r="A816" t="s">
        <v>192</v>
      </c>
      <c r="B816" t="s">
        <v>53</v>
      </c>
      <c r="C816" t="s">
        <v>138</v>
      </c>
      <c r="D816" s="1">
        <v>43343</v>
      </c>
      <c r="E816">
        <v>20</v>
      </c>
      <c r="F816">
        <v>45481</v>
      </c>
      <c r="G816" t="s">
        <v>462</v>
      </c>
      <c r="H816" t="str">
        <f>VLOOKUP(A816, product_table!$A:$C, 3, 0)</f>
        <v>Own Brand</v>
      </c>
      <c r="I816" t="str">
        <f>VLOOKUP(transactions_table8[[#This Row],[market_code]],markets_table!$A:$B,2,0)</f>
        <v>Mumbai</v>
      </c>
      <c r="J816" t="str">
        <f>VLOOKUP(transactions_table8[[#This Row],[market_code]],markets_table!$A:$C,3,0)</f>
        <v>Central</v>
      </c>
      <c r="K816" t="str">
        <f>VLOOKUP(transactions_table8[[#This Row],[customer_code]],customer_table!$A:$B,2,0)</f>
        <v>Path</v>
      </c>
      <c r="L816" t="str">
        <f>VLOOKUP(transactions_table8[[#This Row],[customer_code]],customer_table!$A:$C,3,0)</f>
        <v>E-Commerce</v>
      </c>
      <c r="M816">
        <f>IF(TRIM(CLEAN(transactions_table8[[#This Row],[currency]]))="USD",transactions_table8[[#This Row],[sales_amount]]*83,transactions_table8[[#This Row],[sales_amount]])</f>
        <v>45481</v>
      </c>
    </row>
    <row r="817" spans="1:13" x14ac:dyDescent="0.3">
      <c r="A817" t="s">
        <v>192</v>
      </c>
      <c r="B817" t="s">
        <v>24</v>
      </c>
      <c r="C817" t="s">
        <v>141</v>
      </c>
      <c r="D817" s="1">
        <v>43346</v>
      </c>
      <c r="E817">
        <v>40</v>
      </c>
      <c r="F817">
        <v>140157</v>
      </c>
      <c r="G817" t="s">
        <v>462</v>
      </c>
      <c r="H817" t="str">
        <f>VLOOKUP(A817, product_table!$A:$C, 3, 0)</f>
        <v>Own Brand</v>
      </c>
      <c r="I817" t="str">
        <f>VLOOKUP(transactions_table8[[#This Row],[market_code]],markets_table!$A:$B,2,0)</f>
        <v>Ahmedabad</v>
      </c>
      <c r="J817" t="str">
        <f>VLOOKUP(transactions_table8[[#This Row],[market_code]],markets_table!$A:$C,3,0)</f>
        <v>North</v>
      </c>
      <c r="K817" t="str">
        <f>VLOOKUP(transactions_table8[[#This Row],[customer_code]],customer_table!$A:$B,2,0)</f>
        <v>Flawless Stores</v>
      </c>
      <c r="L817" t="str">
        <f>VLOOKUP(transactions_table8[[#This Row],[customer_code]],customer_table!$A:$C,3,0)</f>
        <v>Brick &amp; Mortar</v>
      </c>
      <c r="M817">
        <f>IF(TRIM(CLEAN(transactions_table8[[#This Row],[currency]]))="USD",transactions_table8[[#This Row],[sales_amount]]*83,transactions_table8[[#This Row],[sales_amount]])</f>
        <v>140157</v>
      </c>
    </row>
    <row r="818" spans="1:13" x14ac:dyDescent="0.3">
      <c r="A818" t="s">
        <v>192</v>
      </c>
      <c r="B818" t="s">
        <v>47</v>
      </c>
      <c r="C818" t="s">
        <v>138</v>
      </c>
      <c r="D818" s="1">
        <v>43346</v>
      </c>
      <c r="E818">
        <v>1</v>
      </c>
      <c r="F818">
        <v>3065</v>
      </c>
      <c r="G818" t="s">
        <v>462</v>
      </c>
      <c r="H818" t="str">
        <f>VLOOKUP(A818, product_table!$A:$C, 3, 0)</f>
        <v>Own Brand</v>
      </c>
      <c r="I818" t="str">
        <f>VLOOKUP(transactions_table8[[#This Row],[market_code]],markets_table!$A:$B,2,0)</f>
        <v>Mumbai</v>
      </c>
      <c r="J818" t="str">
        <f>VLOOKUP(transactions_table8[[#This Row],[market_code]],markets_table!$A:$C,3,0)</f>
        <v>Central</v>
      </c>
      <c r="K818" t="str">
        <f>VLOOKUP(transactions_table8[[#This Row],[customer_code]],customer_table!$A:$B,2,0)</f>
        <v>Electricalslytical</v>
      </c>
      <c r="L818" t="str">
        <f>VLOOKUP(transactions_table8[[#This Row],[customer_code]],customer_table!$A:$C,3,0)</f>
        <v>E-Commerce</v>
      </c>
      <c r="M818">
        <f>IF(TRIM(CLEAN(transactions_table8[[#This Row],[currency]]))="USD",transactions_table8[[#This Row],[sales_amount]]*83,transactions_table8[[#This Row],[sales_amount]])</f>
        <v>3065</v>
      </c>
    </row>
    <row r="819" spans="1:13" x14ac:dyDescent="0.3">
      <c r="A819" t="s">
        <v>192</v>
      </c>
      <c r="B819" t="s">
        <v>53</v>
      </c>
      <c r="C819" t="s">
        <v>138</v>
      </c>
      <c r="D819" s="1">
        <v>43346</v>
      </c>
      <c r="E819">
        <v>8</v>
      </c>
      <c r="F819">
        <v>17495</v>
      </c>
      <c r="G819" t="s">
        <v>462</v>
      </c>
      <c r="H819" t="str">
        <f>VLOOKUP(A819, product_table!$A:$C, 3, 0)</f>
        <v>Own Brand</v>
      </c>
      <c r="I819" t="str">
        <f>VLOOKUP(transactions_table8[[#This Row],[market_code]],markets_table!$A:$B,2,0)</f>
        <v>Mumbai</v>
      </c>
      <c r="J819" t="str">
        <f>VLOOKUP(transactions_table8[[#This Row],[market_code]],markets_table!$A:$C,3,0)</f>
        <v>Central</v>
      </c>
      <c r="K819" t="str">
        <f>VLOOKUP(transactions_table8[[#This Row],[customer_code]],customer_table!$A:$B,2,0)</f>
        <v>Path</v>
      </c>
      <c r="L819" t="str">
        <f>VLOOKUP(transactions_table8[[#This Row],[customer_code]],customer_table!$A:$C,3,0)</f>
        <v>E-Commerce</v>
      </c>
      <c r="M819">
        <f>IF(TRIM(CLEAN(transactions_table8[[#This Row],[currency]]))="USD",transactions_table8[[#This Row],[sales_amount]]*83,transactions_table8[[#This Row],[sales_amount]])</f>
        <v>17495</v>
      </c>
    </row>
    <row r="820" spans="1:13" x14ac:dyDescent="0.3">
      <c r="A820" t="s">
        <v>192</v>
      </c>
      <c r="B820" t="s">
        <v>47</v>
      </c>
      <c r="C820" t="s">
        <v>138</v>
      </c>
      <c r="D820" s="1">
        <v>43347</v>
      </c>
      <c r="E820">
        <v>13</v>
      </c>
      <c r="F820">
        <v>28269</v>
      </c>
      <c r="G820" t="s">
        <v>462</v>
      </c>
      <c r="H820" t="str">
        <f>VLOOKUP(A820, product_table!$A:$C, 3, 0)</f>
        <v>Own Brand</v>
      </c>
      <c r="I820" t="str">
        <f>VLOOKUP(transactions_table8[[#This Row],[market_code]],markets_table!$A:$B,2,0)</f>
        <v>Mumbai</v>
      </c>
      <c r="J820" t="str">
        <f>VLOOKUP(transactions_table8[[#This Row],[market_code]],markets_table!$A:$C,3,0)</f>
        <v>Central</v>
      </c>
      <c r="K820" t="str">
        <f>VLOOKUP(transactions_table8[[#This Row],[customer_code]],customer_table!$A:$B,2,0)</f>
        <v>Electricalslytical</v>
      </c>
      <c r="L820" t="str">
        <f>VLOOKUP(transactions_table8[[#This Row],[customer_code]],customer_table!$A:$C,3,0)</f>
        <v>E-Commerce</v>
      </c>
      <c r="M820">
        <f>IF(TRIM(CLEAN(transactions_table8[[#This Row],[currency]]))="USD",transactions_table8[[#This Row],[sales_amount]]*83,transactions_table8[[#This Row],[sales_amount]])</f>
        <v>28269</v>
      </c>
    </row>
    <row r="821" spans="1:13" x14ac:dyDescent="0.3">
      <c r="A821" t="s">
        <v>192</v>
      </c>
      <c r="B821" t="s">
        <v>53</v>
      </c>
      <c r="C821" t="s">
        <v>138</v>
      </c>
      <c r="D821" s="1">
        <v>43349</v>
      </c>
      <c r="E821">
        <v>15</v>
      </c>
      <c r="F821">
        <v>34986</v>
      </c>
      <c r="G821" t="s">
        <v>462</v>
      </c>
      <c r="H821" t="str">
        <f>VLOOKUP(A821, product_table!$A:$C, 3, 0)</f>
        <v>Own Brand</v>
      </c>
      <c r="I821" t="str">
        <f>VLOOKUP(transactions_table8[[#This Row],[market_code]],markets_table!$A:$B,2,0)</f>
        <v>Mumbai</v>
      </c>
      <c r="J821" t="str">
        <f>VLOOKUP(transactions_table8[[#This Row],[market_code]],markets_table!$A:$C,3,0)</f>
        <v>Central</v>
      </c>
      <c r="K821" t="str">
        <f>VLOOKUP(transactions_table8[[#This Row],[customer_code]],customer_table!$A:$B,2,0)</f>
        <v>Path</v>
      </c>
      <c r="L821" t="str">
        <f>VLOOKUP(transactions_table8[[#This Row],[customer_code]],customer_table!$A:$C,3,0)</f>
        <v>E-Commerce</v>
      </c>
      <c r="M821">
        <f>IF(TRIM(CLEAN(transactions_table8[[#This Row],[currency]]))="USD",transactions_table8[[#This Row],[sales_amount]]*83,transactions_table8[[#This Row],[sales_amount]])</f>
        <v>34986</v>
      </c>
    </row>
    <row r="822" spans="1:13" x14ac:dyDescent="0.3">
      <c r="A822" t="s">
        <v>192</v>
      </c>
      <c r="B822" t="s">
        <v>49</v>
      </c>
      <c r="C822" t="s">
        <v>138</v>
      </c>
      <c r="D822" s="1">
        <v>43349</v>
      </c>
      <c r="E822">
        <v>1</v>
      </c>
      <c r="F822">
        <v>361</v>
      </c>
      <c r="G822" t="s">
        <v>462</v>
      </c>
      <c r="H822" t="str">
        <f>VLOOKUP(A822, product_table!$A:$C, 3, 0)</f>
        <v>Own Brand</v>
      </c>
      <c r="I822" t="str">
        <f>VLOOKUP(transactions_table8[[#This Row],[market_code]],markets_table!$A:$B,2,0)</f>
        <v>Mumbai</v>
      </c>
      <c r="J822" t="str">
        <f>VLOOKUP(transactions_table8[[#This Row],[market_code]],markets_table!$A:$C,3,0)</f>
        <v>Central</v>
      </c>
      <c r="K822" t="str">
        <f>VLOOKUP(transactions_table8[[#This Row],[customer_code]],customer_table!$A:$B,2,0)</f>
        <v>Sound</v>
      </c>
      <c r="L822" t="str">
        <f>VLOOKUP(transactions_table8[[#This Row],[customer_code]],customer_table!$A:$C,3,0)</f>
        <v>E-Commerce</v>
      </c>
      <c r="M822">
        <f>IF(TRIM(CLEAN(transactions_table8[[#This Row],[currency]]))="USD",transactions_table8[[#This Row],[sales_amount]]*83,transactions_table8[[#This Row],[sales_amount]])</f>
        <v>361</v>
      </c>
    </row>
    <row r="823" spans="1:13" x14ac:dyDescent="0.3">
      <c r="A823" t="s">
        <v>192</v>
      </c>
      <c r="B823" t="s">
        <v>47</v>
      </c>
      <c r="C823" t="s">
        <v>138</v>
      </c>
      <c r="D823" s="1">
        <v>43350</v>
      </c>
      <c r="E823">
        <v>1</v>
      </c>
      <c r="F823">
        <v>3065</v>
      </c>
      <c r="G823" t="s">
        <v>462</v>
      </c>
      <c r="H823" t="str">
        <f>VLOOKUP(A823, product_table!$A:$C, 3, 0)</f>
        <v>Own Brand</v>
      </c>
      <c r="I823" t="str">
        <f>VLOOKUP(transactions_table8[[#This Row],[market_code]],markets_table!$A:$B,2,0)</f>
        <v>Mumbai</v>
      </c>
      <c r="J823" t="str">
        <f>VLOOKUP(transactions_table8[[#This Row],[market_code]],markets_table!$A:$C,3,0)</f>
        <v>Central</v>
      </c>
      <c r="K823" t="str">
        <f>VLOOKUP(transactions_table8[[#This Row],[customer_code]],customer_table!$A:$B,2,0)</f>
        <v>Electricalslytical</v>
      </c>
      <c r="L823" t="str">
        <f>VLOOKUP(transactions_table8[[#This Row],[customer_code]],customer_table!$A:$C,3,0)</f>
        <v>E-Commerce</v>
      </c>
      <c r="M823">
        <f>IF(TRIM(CLEAN(transactions_table8[[#This Row],[currency]]))="USD",transactions_table8[[#This Row],[sales_amount]]*83,transactions_table8[[#This Row],[sales_amount]])</f>
        <v>3065</v>
      </c>
    </row>
    <row r="824" spans="1:13" x14ac:dyDescent="0.3">
      <c r="A824" t="s">
        <v>192</v>
      </c>
      <c r="B824" t="s">
        <v>53</v>
      </c>
      <c r="C824" t="s">
        <v>138</v>
      </c>
      <c r="D824" s="1">
        <v>43350</v>
      </c>
      <c r="E824">
        <v>26</v>
      </c>
      <c r="F824">
        <v>59477</v>
      </c>
      <c r="G824" t="s">
        <v>462</v>
      </c>
      <c r="H824" t="str">
        <f>VLOOKUP(A824, product_table!$A:$C, 3, 0)</f>
        <v>Own Brand</v>
      </c>
      <c r="I824" t="str">
        <f>VLOOKUP(transactions_table8[[#This Row],[market_code]],markets_table!$A:$B,2,0)</f>
        <v>Mumbai</v>
      </c>
      <c r="J824" t="str">
        <f>VLOOKUP(transactions_table8[[#This Row],[market_code]],markets_table!$A:$C,3,0)</f>
        <v>Central</v>
      </c>
      <c r="K824" t="str">
        <f>VLOOKUP(transactions_table8[[#This Row],[customer_code]],customer_table!$A:$B,2,0)</f>
        <v>Path</v>
      </c>
      <c r="L824" t="str">
        <f>VLOOKUP(transactions_table8[[#This Row],[customer_code]],customer_table!$A:$C,3,0)</f>
        <v>E-Commerce</v>
      </c>
      <c r="M824">
        <f>IF(TRIM(CLEAN(transactions_table8[[#This Row],[currency]]))="USD",transactions_table8[[#This Row],[sales_amount]]*83,transactions_table8[[#This Row],[sales_amount]])</f>
        <v>59477</v>
      </c>
    </row>
    <row r="825" spans="1:13" x14ac:dyDescent="0.3">
      <c r="A825" t="s">
        <v>192</v>
      </c>
      <c r="B825" t="s">
        <v>49</v>
      </c>
      <c r="C825" t="s">
        <v>138</v>
      </c>
      <c r="D825" s="1">
        <v>43350</v>
      </c>
      <c r="E825">
        <v>1</v>
      </c>
      <c r="F825">
        <v>1079</v>
      </c>
      <c r="G825" t="s">
        <v>462</v>
      </c>
      <c r="H825" t="str">
        <f>VLOOKUP(A825, product_table!$A:$C, 3, 0)</f>
        <v>Own Brand</v>
      </c>
      <c r="I825" t="str">
        <f>VLOOKUP(transactions_table8[[#This Row],[market_code]],markets_table!$A:$B,2,0)</f>
        <v>Mumbai</v>
      </c>
      <c r="J825" t="str">
        <f>VLOOKUP(transactions_table8[[#This Row],[market_code]],markets_table!$A:$C,3,0)</f>
        <v>Central</v>
      </c>
      <c r="K825" t="str">
        <f>VLOOKUP(transactions_table8[[#This Row],[customer_code]],customer_table!$A:$B,2,0)</f>
        <v>Sound</v>
      </c>
      <c r="L825" t="str">
        <f>VLOOKUP(transactions_table8[[#This Row],[customer_code]],customer_table!$A:$C,3,0)</f>
        <v>E-Commerce</v>
      </c>
      <c r="M825">
        <f>IF(TRIM(CLEAN(transactions_table8[[#This Row],[currency]]))="USD",transactions_table8[[#This Row],[sales_amount]]*83,transactions_table8[[#This Row],[sales_amount]])</f>
        <v>1079</v>
      </c>
    </row>
    <row r="826" spans="1:13" x14ac:dyDescent="0.3">
      <c r="A826" t="s">
        <v>192</v>
      </c>
      <c r="B826" t="s">
        <v>47</v>
      </c>
      <c r="C826" t="s">
        <v>138</v>
      </c>
      <c r="D826" s="1">
        <v>43353</v>
      </c>
      <c r="E826">
        <v>3</v>
      </c>
      <c r="F826">
        <v>6125</v>
      </c>
      <c r="G826" t="s">
        <v>462</v>
      </c>
      <c r="H826" t="str">
        <f>VLOOKUP(A826, product_table!$A:$C, 3, 0)</f>
        <v>Own Brand</v>
      </c>
      <c r="I826" t="str">
        <f>VLOOKUP(transactions_table8[[#This Row],[market_code]],markets_table!$A:$B,2,0)</f>
        <v>Mumbai</v>
      </c>
      <c r="J826" t="str">
        <f>VLOOKUP(transactions_table8[[#This Row],[market_code]],markets_table!$A:$C,3,0)</f>
        <v>Central</v>
      </c>
      <c r="K826" t="str">
        <f>VLOOKUP(transactions_table8[[#This Row],[customer_code]],customer_table!$A:$B,2,0)</f>
        <v>Electricalslytical</v>
      </c>
      <c r="L826" t="str">
        <f>VLOOKUP(transactions_table8[[#This Row],[customer_code]],customer_table!$A:$C,3,0)</f>
        <v>E-Commerce</v>
      </c>
      <c r="M826">
        <f>IF(TRIM(CLEAN(transactions_table8[[#This Row],[currency]]))="USD",transactions_table8[[#This Row],[sales_amount]]*83,transactions_table8[[#This Row],[sales_amount]])</f>
        <v>6125</v>
      </c>
    </row>
    <row r="827" spans="1:13" x14ac:dyDescent="0.3">
      <c r="A827" t="s">
        <v>192</v>
      </c>
      <c r="B827" t="s">
        <v>51</v>
      </c>
      <c r="C827" t="s">
        <v>138</v>
      </c>
      <c r="D827" s="1">
        <v>43355</v>
      </c>
      <c r="E827">
        <v>1</v>
      </c>
      <c r="F827">
        <v>681</v>
      </c>
      <c r="G827" t="s">
        <v>462</v>
      </c>
      <c r="H827" t="str">
        <f>VLOOKUP(A827, product_table!$A:$C, 3, 0)</f>
        <v>Own Brand</v>
      </c>
      <c r="I827" t="str">
        <f>VLOOKUP(transactions_table8[[#This Row],[market_code]],markets_table!$A:$B,2,0)</f>
        <v>Mumbai</v>
      </c>
      <c r="J827" t="str">
        <f>VLOOKUP(transactions_table8[[#This Row],[market_code]],markets_table!$A:$C,3,0)</f>
        <v>Central</v>
      </c>
      <c r="K827" t="str">
        <f>VLOOKUP(transactions_table8[[#This Row],[customer_code]],customer_table!$A:$B,2,0)</f>
        <v>Power</v>
      </c>
      <c r="L827" t="str">
        <f>VLOOKUP(transactions_table8[[#This Row],[customer_code]],customer_table!$A:$C,3,0)</f>
        <v>E-Commerce</v>
      </c>
      <c r="M827">
        <f>IF(TRIM(CLEAN(transactions_table8[[#This Row],[currency]]))="USD",transactions_table8[[#This Row],[sales_amount]]*83,transactions_table8[[#This Row],[sales_amount]])</f>
        <v>681</v>
      </c>
    </row>
    <row r="828" spans="1:13" x14ac:dyDescent="0.3">
      <c r="A828" t="s">
        <v>192</v>
      </c>
      <c r="B828" t="s">
        <v>47</v>
      </c>
      <c r="C828" t="s">
        <v>138</v>
      </c>
      <c r="D828" s="1">
        <v>43356</v>
      </c>
      <c r="E828">
        <v>3</v>
      </c>
      <c r="F828">
        <v>6130</v>
      </c>
      <c r="G828" t="s">
        <v>462</v>
      </c>
      <c r="H828" t="str">
        <f>VLOOKUP(A828, product_table!$A:$C, 3, 0)</f>
        <v>Own Brand</v>
      </c>
      <c r="I828" t="str">
        <f>VLOOKUP(transactions_table8[[#This Row],[market_code]],markets_table!$A:$B,2,0)</f>
        <v>Mumbai</v>
      </c>
      <c r="J828" t="str">
        <f>VLOOKUP(transactions_table8[[#This Row],[market_code]],markets_table!$A:$C,3,0)</f>
        <v>Central</v>
      </c>
      <c r="K828" t="str">
        <f>VLOOKUP(transactions_table8[[#This Row],[customer_code]],customer_table!$A:$B,2,0)</f>
        <v>Electricalslytical</v>
      </c>
      <c r="L828" t="str">
        <f>VLOOKUP(transactions_table8[[#This Row],[customer_code]],customer_table!$A:$C,3,0)</f>
        <v>E-Commerce</v>
      </c>
      <c r="M828">
        <f>IF(TRIM(CLEAN(transactions_table8[[#This Row],[currency]]))="USD",transactions_table8[[#This Row],[sales_amount]]*83,transactions_table8[[#This Row],[sales_amount]])</f>
        <v>6130</v>
      </c>
    </row>
    <row r="829" spans="1:13" x14ac:dyDescent="0.3">
      <c r="A829" t="s">
        <v>192</v>
      </c>
      <c r="B829" t="s">
        <v>53</v>
      </c>
      <c r="C829" t="s">
        <v>138</v>
      </c>
      <c r="D829" s="1">
        <v>43356</v>
      </c>
      <c r="E829">
        <v>8</v>
      </c>
      <c r="F829">
        <v>17495</v>
      </c>
      <c r="G829" t="s">
        <v>462</v>
      </c>
      <c r="H829" t="str">
        <f>VLOOKUP(A829, product_table!$A:$C, 3, 0)</f>
        <v>Own Brand</v>
      </c>
      <c r="I829" t="str">
        <f>VLOOKUP(transactions_table8[[#This Row],[market_code]],markets_table!$A:$B,2,0)</f>
        <v>Mumbai</v>
      </c>
      <c r="J829" t="str">
        <f>VLOOKUP(transactions_table8[[#This Row],[market_code]],markets_table!$A:$C,3,0)</f>
        <v>Central</v>
      </c>
      <c r="K829" t="str">
        <f>VLOOKUP(transactions_table8[[#This Row],[customer_code]],customer_table!$A:$B,2,0)</f>
        <v>Path</v>
      </c>
      <c r="L829" t="str">
        <f>VLOOKUP(transactions_table8[[#This Row],[customer_code]],customer_table!$A:$C,3,0)</f>
        <v>E-Commerce</v>
      </c>
      <c r="M829">
        <f>IF(TRIM(CLEAN(transactions_table8[[#This Row],[currency]]))="USD",transactions_table8[[#This Row],[sales_amount]]*83,transactions_table8[[#This Row],[sales_amount]])</f>
        <v>17495</v>
      </c>
    </row>
    <row r="830" spans="1:13" x14ac:dyDescent="0.3">
      <c r="A830" t="s">
        <v>192</v>
      </c>
      <c r="B830" t="s">
        <v>49</v>
      </c>
      <c r="C830" t="s">
        <v>138</v>
      </c>
      <c r="D830" s="1">
        <v>43356</v>
      </c>
      <c r="E830">
        <v>1</v>
      </c>
      <c r="F830">
        <v>1440</v>
      </c>
      <c r="G830" t="s">
        <v>462</v>
      </c>
      <c r="H830" t="str">
        <f>VLOOKUP(A830, product_table!$A:$C, 3, 0)</f>
        <v>Own Brand</v>
      </c>
      <c r="I830" t="str">
        <f>VLOOKUP(transactions_table8[[#This Row],[market_code]],markets_table!$A:$B,2,0)</f>
        <v>Mumbai</v>
      </c>
      <c r="J830" t="str">
        <f>VLOOKUP(transactions_table8[[#This Row],[market_code]],markets_table!$A:$C,3,0)</f>
        <v>Central</v>
      </c>
      <c r="K830" t="str">
        <f>VLOOKUP(transactions_table8[[#This Row],[customer_code]],customer_table!$A:$B,2,0)</f>
        <v>Sound</v>
      </c>
      <c r="L830" t="str">
        <f>VLOOKUP(transactions_table8[[#This Row],[customer_code]],customer_table!$A:$C,3,0)</f>
        <v>E-Commerce</v>
      </c>
      <c r="M830">
        <f>IF(TRIM(CLEAN(transactions_table8[[#This Row],[currency]]))="USD",transactions_table8[[#This Row],[sales_amount]]*83,transactions_table8[[#This Row],[sales_amount]])</f>
        <v>1440</v>
      </c>
    </row>
    <row r="831" spans="1:13" x14ac:dyDescent="0.3">
      <c r="A831" t="s">
        <v>192</v>
      </c>
      <c r="B831" t="s">
        <v>47</v>
      </c>
      <c r="C831" t="s">
        <v>138</v>
      </c>
      <c r="D831" s="1">
        <v>43357</v>
      </c>
      <c r="E831">
        <v>3</v>
      </c>
      <c r="F831">
        <v>6125</v>
      </c>
      <c r="G831" t="s">
        <v>462</v>
      </c>
      <c r="H831" t="str">
        <f>VLOOKUP(A831, product_table!$A:$C, 3, 0)</f>
        <v>Own Brand</v>
      </c>
      <c r="I831" t="str">
        <f>VLOOKUP(transactions_table8[[#This Row],[market_code]],markets_table!$A:$B,2,0)</f>
        <v>Mumbai</v>
      </c>
      <c r="J831" t="str">
        <f>VLOOKUP(transactions_table8[[#This Row],[market_code]],markets_table!$A:$C,3,0)</f>
        <v>Central</v>
      </c>
      <c r="K831" t="str">
        <f>VLOOKUP(transactions_table8[[#This Row],[customer_code]],customer_table!$A:$B,2,0)</f>
        <v>Electricalslytical</v>
      </c>
      <c r="L831" t="str">
        <f>VLOOKUP(transactions_table8[[#This Row],[customer_code]],customer_table!$A:$C,3,0)</f>
        <v>E-Commerce</v>
      </c>
      <c r="M831">
        <f>IF(TRIM(CLEAN(transactions_table8[[#This Row],[currency]]))="USD",transactions_table8[[#This Row],[sales_amount]]*83,transactions_table8[[#This Row],[sales_amount]])</f>
        <v>6125</v>
      </c>
    </row>
    <row r="832" spans="1:13" x14ac:dyDescent="0.3">
      <c r="A832" t="s">
        <v>192</v>
      </c>
      <c r="B832" t="s">
        <v>47</v>
      </c>
      <c r="C832" t="s">
        <v>138</v>
      </c>
      <c r="D832" s="1">
        <v>43360</v>
      </c>
      <c r="E832">
        <v>1</v>
      </c>
      <c r="F832">
        <v>3065</v>
      </c>
      <c r="G832" t="s">
        <v>462</v>
      </c>
      <c r="H832" t="str">
        <f>VLOOKUP(A832, product_table!$A:$C, 3, 0)</f>
        <v>Own Brand</v>
      </c>
      <c r="I832" t="str">
        <f>VLOOKUP(transactions_table8[[#This Row],[market_code]],markets_table!$A:$B,2,0)</f>
        <v>Mumbai</v>
      </c>
      <c r="J832" t="str">
        <f>VLOOKUP(transactions_table8[[#This Row],[market_code]],markets_table!$A:$C,3,0)</f>
        <v>Central</v>
      </c>
      <c r="K832" t="str">
        <f>VLOOKUP(transactions_table8[[#This Row],[customer_code]],customer_table!$A:$B,2,0)</f>
        <v>Electricalslytical</v>
      </c>
      <c r="L832" t="str">
        <f>VLOOKUP(transactions_table8[[#This Row],[customer_code]],customer_table!$A:$C,3,0)</f>
        <v>E-Commerce</v>
      </c>
      <c r="M832">
        <f>IF(TRIM(CLEAN(transactions_table8[[#This Row],[currency]]))="USD",transactions_table8[[#This Row],[sales_amount]]*83,transactions_table8[[#This Row],[sales_amount]])</f>
        <v>3065</v>
      </c>
    </row>
    <row r="833" spans="1:13" x14ac:dyDescent="0.3">
      <c r="A833" t="s">
        <v>192</v>
      </c>
      <c r="B833" t="s">
        <v>51</v>
      </c>
      <c r="C833" t="s">
        <v>138</v>
      </c>
      <c r="D833" s="1">
        <v>43361</v>
      </c>
      <c r="E833">
        <v>1</v>
      </c>
      <c r="F833">
        <v>676</v>
      </c>
      <c r="G833" t="s">
        <v>462</v>
      </c>
      <c r="H833" t="str">
        <f>VLOOKUP(A833, product_table!$A:$C, 3, 0)</f>
        <v>Own Brand</v>
      </c>
      <c r="I833" t="str">
        <f>VLOOKUP(transactions_table8[[#This Row],[market_code]],markets_table!$A:$B,2,0)</f>
        <v>Mumbai</v>
      </c>
      <c r="J833" t="str">
        <f>VLOOKUP(transactions_table8[[#This Row],[market_code]],markets_table!$A:$C,3,0)</f>
        <v>Central</v>
      </c>
      <c r="K833" t="str">
        <f>VLOOKUP(transactions_table8[[#This Row],[customer_code]],customer_table!$A:$B,2,0)</f>
        <v>Power</v>
      </c>
      <c r="L833" t="str">
        <f>VLOOKUP(transactions_table8[[#This Row],[customer_code]],customer_table!$A:$C,3,0)</f>
        <v>E-Commerce</v>
      </c>
      <c r="M833">
        <f>IF(TRIM(CLEAN(transactions_table8[[#This Row],[currency]]))="USD",transactions_table8[[#This Row],[sales_amount]]*83,transactions_table8[[#This Row],[sales_amount]])</f>
        <v>676</v>
      </c>
    </row>
    <row r="834" spans="1:13" x14ac:dyDescent="0.3">
      <c r="A834" t="s">
        <v>192</v>
      </c>
      <c r="B834" t="s">
        <v>47</v>
      </c>
      <c r="C834" t="s">
        <v>138</v>
      </c>
      <c r="D834" s="1">
        <v>43362</v>
      </c>
      <c r="E834">
        <v>1</v>
      </c>
      <c r="F834">
        <v>3065</v>
      </c>
      <c r="G834" t="s">
        <v>462</v>
      </c>
      <c r="H834" t="str">
        <f>VLOOKUP(A834, product_table!$A:$C, 3, 0)</f>
        <v>Own Brand</v>
      </c>
      <c r="I834" t="str">
        <f>VLOOKUP(transactions_table8[[#This Row],[market_code]],markets_table!$A:$B,2,0)</f>
        <v>Mumbai</v>
      </c>
      <c r="J834" t="str">
        <f>VLOOKUP(transactions_table8[[#This Row],[market_code]],markets_table!$A:$C,3,0)</f>
        <v>Central</v>
      </c>
      <c r="K834" t="str">
        <f>VLOOKUP(transactions_table8[[#This Row],[customer_code]],customer_table!$A:$B,2,0)</f>
        <v>Electricalslytical</v>
      </c>
      <c r="L834" t="str">
        <f>VLOOKUP(transactions_table8[[#This Row],[customer_code]],customer_table!$A:$C,3,0)</f>
        <v>E-Commerce</v>
      </c>
      <c r="M834">
        <f>IF(TRIM(CLEAN(transactions_table8[[#This Row],[currency]]))="USD",transactions_table8[[#This Row],[sales_amount]]*83,transactions_table8[[#This Row],[sales_amount]])</f>
        <v>3065</v>
      </c>
    </row>
    <row r="835" spans="1:13" x14ac:dyDescent="0.3">
      <c r="A835" t="s">
        <v>192</v>
      </c>
      <c r="B835" t="s">
        <v>47</v>
      </c>
      <c r="C835" t="s">
        <v>138</v>
      </c>
      <c r="D835" s="1">
        <v>43364</v>
      </c>
      <c r="E835">
        <v>1</v>
      </c>
      <c r="F835">
        <v>3065</v>
      </c>
      <c r="G835" t="s">
        <v>462</v>
      </c>
      <c r="H835" t="str">
        <f>VLOOKUP(A835, product_table!$A:$C, 3, 0)</f>
        <v>Own Brand</v>
      </c>
      <c r="I835" t="str">
        <f>VLOOKUP(transactions_table8[[#This Row],[market_code]],markets_table!$A:$B,2,0)</f>
        <v>Mumbai</v>
      </c>
      <c r="J835" t="str">
        <f>VLOOKUP(transactions_table8[[#This Row],[market_code]],markets_table!$A:$C,3,0)</f>
        <v>Central</v>
      </c>
      <c r="K835" t="str">
        <f>VLOOKUP(transactions_table8[[#This Row],[customer_code]],customer_table!$A:$B,2,0)</f>
        <v>Electricalslytical</v>
      </c>
      <c r="L835" t="str">
        <f>VLOOKUP(transactions_table8[[#This Row],[customer_code]],customer_table!$A:$C,3,0)</f>
        <v>E-Commerce</v>
      </c>
      <c r="M835">
        <f>IF(TRIM(CLEAN(transactions_table8[[#This Row],[currency]]))="USD",transactions_table8[[#This Row],[sales_amount]]*83,transactions_table8[[#This Row],[sales_amount]])</f>
        <v>3065</v>
      </c>
    </row>
    <row r="836" spans="1:13" x14ac:dyDescent="0.3">
      <c r="A836" t="s">
        <v>192</v>
      </c>
      <c r="B836" t="s">
        <v>47</v>
      </c>
      <c r="C836" t="s">
        <v>138</v>
      </c>
      <c r="D836" s="1">
        <v>43364</v>
      </c>
      <c r="E836">
        <v>13</v>
      </c>
      <c r="F836">
        <v>28269</v>
      </c>
      <c r="G836" t="s">
        <v>462</v>
      </c>
      <c r="H836" t="str">
        <f>VLOOKUP(A836, product_table!$A:$C, 3, 0)</f>
        <v>Own Brand</v>
      </c>
      <c r="I836" t="str">
        <f>VLOOKUP(transactions_table8[[#This Row],[market_code]],markets_table!$A:$B,2,0)</f>
        <v>Mumbai</v>
      </c>
      <c r="J836" t="str">
        <f>VLOOKUP(transactions_table8[[#This Row],[market_code]],markets_table!$A:$C,3,0)</f>
        <v>Central</v>
      </c>
      <c r="K836" t="str">
        <f>VLOOKUP(transactions_table8[[#This Row],[customer_code]],customer_table!$A:$B,2,0)</f>
        <v>Electricalslytical</v>
      </c>
      <c r="L836" t="str">
        <f>VLOOKUP(transactions_table8[[#This Row],[customer_code]],customer_table!$A:$C,3,0)</f>
        <v>E-Commerce</v>
      </c>
      <c r="M836">
        <f>IF(TRIM(CLEAN(transactions_table8[[#This Row],[currency]]))="USD",transactions_table8[[#This Row],[sales_amount]]*83,transactions_table8[[#This Row],[sales_amount]])</f>
        <v>28269</v>
      </c>
    </row>
    <row r="837" spans="1:13" x14ac:dyDescent="0.3">
      <c r="A837" t="s">
        <v>192</v>
      </c>
      <c r="B837" t="s">
        <v>47</v>
      </c>
      <c r="C837" t="s">
        <v>138</v>
      </c>
      <c r="D837" s="1">
        <v>43367</v>
      </c>
      <c r="E837">
        <v>1</v>
      </c>
      <c r="F837">
        <v>3065</v>
      </c>
      <c r="G837" t="s">
        <v>462</v>
      </c>
      <c r="H837" t="str">
        <f>VLOOKUP(A837, product_table!$A:$C, 3, 0)</f>
        <v>Own Brand</v>
      </c>
      <c r="I837" t="str">
        <f>VLOOKUP(transactions_table8[[#This Row],[market_code]],markets_table!$A:$B,2,0)</f>
        <v>Mumbai</v>
      </c>
      <c r="J837" t="str">
        <f>VLOOKUP(transactions_table8[[#This Row],[market_code]],markets_table!$A:$C,3,0)</f>
        <v>Central</v>
      </c>
      <c r="K837" t="str">
        <f>VLOOKUP(transactions_table8[[#This Row],[customer_code]],customer_table!$A:$B,2,0)</f>
        <v>Electricalslytical</v>
      </c>
      <c r="L837" t="str">
        <f>VLOOKUP(transactions_table8[[#This Row],[customer_code]],customer_table!$A:$C,3,0)</f>
        <v>E-Commerce</v>
      </c>
      <c r="M837">
        <f>IF(TRIM(CLEAN(transactions_table8[[#This Row],[currency]]))="USD",transactions_table8[[#This Row],[sales_amount]]*83,transactions_table8[[#This Row],[sales_amount]])</f>
        <v>3065</v>
      </c>
    </row>
    <row r="838" spans="1:13" x14ac:dyDescent="0.3">
      <c r="A838" t="s">
        <v>192</v>
      </c>
      <c r="B838" t="s">
        <v>34</v>
      </c>
      <c r="C838" t="s">
        <v>138</v>
      </c>
      <c r="D838" s="1">
        <v>43369</v>
      </c>
      <c r="E838">
        <v>12</v>
      </c>
      <c r="F838">
        <v>24792</v>
      </c>
      <c r="G838" t="s">
        <v>462</v>
      </c>
      <c r="H838" t="str">
        <f>VLOOKUP(A838, product_table!$A:$C, 3, 0)</f>
        <v>Own Brand</v>
      </c>
      <c r="I838" t="str">
        <f>VLOOKUP(transactions_table8[[#This Row],[market_code]],markets_table!$A:$B,2,0)</f>
        <v>Mumbai</v>
      </c>
      <c r="J838" t="str">
        <f>VLOOKUP(transactions_table8[[#This Row],[market_code]],markets_table!$A:$C,3,0)</f>
        <v>Central</v>
      </c>
      <c r="K838" t="str">
        <f>VLOOKUP(transactions_table8[[#This Row],[customer_code]],customer_table!$A:$B,2,0)</f>
        <v>Logic Stores</v>
      </c>
      <c r="L838" t="str">
        <f>VLOOKUP(transactions_table8[[#This Row],[customer_code]],customer_table!$A:$C,3,0)</f>
        <v>Brick &amp; Mortar</v>
      </c>
      <c r="M838">
        <f>IF(TRIM(CLEAN(transactions_table8[[#This Row],[currency]]))="USD",transactions_table8[[#This Row],[sales_amount]]*83,transactions_table8[[#This Row],[sales_amount]])</f>
        <v>24792</v>
      </c>
    </row>
    <row r="839" spans="1:13" x14ac:dyDescent="0.3">
      <c r="A839" t="s">
        <v>192</v>
      </c>
      <c r="B839" t="s">
        <v>47</v>
      </c>
      <c r="C839" t="s">
        <v>138</v>
      </c>
      <c r="D839" s="1">
        <v>43369</v>
      </c>
      <c r="E839">
        <v>1</v>
      </c>
      <c r="F839">
        <v>3065</v>
      </c>
      <c r="G839" t="s">
        <v>462</v>
      </c>
      <c r="H839" t="str">
        <f>VLOOKUP(A839, product_table!$A:$C, 3, 0)</f>
        <v>Own Brand</v>
      </c>
      <c r="I839" t="str">
        <f>VLOOKUP(transactions_table8[[#This Row],[market_code]],markets_table!$A:$B,2,0)</f>
        <v>Mumbai</v>
      </c>
      <c r="J839" t="str">
        <f>VLOOKUP(transactions_table8[[#This Row],[market_code]],markets_table!$A:$C,3,0)</f>
        <v>Central</v>
      </c>
      <c r="K839" t="str">
        <f>VLOOKUP(transactions_table8[[#This Row],[customer_code]],customer_table!$A:$B,2,0)</f>
        <v>Electricalslytical</v>
      </c>
      <c r="L839" t="str">
        <f>VLOOKUP(transactions_table8[[#This Row],[customer_code]],customer_table!$A:$C,3,0)</f>
        <v>E-Commerce</v>
      </c>
      <c r="M839">
        <f>IF(TRIM(CLEAN(transactions_table8[[#This Row],[currency]]))="USD",transactions_table8[[#This Row],[sales_amount]]*83,transactions_table8[[#This Row],[sales_amount]])</f>
        <v>3065</v>
      </c>
    </row>
    <row r="840" spans="1:13" x14ac:dyDescent="0.3">
      <c r="A840" t="s">
        <v>192</v>
      </c>
      <c r="B840" t="s">
        <v>47</v>
      </c>
      <c r="C840" t="s">
        <v>138</v>
      </c>
      <c r="D840" s="1">
        <v>43370</v>
      </c>
      <c r="E840">
        <v>1</v>
      </c>
      <c r="F840">
        <v>3065</v>
      </c>
      <c r="G840" t="s">
        <v>462</v>
      </c>
      <c r="H840" t="str">
        <f>VLOOKUP(A840, product_table!$A:$C, 3, 0)</f>
        <v>Own Brand</v>
      </c>
      <c r="I840" t="str">
        <f>VLOOKUP(transactions_table8[[#This Row],[market_code]],markets_table!$A:$B,2,0)</f>
        <v>Mumbai</v>
      </c>
      <c r="J840" t="str">
        <f>VLOOKUP(transactions_table8[[#This Row],[market_code]],markets_table!$A:$C,3,0)</f>
        <v>Central</v>
      </c>
      <c r="K840" t="str">
        <f>VLOOKUP(transactions_table8[[#This Row],[customer_code]],customer_table!$A:$B,2,0)</f>
        <v>Electricalslytical</v>
      </c>
      <c r="L840" t="str">
        <f>VLOOKUP(transactions_table8[[#This Row],[customer_code]],customer_table!$A:$C,3,0)</f>
        <v>E-Commerce</v>
      </c>
      <c r="M840">
        <f>IF(TRIM(CLEAN(transactions_table8[[#This Row],[currency]]))="USD",transactions_table8[[#This Row],[sales_amount]]*83,transactions_table8[[#This Row],[sales_amount]])</f>
        <v>3065</v>
      </c>
    </row>
    <row r="841" spans="1:13" x14ac:dyDescent="0.3">
      <c r="A841" t="s">
        <v>192</v>
      </c>
      <c r="B841" t="s">
        <v>47</v>
      </c>
      <c r="C841" t="s">
        <v>138</v>
      </c>
      <c r="D841" s="1">
        <v>43371</v>
      </c>
      <c r="E841">
        <v>1</v>
      </c>
      <c r="F841">
        <v>3065</v>
      </c>
      <c r="G841" t="s">
        <v>462</v>
      </c>
      <c r="H841" t="str">
        <f>VLOOKUP(A841, product_table!$A:$C, 3, 0)</f>
        <v>Own Brand</v>
      </c>
      <c r="I841" t="str">
        <f>VLOOKUP(transactions_table8[[#This Row],[market_code]],markets_table!$A:$B,2,0)</f>
        <v>Mumbai</v>
      </c>
      <c r="J841" t="str">
        <f>VLOOKUP(transactions_table8[[#This Row],[market_code]],markets_table!$A:$C,3,0)</f>
        <v>Central</v>
      </c>
      <c r="K841" t="str">
        <f>VLOOKUP(transactions_table8[[#This Row],[customer_code]],customer_table!$A:$B,2,0)</f>
        <v>Electricalslytical</v>
      </c>
      <c r="L841" t="str">
        <f>VLOOKUP(transactions_table8[[#This Row],[customer_code]],customer_table!$A:$C,3,0)</f>
        <v>E-Commerce</v>
      </c>
      <c r="M841">
        <f>IF(TRIM(CLEAN(transactions_table8[[#This Row],[currency]]))="USD",transactions_table8[[#This Row],[sales_amount]]*83,transactions_table8[[#This Row],[sales_amount]])</f>
        <v>3065</v>
      </c>
    </row>
    <row r="842" spans="1:13" x14ac:dyDescent="0.3">
      <c r="A842" t="s">
        <v>192</v>
      </c>
      <c r="B842" t="s">
        <v>49</v>
      </c>
      <c r="C842" t="s">
        <v>138</v>
      </c>
      <c r="D842" s="1">
        <v>43371</v>
      </c>
      <c r="E842">
        <v>1</v>
      </c>
      <c r="F842">
        <v>1440</v>
      </c>
      <c r="G842" t="s">
        <v>462</v>
      </c>
      <c r="H842" t="str">
        <f>VLOOKUP(A842, product_table!$A:$C, 3, 0)</f>
        <v>Own Brand</v>
      </c>
      <c r="I842" t="str">
        <f>VLOOKUP(transactions_table8[[#This Row],[market_code]],markets_table!$A:$B,2,0)</f>
        <v>Mumbai</v>
      </c>
      <c r="J842" t="str">
        <f>VLOOKUP(transactions_table8[[#This Row],[market_code]],markets_table!$A:$C,3,0)</f>
        <v>Central</v>
      </c>
      <c r="K842" t="str">
        <f>VLOOKUP(transactions_table8[[#This Row],[customer_code]],customer_table!$A:$B,2,0)</f>
        <v>Sound</v>
      </c>
      <c r="L842" t="str">
        <f>VLOOKUP(transactions_table8[[#This Row],[customer_code]],customer_table!$A:$C,3,0)</f>
        <v>E-Commerce</v>
      </c>
      <c r="M842">
        <f>IF(TRIM(CLEAN(transactions_table8[[#This Row],[currency]]))="USD",transactions_table8[[#This Row],[sales_amount]]*83,transactions_table8[[#This Row],[sales_amount]])</f>
        <v>1440</v>
      </c>
    </row>
    <row r="843" spans="1:13" x14ac:dyDescent="0.3">
      <c r="A843" t="s">
        <v>192</v>
      </c>
      <c r="B843" t="s">
        <v>34</v>
      </c>
      <c r="C843" t="s">
        <v>138</v>
      </c>
      <c r="D843" s="1">
        <v>43374</v>
      </c>
      <c r="E843">
        <v>6</v>
      </c>
      <c r="F843">
        <v>11519</v>
      </c>
      <c r="G843" t="s">
        <v>462</v>
      </c>
      <c r="H843" t="str">
        <f>VLOOKUP(A843, product_table!$A:$C, 3, 0)</f>
        <v>Own Brand</v>
      </c>
      <c r="I843" t="str">
        <f>VLOOKUP(transactions_table8[[#This Row],[market_code]],markets_table!$A:$B,2,0)</f>
        <v>Mumbai</v>
      </c>
      <c r="J843" t="str">
        <f>VLOOKUP(transactions_table8[[#This Row],[market_code]],markets_table!$A:$C,3,0)</f>
        <v>Central</v>
      </c>
      <c r="K843" t="str">
        <f>VLOOKUP(transactions_table8[[#This Row],[customer_code]],customer_table!$A:$B,2,0)</f>
        <v>Logic Stores</v>
      </c>
      <c r="L843" t="str">
        <f>VLOOKUP(transactions_table8[[#This Row],[customer_code]],customer_table!$A:$C,3,0)</f>
        <v>Brick &amp; Mortar</v>
      </c>
      <c r="M843">
        <f>IF(TRIM(CLEAN(transactions_table8[[#This Row],[currency]]))="USD",transactions_table8[[#This Row],[sales_amount]]*83,transactions_table8[[#This Row],[sales_amount]])</f>
        <v>11519</v>
      </c>
    </row>
    <row r="844" spans="1:13" x14ac:dyDescent="0.3">
      <c r="A844" t="s">
        <v>192</v>
      </c>
      <c r="B844" t="s">
        <v>47</v>
      </c>
      <c r="C844" t="s">
        <v>138</v>
      </c>
      <c r="D844" s="1">
        <v>43374</v>
      </c>
      <c r="E844">
        <v>1</v>
      </c>
      <c r="F844">
        <v>3065</v>
      </c>
      <c r="G844" t="s">
        <v>462</v>
      </c>
      <c r="H844" t="str">
        <f>VLOOKUP(A844, product_table!$A:$C, 3, 0)</f>
        <v>Own Brand</v>
      </c>
      <c r="I844" t="str">
        <f>VLOOKUP(transactions_table8[[#This Row],[market_code]],markets_table!$A:$B,2,0)</f>
        <v>Mumbai</v>
      </c>
      <c r="J844" t="str">
        <f>VLOOKUP(transactions_table8[[#This Row],[market_code]],markets_table!$A:$C,3,0)</f>
        <v>Central</v>
      </c>
      <c r="K844" t="str">
        <f>VLOOKUP(transactions_table8[[#This Row],[customer_code]],customer_table!$A:$B,2,0)</f>
        <v>Electricalslytical</v>
      </c>
      <c r="L844" t="str">
        <f>VLOOKUP(transactions_table8[[#This Row],[customer_code]],customer_table!$A:$C,3,0)</f>
        <v>E-Commerce</v>
      </c>
      <c r="M844">
        <f>IF(TRIM(CLEAN(transactions_table8[[#This Row],[currency]]))="USD",transactions_table8[[#This Row],[sales_amount]]*83,transactions_table8[[#This Row],[sales_amount]])</f>
        <v>3065</v>
      </c>
    </row>
    <row r="845" spans="1:13" x14ac:dyDescent="0.3">
      <c r="A845" t="s">
        <v>192</v>
      </c>
      <c r="B845" t="s">
        <v>51</v>
      </c>
      <c r="C845" t="s">
        <v>138</v>
      </c>
      <c r="D845" s="1">
        <v>43374</v>
      </c>
      <c r="E845">
        <v>1</v>
      </c>
      <c r="F845">
        <v>1356</v>
      </c>
      <c r="G845" t="s">
        <v>462</v>
      </c>
      <c r="H845" t="str">
        <f>VLOOKUP(A845, product_table!$A:$C, 3, 0)</f>
        <v>Own Brand</v>
      </c>
      <c r="I845" t="str">
        <f>VLOOKUP(transactions_table8[[#This Row],[market_code]],markets_table!$A:$B,2,0)</f>
        <v>Mumbai</v>
      </c>
      <c r="J845" t="str">
        <f>VLOOKUP(transactions_table8[[#This Row],[market_code]],markets_table!$A:$C,3,0)</f>
        <v>Central</v>
      </c>
      <c r="K845" t="str">
        <f>VLOOKUP(transactions_table8[[#This Row],[customer_code]],customer_table!$A:$B,2,0)</f>
        <v>Power</v>
      </c>
      <c r="L845" t="str">
        <f>VLOOKUP(transactions_table8[[#This Row],[customer_code]],customer_table!$A:$C,3,0)</f>
        <v>E-Commerce</v>
      </c>
      <c r="M845">
        <f>IF(TRIM(CLEAN(transactions_table8[[#This Row],[currency]]))="USD",transactions_table8[[#This Row],[sales_amount]]*83,transactions_table8[[#This Row],[sales_amount]])</f>
        <v>1356</v>
      </c>
    </row>
    <row r="846" spans="1:13" x14ac:dyDescent="0.3">
      <c r="A846" t="s">
        <v>192</v>
      </c>
      <c r="B846" t="s">
        <v>51</v>
      </c>
      <c r="C846" t="s">
        <v>138</v>
      </c>
      <c r="D846" s="1">
        <v>43375</v>
      </c>
      <c r="E846">
        <v>1</v>
      </c>
      <c r="F846">
        <v>1019</v>
      </c>
      <c r="G846" t="s">
        <v>462</v>
      </c>
      <c r="H846" t="str">
        <f>VLOOKUP(A846, product_table!$A:$C, 3, 0)</f>
        <v>Own Brand</v>
      </c>
      <c r="I846" t="str">
        <f>VLOOKUP(transactions_table8[[#This Row],[market_code]],markets_table!$A:$B,2,0)</f>
        <v>Mumbai</v>
      </c>
      <c r="J846" t="str">
        <f>VLOOKUP(transactions_table8[[#This Row],[market_code]],markets_table!$A:$C,3,0)</f>
        <v>Central</v>
      </c>
      <c r="K846" t="str">
        <f>VLOOKUP(transactions_table8[[#This Row],[customer_code]],customer_table!$A:$B,2,0)</f>
        <v>Power</v>
      </c>
      <c r="L846" t="str">
        <f>VLOOKUP(transactions_table8[[#This Row],[customer_code]],customer_table!$A:$C,3,0)</f>
        <v>E-Commerce</v>
      </c>
      <c r="M846">
        <f>IF(TRIM(CLEAN(transactions_table8[[#This Row],[currency]]))="USD",transactions_table8[[#This Row],[sales_amount]]*83,transactions_table8[[#This Row],[sales_amount]])</f>
        <v>1019</v>
      </c>
    </row>
    <row r="847" spans="1:13" x14ac:dyDescent="0.3">
      <c r="A847" t="s">
        <v>192</v>
      </c>
      <c r="B847" t="s">
        <v>47</v>
      </c>
      <c r="C847" t="s">
        <v>138</v>
      </c>
      <c r="D847" s="1">
        <v>43376</v>
      </c>
      <c r="E847">
        <v>1</v>
      </c>
      <c r="F847">
        <v>3065</v>
      </c>
      <c r="G847" t="s">
        <v>462</v>
      </c>
      <c r="H847" t="str">
        <f>VLOOKUP(A847, product_table!$A:$C, 3, 0)</f>
        <v>Own Brand</v>
      </c>
      <c r="I847" t="str">
        <f>VLOOKUP(transactions_table8[[#This Row],[market_code]],markets_table!$A:$B,2,0)</f>
        <v>Mumbai</v>
      </c>
      <c r="J847" t="str">
        <f>VLOOKUP(transactions_table8[[#This Row],[market_code]],markets_table!$A:$C,3,0)</f>
        <v>Central</v>
      </c>
      <c r="K847" t="str">
        <f>VLOOKUP(transactions_table8[[#This Row],[customer_code]],customer_table!$A:$B,2,0)</f>
        <v>Electricalslytical</v>
      </c>
      <c r="L847" t="str">
        <f>VLOOKUP(transactions_table8[[#This Row],[customer_code]],customer_table!$A:$C,3,0)</f>
        <v>E-Commerce</v>
      </c>
      <c r="M847">
        <f>IF(TRIM(CLEAN(transactions_table8[[#This Row],[currency]]))="USD",transactions_table8[[#This Row],[sales_amount]]*83,transactions_table8[[#This Row],[sales_amount]])</f>
        <v>3065</v>
      </c>
    </row>
    <row r="848" spans="1:13" x14ac:dyDescent="0.3">
      <c r="A848" t="s">
        <v>192</v>
      </c>
      <c r="B848" t="s">
        <v>24</v>
      </c>
      <c r="C848" t="s">
        <v>141</v>
      </c>
      <c r="D848" s="1">
        <v>43381</v>
      </c>
      <c r="E848">
        <v>1</v>
      </c>
      <c r="F848">
        <v>1176</v>
      </c>
      <c r="G848" t="s">
        <v>462</v>
      </c>
      <c r="H848" t="str">
        <f>VLOOKUP(A848, product_table!$A:$C, 3, 0)</f>
        <v>Own Brand</v>
      </c>
      <c r="I848" t="str">
        <f>VLOOKUP(transactions_table8[[#This Row],[market_code]],markets_table!$A:$B,2,0)</f>
        <v>Ahmedabad</v>
      </c>
      <c r="J848" t="str">
        <f>VLOOKUP(transactions_table8[[#This Row],[market_code]],markets_table!$A:$C,3,0)</f>
        <v>North</v>
      </c>
      <c r="K848" t="str">
        <f>VLOOKUP(transactions_table8[[#This Row],[customer_code]],customer_table!$A:$B,2,0)</f>
        <v>Flawless Stores</v>
      </c>
      <c r="L848" t="str">
        <f>VLOOKUP(transactions_table8[[#This Row],[customer_code]],customer_table!$A:$C,3,0)</f>
        <v>Brick &amp; Mortar</v>
      </c>
      <c r="M848">
        <f>IF(TRIM(CLEAN(transactions_table8[[#This Row],[currency]]))="USD",transactions_table8[[#This Row],[sales_amount]]*83,transactions_table8[[#This Row],[sales_amount]])</f>
        <v>1176</v>
      </c>
    </row>
    <row r="849" spans="1:13" x14ac:dyDescent="0.3">
      <c r="A849" t="s">
        <v>192</v>
      </c>
      <c r="B849" t="s">
        <v>34</v>
      </c>
      <c r="C849" t="s">
        <v>138</v>
      </c>
      <c r="D849" s="1">
        <v>43381</v>
      </c>
      <c r="E849">
        <v>1</v>
      </c>
      <c r="F849">
        <v>1398</v>
      </c>
      <c r="G849" t="s">
        <v>462</v>
      </c>
      <c r="H849" t="str">
        <f>VLOOKUP(A849, product_table!$A:$C, 3, 0)</f>
        <v>Own Brand</v>
      </c>
      <c r="I849" t="str">
        <f>VLOOKUP(transactions_table8[[#This Row],[market_code]],markets_table!$A:$B,2,0)</f>
        <v>Mumbai</v>
      </c>
      <c r="J849" t="str">
        <f>VLOOKUP(transactions_table8[[#This Row],[market_code]],markets_table!$A:$C,3,0)</f>
        <v>Central</v>
      </c>
      <c r="K849" t="str">
        <f>VLOOKUP(transactions_table8[[#This Row],[customer_code]],customer_table!$A:$B,2,0)</f>
        <v>Logic Stores</v>
      </c>
      <c r="L849" t="str">
        <f>VLOOKUP(transactions_table8[[#This Row],[customer_code]],customer_table!$A:$C,3,0)</f>
        <v>Brick &amp; Mortar</v>
      </c>
      <c r="M849">
        <f>IF(TRIM(CLEAN(transactions_table8[[#This Row],[currency]]))="USD",transactions_table8[[#This Row],[sales_amount]]*83,transactions_table8[[#This Row],[sales_amount]])</f>
        <v>1398</v>
      </c>
    </row>
    <row r="850" spans="1:13" x14ac:dyDescent="0.3">
      <c r="A850" t="s">
        <v>192</v>
      </c>
      <c r="B850" t="s">
        <v>47</v>
      </c>
      <c r="C850" t="s">
        <v>138</v>
      </c>
      <c r="D850" s="1">
        <v>43381</v>
      </c>
      <c r="E850">
        <v>3</v>
      </c>
      <c r="F850">
        <v>6125</v>
      </c>
      <c r="G850" t="s">
        <v>462</v>
      </c>
      <c r="H850" t="str">
        <f>VLOOKUP(A850, product_table!$A:$C, 3, 0)</f>
        <v>Own Brand</v>
      </c>
      <c r="I850" t="str">
        <f>VLOOKUP(transactions_table8[[#This Row],[market_code]],markets_table!$A:$B,2,0)</f>
        <v>Mumbai</v>
      </c>
      <c r="J850" t="str">
        <f>VLOOKUP(transactions_table8[[#This Row],[market_code]],markets_table!$A:$C,3,0)</f>
        <v>Central</v>
      </c>
      <c r="K850" t="str">
        <f>VLOOKUP(transactions_table8[[#This Row],[customer_code]],customer_table!$A:$B,2,0)</f>
        <v>Electricalslytical</v>
      </c>
      <c r="L850" t="str">
        <f>VLOOKUP(transactions_table8[[#This Row],[customer_code]],customer_table!$A:$C,3,0)</f>
        <v>E-Commerce</v>
      </c>
      <c r="M850">
        <f>IF(TRIM(CLEAN(transactions_table8[[#This Row],[currency]]))="USD",transactions_table8[[#This Row],[sales_amount]]*83,transactions_table8[[#This Row],[sales_amount]])</f>
        <v>6125</v>
      </c>
    </row>
    <row r="851" spans="1:13" x14ac:dyDescent="0.3">
      <c r="A851" t="s">
        <v>192</v>
      </c>
      <c r="B851" t="s">
        <v>47</v>
      </c>
      <c r="C851" t="s">
        <v>138</v>
      </c>
      <c r="D851" s="1">
        <v>43382</v>
      </c>
      <c r="E851">
        <v>4</v>
      </c>
      <c r="F851">
        <v>9190</v>
      </c>
      <c r="G851" t="s">
        <v>462</v>
      </c>
      <c r="H851" t="str">
        <f>VLOOKUP(A851, product_table!$A:$C, 3, 0)</f>
        <v>Own Brand</v>
      </c>
      <c r="I851" t="str">
        <f>VLOOKUP(transactions_table8[[#This Row],[market_code]],markets_table!$A:$B,2,0)</f>
        <v>Mumbai</v>
      </c>
      <c r="J851" t="str">
        <f>VLOOKUP(transactions_table8[[#This Row],[market_code]],markets_table!$A:$C,3,0)</f>
        <v>Central</v>
      </c>
      <c r="K851" t="str">
        <f>VLOOKUP(transactions_table8[[#This Row],[customer_code]],customer_table!$A:$B,2,0)</f>
        <v>Electricalslytical</v>
      </c>
      <c r="L851" t="str">
        <f>VLOOKUP(transactions_table8[[#This Row],[customer_code]],customer_table!$A:$C,3,0)</f>
        <v>E-Commerce</v>
      </c>
      <c r="M851">
        <f>IF(TRIM(CLEAN(transactions_table8[[#This Row],[currency]]))="USD",transactions_table8[[#This Row],[sales_amount]]*83,transactions_table8[[#This Row],[sales_amount]])</f>
        <v>9190</v>
      </c>
    </row>
    <row r="852" spans="1:13" x14ac:dyDescent="0.3">
      <c r="A852" t="s">
        <v>192</v>
      </c>
      <c r="B852" t="s">
        <v>47</v>
      </c>
      <c r="C852" t="s">
        <v>138</v>
      </c>
      <c r="D852" s="1">
        <v>43384</v>
      </c>
      <c r="E852">
        <v>1</v>
      </c>
      <c r="F852">
        <v>3065</v>
      </c>
      <c r="G852" t="s">
        <v>462</v>
      </c>
      <c r="H852" t="str">
        <f>VLOOKUP(A852, product_table!$A:$C, 3, 0)</f>
        <v>Own Brand</v>
      </c>
      <c r="I852" t="str">
        <f>VLOOKUP(transactions_table8[[#This Row],[market_code]],markets_table!$A:$B,2,0)</f>
        <v>Mumbai</v>
      </c>
      <c r="J852" t="str">
        <f>VLOOKUP(transactions_table8[[#This Row],[market_code]],markets_table!$A:$C,3,0)</f>
        <v>Central</v>
      </c>
      <c r="K852" t="str">
        <f>VLOOKUP(transactions_table8[[#This Row],[customer_code]],customer_table!$A:$B,2,0)</f>
        <v>Electricalslytical</v>
      </c>
      <c r="L852" t="str">
        <f>VLOOKUP(transactions_table8[[#This Row],[customer_code]],customer_table!$A:$C,3,0)</f>
        <v>E-Commerce</v>
      </c>
      <c r="M852">
        <f>IF(TRIM(CLEAN(transactions_table8[[#This Row],[currency]]))="USD",transactions_table8[[#This Row],[sales_amount]]*83,transactions_table8[[#This Row],[sales_amount]])</f>
        <v>3065</v>
      </c>
    </row>
    <row r="853" spans="1:13" x14ac:dyDescent="0.3">
      <c r="A853" t="s">
        <v>192</v>
      </c>
      <c r="B853" t="s">
        <v>53</v>
      </c>
      <c r="C853" t="s">
        <v>138</v>
      </c>
      <c r="D853" s="1">
        <v>43384</v>
      </c>
      <c r="E853">
        <v>8</v>
      </c>
      <c r="F853">
        <v>17495</v>
      </c>
      <c r="G853" t="s">
        <v>462</v>
      </c>
      <c r="H853" t="str">
        <f>VLOOKUP(A853, product_table!$A:$C, 3, 0)</f>
        <v>Own Brand</v>
      </c>
      <c r="I853" t="str">
        <f>VLOOKUP(transactions_table8[[#This Row],[market_code]],markets_table!$A:$B,2,0)</f>
        <v>Mumbai</v>
      </c>
      <c r="J853" t="str">
        <f>VLOOKUP(transactions_table8[[#This Row],[market_code]],markets_table!$A:$C,3,0)</f>
        <v>Central</v>
      </c>
      <c r="K853" t="str">
        <f>VLOOKUP(transactions_table8[[#This Row],[customer_code]],customer_table!$A:$B,2,0)</f>
        <v>Path</v>
      </c>
      <c r="L853" t="str">
        <f>VLOOKUP(transactions_table8[[#This Row],[customer_code]],customer_table!$A:$C,3,0)</f>
        <v>E-Commerce</v>
      </c>
      <c r="M853">
        <f>IF(TRIM(CLEAN(transactions_table8[[#This Row],[currency]]))="USD",transactions_table8[[#This Row],[sales_amount]]*83,transactions_table8[[#This Row],[sales_amount]])</f>
        <v>17495</v>
      </c>
    </row>
    <row r="854" spans="1:13" x14ac:dyDescent="0.3">
      <c r="A854" t="s">
        <v>192</v>
      </c>
      <c r="B854" t="s">
        <v>49</v>
      </c>
      <c r="C854" t="s">
        <v>138</v>
      </c>
      <c r="D854" s="1">
        <v>43384</v>
      </c>
      <c r="E854">
        <v>1</v>
      </c>
      <c r="F854">
        <v>722</v>
      </c>
      <c r="G854" t="s">
        <v>462</v>
      </c>
      <c r="H854" t="str">
        <f>VLOOKUP(A854, product_table!$A:$C, 3, 0)</f>
        <v>Own Brand</v>
      </c>
      <c r="I854" t="str">
        <f>VLOOKUP(transactions_table8[[#This Row],[market_code]],markets_table!$A:$B,2,0)</f>
        <v>Mumbai</v>
      </c>
      <c r="J854" t="str">
        <f>VLOOKUP(transactions_table8[[#This Row],[market_code]],markets_table!$A:$C,3,0)</f>
        <v>Central</v>
      </c>
      <c r="K854" t="str">
        <f>VLOOKUP(transactions_table8[[#This Row],[customer_code]],customer_table!$A:$B,2,0)</f>
        <v>Sound</v>
      </c>
      <c r="L854" t="str">
        <f>VLOOKUP(transactions_table8[[#This Row],[customer_code]],customer_table!$A:$C,3,0)</f>
        <v>E-Commerce</v>
      </c>
      <c r="M854">
        <f>IF(TRIM(CLEAN(transactions_table8[[#This Row],[currency]]))="USD",transactions_table8[[#This Row],[sales_amount]]*83,transactions_table8[[#This Row],[sales_amount]])</f>
        <v>722</v>
      </c>
    </row>
    <row r="855" spans="1:13" x14ac:dyDescent="0.3">
      <c r="A855" t="s">
        <v>192</v>
      </c>
      <c r="B855" t="s">
        <v>34</v>
      </c>
      <c r="C855" t="s">
        <v>138</v>
      </c>
      <c r="D855" s="1">
        <v>43385</v>
      </c>
      <c r="E855">
        <v>8</v>
      </c>
      <c r="F855">
        <v>17463</v>
      </c>
      <c r="G855" t="s">
        <v>462</v>
      </c>
      <c r="H855" t="str">
        <f>VLOOKUP(A855, product_table!$A:$C, 3, 0)</f>
        <v>Own Brand</v>
      </c>
      <c r="I855" t="str">
        <f>VLOOKUP(transactions_table8[[#This Row],[market_code]],markets_table!$A:$B,2,0)</f>
        <v>Mumbai</v>
      </c>
      <c r="J855" t="str">
        <f>VLOOKUP(transactions_table8[[#This Row],[market_code]],markets_table!$A:$C,3,0)</f>
        <v>Central</v>
      </c>
      <c r="K855" t="str">
        <f>VLOOKUP(transactions_table8[[#This Row],[customer_code]],customer_table!$A:$B,2,0)</f>
        <v>Logic Stores</v>
      </c>
      <c r="L855" t="str">
        <f>VLOOKUP(transactions_table8[[#This Row],[customer_code]],customer_table!$A:$C,3,0)</f>
        <v>Brick &amp; Mortar</v>
      </c>
      <c r="M855">
        <f>IF(TRIM(CLEAN(transactions_table8[[#This Row],[currency]]))="USD",transactions_table8[[#This Row],[sales_amount]]*83,transactions_table8[[#This Row],[sales_amount]])</f>
        <v>17463</v>
      </c>
    </row>
    <row r="856" spans="1:13" x14ac:dyDescent="0.3">
      <c r="A856" t="s">
        <v>192</v>
      </c>
      <c r="B856" t="s">
        <v>47</v>
      </c>
      <c r="C856" t="s">
        <v>138</v>
      </c>
      <c r="D856" s="1">
        <v>43385</v>
      </c>
      <c r="E856">
        <v>5</v>
      </c>
      <c r="F856">
        <v>12250</v>
      </c>
      <c r="G856" t="s">
        <v>462</v>
      </c>
      <c r="H856" t="str">
        <f>VLOOKUP(A856, product_table!$A:$C, 3, 0)</f>
        <v>Own Brand</v>
      </c>
      <c r="I856" t="str">
        <f>VLOOKUP(transactions_table8[[#This Row],[market_code]],markets_table!$A:$B,2,0)</f>
        <v>Mumbai</v>
      </c>
      <c r="J856" t="str">
        <f>VLOOKUP(transactions_table8[[#This Row],[market_code]],markets_table!$A:$C,3,0)</f>
        <v>Central</v>
      </c>
      <c r="K856" t="str">
        <f>VLOOKUP(transactions_table8[[#This Row],[customer_code]],customer_table!$A:$B,2,0)</f>
        <v>Electricalslytical</v>
      </c>
      <c r="L856" t="str">
        <f>VLOOKUP(transactions_table8[[#This Row],[customer_code]],customer_table!$A:$C,3,0)</f>
        <v>E-Commerce</v>
      </c>
      <c r="M856">
        <f>IF(TRIM(CLEAN(transactions_table8[[#This Row],[currency]]))="USD",transactions_table8[[#This Row],[sales_amount]]*83,transactions_table8[[#This Row],[sales_amount]])</f>
        <v>12250</v>
      </c>
    </row>
    <row r="857" spans="1:13" x14ac:dyDescent="0.3">
      <c r="A857" t="s">
        <v>192</v>
      </c>
      <c r="B857" t="s">
        <v>47</v>
      </c>
      <c r="C857" t="s">
        <v>138</v>
      </c>
      <c r="D857" s="1">
        <v>43385</v>
      </c>
      <c r="E857">
        <v>80</v>
      </c>
      <c r="F857">
        <v>169606</v>
      </c>
      <c r="G857" t="s">
        <v>462</v>
      </c>
      <c r="H857" t="str">
        <f>VLOOKUP(A857, product_table!$A:$C, 3, 0)</f>
        <v>Own Brand</v>
      </c>
      <c r="I857" t="str">
        <f>VLOOKUP(transactions_table8[[#This Row],[market_code]],markets_table!$A:$B,2,0)</f>
        <v>Mumbai</v>
      </c>
      <c r="J857" t="str">
        <f>VLOOKUP(transactions_table8[[#This Row],[market_code]],markets_table!$A:$C,3,0)</f>
        <v>Central</v>
      </c>
      <c r="K857" t="str">
        <f>VLOOKUP(transactions_table8[[#This Row],[customer_code]],customer_table!$A:$B,2,0)</f>
        <v>Electricalslytical</v>
      </c>
      <c r="L857" t="str">
        <f>VLOOKUP(transactions_table8[[#This Row],[customer_code]],customer_table!$A:$C,3,0)</f>
        <v>E-Commerce</v>
      </c>
      <c r="M857">
        <f>IF(TRIM(CLEAN(transactions_table8[[#This Row],[currency]]))="USD",transactions_table8[[#This Row],[sales_amount]]*83,transactions_table8[[#This Row],[sales_amount]])</f>
        <v>169606</v>
      </c>
    </row>
    <row r="858" spans="1:13" x14ac:dyDescent="0.3">
      <c r="A858" t="s">
        <v>192</v>
      </c>
      <c r="B858" t="s">
        <v>53</v>
      </c>
      <c r="C858" t="s">
        <v>138</v>
      </c>
      <c r="D858" s="1">
        <v>43388</v>
      </c>
      <c r="E858">
        <v>8</v>
      </c>
      <c r="F858">
        <v>17495</v>
      </c>
      <c r="G858" t="s">
        <v>462</v>
      </c>
      <c r="H858" t="str">
        <f>VLOOKUP(A858, product_table!$A:$C, 3, 0)</f>
        <v>Own Brand</v>
      </c>
      <c r="I858" t="str">
        <f>VLOOKUP(transactions_table8[[#This Row],[market_code]],markets_table!$A:$B,2,0)</f>
        <v>Mumbai</v>
      </c>
      <c r="J858" t="str">
        <f>VLOOKUP(transactions_table8[[#This Row],[market_code]],markets_table!$A:$C,3,0)</f>
        <v>Central</v>
      </c>
      <c r="K858" t="str">
        <f>VLOOKUP(transactions_table8[[#This Row],[customer_code]],customer_table!$A:$B,2,0)</f>
        <v>Path</v>
      </c>
      <c r="L858" t="str">
        <f>VLOOKUP(transactions_table8[[#This Row],[customer_code]],customer_table!$A:$C,3,0)</f>
        <v>E-Commerce</v>
      </c>
      <c r="M858">
        <f>IF(TRIM(CLEAN(transactions_table8[[#This Row],[currency]]))="USD",transactions_table8[[#This Row],[sales_amount]]*83,transactions_table8[[#This Row],[sales_amount]])</f>
        <v>17495</v>
      </c>
    </row>
    <row r="859" spans="1:13" x14ac:dyDescent="0.3">
      <c r="A859" t="s">
        <v>192</v>
      </c>
      <c r="B859" t="s">
        <v>47</v>
      </c>
      <c r="C859" t="s">
        <v>138</v>
      </c>
      <c r="D859" s="1">
        <v>43390</v>
      </c>
      <c r="E859">
        <v>1</v>
      </c>
      <c r="F859">
        <v>3065</v>
      </c>
      <c r="G859" t="s">
        <v>462</v>
      </c>
      <c r="H859" t="str">
        <f>VLOOKUP(A859, product_table!$A:$C, 3, 0)</f>
        <v>Own Brand</v>
      </c>
      <c r="I859" t="str">
        <f>VLOOKUP(transactions_table8[[#This Row],[market_code]],markets_table!$A:$B,2,0)</f>
        <v>Mumbai</v>
      </c>
      <c r="J859" t="str">
        <f>VLOOKUP(transactions_table8[[#This Row],[market_code]],markets_table!$A:$C,3,0)</f>
        <v>Central</v>
      </c>
      <c r="K859" t="str">
        <f>VLOOKUP(transactions_table8[[#This Row],[customer_code]],customer_table!$A:$B,2,0)</f>
        <v>Electricalslytical</v>
      </c>
      <c r="L859" t="str">
        <f>VLOOKUP(transactions_table8[[#This Row],[customer_code]],customer_table!$A:$C,3,0)</f>
        <v>E-Commerce</v>
      </c>
      <c r="M859">
        <f>IF(TRIM(CLEAN(transactions_table8[[#This Row],[currency]]))="USD",transactions_table8[[#This Row],[sales_amount]]*83,transactions_table8[[#This Row],[sales_amount]])</f>
        <v>3065</v>
      </c>
    </row>
    <row r="860" spans="1:13" x14ac:dyDescent="0.3">
      <c r="A860" t="s">
        <v>192</v>
      </c>
      <c r="B860" t="s">
        <v>51</v>
      </c>
      <c r="C860" t="s">
        <v>138</v>
      </c>
      <c r="D860" s="1">
        <v>43390</v>
      </c>
      <c r="E860">
        <v>1</v>
      </c>
      <c r="F860">
        <v>338</v>
      </c>
      <c r="G860" t="s">
        <v>462</v>
      </c>
      <c r="H860" t="str">
        <f>VLOOKUP(A860, product_table!$A:$C, 3, 0)</f>
        <v>Own Brand</v>
      </c>
      <c r="I860" t="str">
        <f>VLOOKUP(transactions_table8[[#This Row],[market_code]],markets_table!$A:$B,2,0)</f>
        <v>Mumbai</v>
      </c>
      <c r="J860" t="str">
        <f>VLOOKUP(transactions_table8[[#This Row],[market_code]],markets_table!$A:$C,3,0)</f>
        <v>Central</v>
      </c>
      <c r="K860" t="str">
        <f>VLOOKUP(transactions_table8[[#This Row],[customer_code]],customer_table!$A:$B,2,0)</f>
        <v>Power</v>
      </c>
      <c r="L860" t="str">
        <f>VLOOKUP(transactions_table8[[#This Row],[customer_code]],customer_table!$A:$C,3,0)</f>
        <v>E-Commerce</v>
      </c>
      <c r="M860">
        <f>IF(TRIM(CLEAN(transactions_table8[[#This Row],[currency]]))="USD",transactions_table8[[#This Row],[sales_amount]]*83,transactions_table8[[#This Row],[sales_amount]])</f>
        <v>338</v>
      </c>
    </row>
    <row r="861" spans="1:13" x14ac:dyDescent="0.3">
      <c r="A861" t="s">
        <v>192</v>
      </c>
      <c r="B861" t="s">
        <v>47</v>
      </c>
      <c r="C861" t="s">
        <v>138</v>
      </c>
      <c r="D861" s="1">
        <v>43390</v>
      </c>
      <c r="E861">
        <v>13</v>
      </c>
      <c r="F861">
        <v>28269</v>
      </c>
      <c r="G861" t="s">
        <v>462</v>
      </c>
      <c r="H861" t="str">
        <f>VLOOKUP(A861, product_table!$A:$C, 3, 0)</f>
        <v>Own Brand</v>
      </c>
      <c r="I861" t="str">
        <f>VLOOKUP(transactions_table8[[#This Row],[market_code]],markets_table!$A:$B,2,0)</f>
        <v>Mumbai</v>
      </c>
      <c r="J861" t="str">
        <f>VLOOKUP(transactions_table8[[#This Row],[market_code]],markets_table!$A:$C,3,0)</f>
        <v>Central</v>
      </c>
      <c r="K861" t="str">
        <f>VLOOKUP(transactions_table8[[#This Row],[customer_code]],customer_table!$A:$B,2,0)</f>
        <v>Electricalslytical</v>
      </c>
      <c r="L861" t="str">
        <f>VLOOKUP(transactions_table8[[#This Row],[customer_code]],customer_table!$A:$C,3,0)</f>
        <v>E-Commerce</v>
      </c>
      <c r="M861">
        <f>IF(TRIM(CLEAN(transactions_table8[[#This Row],[currency]]))="USD",transactions_table8[[#This Row],[sales_amount]]*83,transactions_table8[[#This Row],[sales_amount]])</f>
        <v>28269</v>
      </c>
    </row>
    <row r="862" spans="1:13" x14ac:dyDescent="0.3">
      <c r="A862" t="s">
        <v>192</v>
      </c>
      <c r="B862" t="s">
        <v>47</v>
      </c>
      <c r="C862" t="s">
        <v>138</v>
      </c>
      <c r="D862" s="1">
        <v>43391</v>
      </c>
      <c r="E862">
        <v>1</v>
      </c>
      <c r="F862">
        <v>3065</v>
      </c>
      <c r="G862" t="s">
        <v>462</v>
      </c>
      <c r="H862" t="str">
        <f>VLOOKUP(A862, product_table!$A:$C, 3, 0)</f>
        <v>Own Brand</v>
      </c>
      <c r="I862" t="str">
        <f>VLOOKUP(transactions_table8[[#This Row],[market_code]],markets_table!$A:$B,2,0)</f>
        <v>Mumbai</v>
      </c>
      <c r="J862" t="str">
        <f>VLOOKUP(transactions_table8[[#This Row],[market_code]],markets_table!$A:$C,3,0)</f>
        <v>Central</v>
      </c>
      <c r="K862" t="str">
        <f>VLOOKUP(transactions_table8[[#This Row],[customer_code]],customer_table!$A:$B,2,0)</f>
        <v>Electricalslytical</v>
      </c>
      <c r="L862" t="str">
        <f>VLOOKUP(transactions_table8[[#This Row],[customer_code]],customer_table!$A:$C,3,0)</f>
        <v>E-Commerce</v>
      </c>
      <c r="M862">
        <f>IF(TRIM(CLEAN(transactions_table8[[#This Row],[currency]]))="USD",transactions_table8[[#This Row],[sales_amount]]*83,transactions_table8[[#This Row],[sales_amount]])</f>
        <v>3065</v>
      </c>
    </row>
    <row r="863" spans="1:13" x14ac:dyDescent="0.3">
      <c r="A863" t="s">
        <v>192</v>
      </c>
      <c r="B863" t="s">
        <v>53</v>
      </c>
      <c r="C863" t="s">
        <v>138</v>
      </c>
      <c r="D863" s="1">
        <v>43391</v>
      </c>
      <c r="E863">
        <v>8</v>
      </c>
      <c r="F863">
        <v>17495</v>
      </c>
      <c r="G863" t="s">
        <v>462</v>
      </c>
      <c r="H863" t="str">
        <f>VLOOKUP(A863, product_table!$A:$C, 3, 0)</f>
        <v>Own Brand</v>
      </c>
      <c r="I863" t="str">
        <f>VLOOKUP(transactions_table8[[#This Row],[market_code]],markets_table!$A:$B,2,0)</f>
        <v>Mumbai</v>
      </c>
      <c r="J863" t="str">
        <f>VLOOKUP(transactions_table8[[#This Row],[market_code]],markets_table!$A:$C,3,0)</f>
        <v>Central</v>
      </c>
      <c r="K863" t="str">
        <f>VLOOKUP(transactions_table8[[#This Row],[customer_code]],customer_table!$A:$B,2,0)</f>
        <v>Path</v>
      </c>
      <c r="L863" t="str">
        <f>VLOOKUP(transactions_table8[[#This Row],[customer_code]],customer_table!$A:$C,3,0)</f>
        <v>E-Commerce</v>
      </c>
      <c r="M863">
        <f>IF(TRIM(CLEAN(transactions_table8[[#This Row],[currency]]))="USD",transactions_table8[[#This Row],[sales_amount]]*83,transactions_table8[[#This Row],[sales_amount]])</f>
        <v>17495</v>
      </c>
    </row>
    <row r="864" spans="1:13" x14ac:dyDescent="0.3">
      <c r="A864" t="s">
        <v>192</v>
      </c>
      <c r="B864" t="s">
        <v>49</v>
      </c>
      <c r="C864" t="s">
        <v>138</v>
      </c>
      <c r="D864" s="1">
        <v>43391</v>
      </c>
      <c r="E864">
        <v>1</v>
      </c>
      <c r="F864">
        <v>361</v>
      </c>
      <c r="G864" t="s">
        <v>462</v>
      </c>
      <c r="H864" t="str">
        <f>VLOOKUP(A864, product_table!$A:$C, 3, 0)</f>
        <v>Own Brand</v>
      </c>
      <c r="I864" t="str">
        <f>VLOOKUP(transactions_table8[[#This Row],[market_code]],markets_table!$A:$B,2,0)</f>
        <v>Mumbai</v>
      </c>
      <c r="J864" t="str">
        <f>VLOOKUP(transactions_table8[[#This Row],[market_code]],markets_table!$A:$C,3,0)</f>
        <v>Central</v>
      </c>
      <c r="K864" t="str">
        <f>VLOOKUP(transactions_table8[[#This Row],[customer_code]],customer_table!$A:$B,2,0)</f>
        <v>Sound</v>
      </c>
      <c r="L864" t="str">
        <f>VLOOKUP(transactions_table8[[#This Row],[customer_code]],customer_table!$A:$C,3,0)</f>
        <v>E-Commerce</v>
      </c>
      <c r="M864">
        <f>IF(TRIM(CLEAN(transactions_table8[[#This Row],[currency]]))="USD",transactions_table8[[#This Row],[sales_amount]]*83,transactions_table8[[#This Row],[sales_amount]])</f>
        <v>361</v>
      </c>
    </row>
    <row r="865" spans="1:13" x14ac:dyDescent="0.3">
      <c r="A865" t="s">
        <v>192</v>
      </c>
      <c r="B865" t="s">
        <v>47</v>
      </c>
      <c r="C865" t="s">
        <v>138</v>
      </c>
      <c r="D865" s="1">
        <v>43392</v>
      </c>
      <c r="E865">
        <v>1</v>
      </c>
      <c r="F865">
        <v>3065</v>
      </c>
      <c r="G865" t="s">
        <v>462</v>
      </c>
      <c r="H865" t="str">
        <f>VLOOKUP(A865, product_table!$A:$C, 3, 0)</f>
        <v>Own Brand</v>
      </c>
      <c r="I865" t="str">
        <f>VLOOKUP(transactions_table8[[#This Row],[market_code]],markets_table!$A:$B,2,0)</f>
        <v>Mumbai</v>
      </c>
      <c r="J865" t="str">
        <f>VLOOKUP(transactions_table8[[#This Row],[market_code]],markets_table!$A:$C,3,0)</f>
        <v>Central</v>
      </c>
      <c r="K865" t="str">
        <f>VLOOKUP(transactions_table8[[#This Row],[customer_code]],customer_table!$A:$B,2,0)</f>
        <v>Electricalslytical</v>
      </c>
      <c r="L865" t="str">
        <f>VLOOKUP(transactions_table8[[#This Row],[customer_code]],customer_table!$A:$C,3,0)</f>
        <v>E-Commerce</v>
      </c>
      <c r="M865">
        <f>IF(TRIM(CLEAN(transactions_table8[[#This Row],[currency]]))="USD",transactions_table8[[#This Row],[sales_amount]]*83,transactions_table8[[#This Row],[sales_amount]])</f>
        <v>3065</v>
      </c>
    </row>
    <row r="866" spans="1:13" x14ac:dyDescent="0.3">
      <c r="A866" t="s">
        <v>192</v>
      </c>
      <c r="B866" t="s">
        <v>47</v>
      </c>
      <c r="C866" t="s">
        <v>138</v>
      </c>
      <c r="D866" s="1">
        <v>43392</v>
      </c>
      <c r="E866">
        <v>13</v>
      </c>
      <c r="F866">
        <v>28269</v>
      </c>
      <c r="G866" t="s">
        <v>462</v>
      </c>
      <c r="H866" t="str">
        <f>VLOOKUP(A866, product_table!$A:$C, 3, 0)</f>
        <v>Own Brand</v>
      </c>
      <c r="I866" t="str">
        <f>VLOOKUP(transactions_table8[[#This Row],[market_code]],markets_table!$A:$B,2,0)</f>
        <v>Mumbai</v>
      </c>
      <c r="J866" t="str">
        <f>VLOOKUP(transactions_table8[[#This Row],[market_code]],markets_table!$A:$C,3,0)</f>
        <v>Central</v>
      </c>
      <c r="K866" t="str">
        <f>VLOOKUP(transactions_table8[[#This Row],[customer_code]],customer_table!$A:$B,2,0)</f>
        <v>Electricalslytical</v>
      </c>
      <c r="L866" t="str">
        <f>VLOOKUP(transactions_table8[[#This Row],[customer_code]],customer_table!$A:$C,3,0)</f>
        <v>E-Commerce</v>
      </c>
      <c r="M866">
        <f>IF(TRIM(CLEAN(transactions_table8[[#This Row],[currency]]))="USD",transactions_table8[[#This Row],[sales_amount]]*83,transactions_table8[[#This Row],[sales_amount]])</f>
        <v>28269</v>
      </c>
    </row>
    <row r="867" spans="1:13" x14ac:dyDescent="0.3">
      <c r="A867" t="s">
        <v>192</v>
      </c>
      <c r="B867" t="s">
        <v>34</v>
      </c>
      <c r="C867" t="s">
        <v>138</v>
      </c>
      <c r="D867" s="1">
        <v>43395</v>
      </c>
      <c r="E867">
        <v>2</v>
      </c>
      <c r="F867">
        <v>3495</v>
      </c>
      <c r="G867" t="s">
        <v>462</v>
      </c>
      <c r="H867" t="str">
        <f>VLOOKUP(A867, product_table!$A:$C, 3, 0)</f>
        <v>Own Brand</v>
      </c>
      <c r="I867" t="str">
        <f>VLOOKUP(transactions_table8[[#This Row],[market_code]],markets_table!$A:$B,2,0)</f>
        <v>Mumbai</v>
      </c>
      <c r="J867" t="str">
        <f>VLOOKUP(transactions_table8[[#This Row],[market_code]],markets_table!$A:$C,3,0)</f>
        <v>Central</v>
      </c>
      <c r="K867" t="str">
        <f>VLOOKUP(transactions_table8[[#This Row],[customer_code]],customer_table!$A:$B,2,0)</f>
        <v>Logic Stores</v>
      </c>
      <c r="L867" t="str">
        <f>VLOOKUP(transactions_table8[[#This Row],[customer_code]],customer_table!$A:$C,3,0)</f>
        <v>Brick &amp; Mortar</v>
      </c>
      <c r="M867">
        <f>IF(TRIM(CLEAN(transactions_table8[[#This Row],[currency]]))="USD",transactions_table8[[#This Row],[sales_amount]]*83,transactions_table8[[#This Row],[sales_amount]])</f>
        <v>3495</v>
      </c>
    </row>
    <row r="868" spans="1:13" x14ac:dyDescent="0.3">
      <c r="A868" t="s">
        <v>192</v>
      </c>
      <c r="B868" t="s">
        <v>47</v>
      </c>
      <c r="C868" t="s">
        <v>138</v>
      </c>
      <c r="D868" s="1">
        <v>43395</v>
      </c>
      <c r="E868">
        <v>3</v>
      </c>
      <c r="F868">
        <v>6125</v>
      </c>
      <c r="G868" t="s">
        <v>462</v>
      </c>
      <c r="H868" t="str">
        <f>VLOOKUP(A868, product_table!$A:$C, 3, 0)</f>
        <v>Own Brand</v>
      </c>
      <c r="I868" t="str">
        <f>VLOOKUP(transactions_table8[[#This Row],[market_code]],markets_table!$A:$B,2,0)</f>
        <v>Mumbai</v>
      </c>
      <c r="J868" t="str">
        <f>VLOOKUP(transactions_table8[[#This Row],[market_code]],markets_table!$A:$C,3,0)</f>
        <v>Central</v>
      </c>
      <c r="K868" t="str">
        <f>VLOOKUP(transactions_table8[[#This Row],[customer_code]],customer_table!$A:$B,2,0)</f>
        <v>Electricalslytical</v>
      </c>
      <c r="L868" t="str">
        <f>VLOOKUP(transactions_table8[[#This Row],[customer_code]],customer_table!$A:$C,3,0)</f>
        <v>E-Commerce</v>
      </c>
      <c r="M868">
        <f>IF(TRIM(CLEAN(transactions_table8[[#This Row],[currency]]))="USD",transactions_table8[[#This Row],[sales_amount]]*83,transactions_table8[[#This Row],[sales_amount]])</f>
        <v>6125</v>
      </c>
    </row>
    <row r="869" spans="1:13" x14ac:dyDescent="0.3">
      <c r="A869" t="s">
        <v>192</v>
      </c>
      <c r="B869" t="s">
        <v>53</v>
      </c>
      <c r="C869" t="s">
        <v>138</v>
      </c>
      <c r="D869" s="1">
        <v>43395</v>
      </c>
      <c r="E869">
        <v>3</v>
      </c>
      <c r="F869">
        <v>6995</v>
      </c>
      <c r="G869" t="s">
        <v>462</v>
      </c>
      <c r="H869" t="str">
        <f>VLOOKUP(A869, product_table!$A:$C, 3, 0)</f>
        <v>Own Brand</v>
      </c>
      <c r="I869" t="str">
        <f>VLOOKUP(transactions_table8[[#This Row],[market_code]],markets_table!$A:$B,2,0)</f>
        <v>Mumbai</v>
      </c>
      <c r="J869" t="str">
        <f>VLOOKUP(transactions_table8[[#This Row],[market_code]],markets_table!$A:$C,3,0)</f>
        <v>Central</v>
      </c>
      <c r="K869" t="str">
        <f>VLOOKUP(transactions_table8[[#This Row],[customer_code]],customer_table!$A:$B,2,0)</f>
        <v>Path</v>
      </c>
      <c r="L869" t="str">
        <f>VLOOKUP(transactions_table8[[#This Row],[customer_code]],customer_table!$A:$C,3,0)</f>
        <v>E-Commerce</v>
      </c>
      <c r="M869">
        <f>IF(TRIM(CLEAN(transactions_table8[[#This Row],[currency]]))="USD",transactions_table8[[#This Row],[sales_amount]]*83,transactions_table8[[#This Row],[sales_amount]])</f>
        <v>6995</v>
      </c>
    </row>
    <row r="870" spans="1:13" x14ac:dyDescent="0.3">
      <c r="A870" t="s">
        <v>192</v>
      </c>
      <c r="B870" t="s">
        <v>34</v>
      </c>
      <c r="C870" t="s">
        <v>138</v>
      </c>
      <c r="D870" s="1">
        <v>43396</v>
      </c>
      <c r="E870">
        <v>1</v>
      </c>
      <c r="F870">
        <v>1745</v>
      </c>
      <c r="G870" t="s">
        <v>462</v>
      </c>
      <c r="H870" t="str">
        <f>VLOOKUP(A870, product_table!$A:$C, 3, 0)</f>
        <v>Own Brand</v>
      </c>
      <c r="I870" t="str">
        <f>VLOOKUP(transactions_table8[[#This Row],[market_code]],markets_table!$A:$B,2,0)</f>
        <v>Mumbai</v>
      </c>
      <c r="J870" t="str">
        <f>VLOOKUP(transactions_table8[[#This Row],[market_code]],markets_table!$A:$C,3,0)</f>
        <v>Central</v>
      </c>
      <c r="K870" t="str">
        <f>VLOOKUP(transactions_table8[[#This Row],[customer_code]],customer_table!$A:$B,2,0)</f>
        <v>Logic Stores</v>
      </c>
      <c r="L870" t="str">
        <f>VLOOKUP(transactions_table8[[#This Row],[customer_code]],customer_table!$A:$C,3,0)</f>
        <v>Brick &amp; Mortar</v>
      </c>
      <c r="M870">
        <f>IF(TRIM(CLEAN(transactions_table8[[#This Row],[currency]]))="USD",transactions_table8[[#This Row],[sales_amount]]*83,transactions_table8[[#This Row],[sales_amount]])</f>
        <v>1745</v>
      </c>
    </row>
    <row r="871" spans="1:13" x14ac:dyDescent="0.3">
      <c r="A871" t="s">
        <v>192</v>
      </c>
      <c r="B871" t="s">
        <v>49</v>
      </c>
      <c r="C871" t="s">
        <v>138</v>
      </c>
      <c r="D871" s="1">
        <v>43396</v>
      </c>
      <c r="E871">
        <v>1</v>
      </c>
      <c r="F871">
        <v>722</v>
      </c>
      <c r="G871" t="s">
        <v>462</v>
      </c>
      <c r="H871" t="str">
        <f>VLOOKUP(A871, product_table!$A:$C, 3, 0)</f>
        <v>Own Brand</v>
      </c>
      <c r="I871" t="str">
        <f>VLOOKUP(transactions_table8[[#This Row],[market_code]],markets_table!$A:$B,2,0)</f>
        <v>Mumbai</v>
      </c>
      <c r="J871" t="str">
        <f>VLOOKUP(transactions_table8[[#This Row],[market_code]],markets_table!$A:$C,3,0)</f>
        <v>Central</v>
      </c>
      <c r="K871" t="str">
        <f>VLOOKUP(transactions_table8[[#This Row],[customer_code]],customer_table!$A:$B,2,0)</f>
        <v>Sound</v>
      </c>
      <c r="L871" t="str">
        <f>VLOOKUP(transactions_table8[[#This Row],[customer_code]],customer_table!$A:$C,3,0)</f>
        <v>E-Commerce</v>
      </c>
      <c r="M871">
        <f>IF(TRIM(CLEAN(transactions_table8[[#This Row],[currency]]))="USD",transactions_table8[[#This Row],[sales_amount]]*83,transactions_table8[[#This Row],[sales_amount]])</f>
        <v>722</v>
      </c>
    </row>
    <row r="872" spans="1:13" x14ac:dyDescent="0.3">
      <c r="A872" t="s">
        <v>192</v>
      </c>
      <c r="B872" t="s">
        <v>34</v>
      </c>
      <c r="C872" t="s">
        <v>138</v>
      </c>
      <c r="D872" s="1">
        <v>43397</v>
      </c>
      <c r="E872">
        <v>2</v>
      </c>
      <c r="F872">
        <v>4190</v>
      </c>
      <c r="G872" t="s">
        <v>462</v>
      </c>
      <c r="H872" t="str">
        <f>VLOOKUP(A872, product_table!$A:$C, 3, 0)</f>
        <v>Own Brand</v>
      </c>
      <c r="I872" t="str">
        <f>VLOOKUP(transactions_table8[[#This Row],[market_code]],markets_table!$A:$B,2,0)</f>
        <v>Mumbai</v>
      </c>
      <c r="J872" t="str">
        <f>VLOOKUP(transactions_table8[[#This Row],[market_code]],markets_table!$A:$C,3,0)</f>
        <v>Central</v>
      </c>
      <c r="K872" t="str">
        <f>VLOOKUP(transactions_table8[[#This Row],[customer_code]],customer_table!$A:$B,2,0)</f>
        <v>Logic Stores</v>
      </c>
      <c r="L872" t="str">
        <f>VLOOKUP(transactions_table8[[#This Row],[customer_code]],customer_table!$A:$C,3,0)</f>
        <v>Brick &amp; Mortar</v>
      </c>
      <c r="M872">
        <f>IF(TRIM(CLEAN(transactions_table8[[#This Row],[currency]]))="USD",transactions_table8[[#This Row],[sales_amount]]*83,transactions_table8[[#This Row],[sales_amount]])</f>
        <v>4190</v>
      </c>
    </row>
    <row r="873" spans="1:13" x14ac:dyDescent="0.3">
      <c r="A873" t="s">
        <v>192</v>
      </c>
      <c r="B873" t="s">
        <v>47</v>
      </c>
      <c r="C873" t="s">
        <v>138</v>
      </c>
      <c r="D873" s="1">
        <v>43398</v>
      </c>
      <c r="E873">
        <v>1</v>
      </c>
      <c r="F873">
        <v>3065</v>
      </c>
      <c r="G873" t="s">
        <v>462</v>
      </c>
      <c r="H873" t="str">
        <f>VLOOKUP(A873, product_table!$A:$C, 3, 0)</f>
        <v>Own Brand</v>
      </c>
      <c r="I873" t="str">
        <f>VLOOKUP(transactions_table8[[#This Row],[market_code]],markets_table!$A:$B,2,0)</f>
        <v>Mumbai</v>
      </c>
      <c r="J873" t="str">
        <f>VLOOKUP(transactions_table8[[#This Row],[market_code]],markets_table!$A:$C,3,0)</f>
        <v>Central</v>
      </c>
      <c r="K873" t="str">
        <f>VLOOKUP(transactions_table8[[#This Row],[customer_code]],customer_table!$A:$B,2,0)</f>
        <v>Electricalslytical</v>
      </c>
      <c r="L873" t="str">
        <f>VLOOKUP(transactions_table8[[#This Row],[customer_code]],customer_table!$A:$C,3,0)</f>
        <v>E-Commerce</v>
      </c>
      <c r="M873">
        <f>IF(TRIM(CLEAN(transactions_table8[[#This Row],[currency]]))="USD",transactions_table8[[#This Row],[sales_amount]]*83,transactions_table8[[#This Row],[sales_amount]])</f>
        <v>3065</v>
      </c>
    </row>
    <row r="874" spans="1:13" x14ac:dyDescent="0.3">
      <c r="A874" t="s">
        <v>192</v>
      </c>
      <c r="B874" t="s">
        <v>53</v>
      </c>
      <c r="C874" t="s">
        <v>138</v>
      </c>
      <c r="D874" s="1">
        <v>43398</v>
      </c>
      <c r="E874">
        <v>17</v>
      </c>
      <c r="F874">
        <v>38486</v>
      </c>
      <c r="G874" t="s">
        <v>462</v>
      </c>
      <c r="H874" t="str">
        <f>VLOOKUP(A874, product_table!$A:$C, 3, 0)</f>
        <v>Own Brand</v>
      </c>
      <c r="I874" t="str">
        <f>VLOOKUP(transactions_table8[[#This Row],[market_code]],markets_table!$A:$B,2,0)</f>
        <v>Mumbai</v>
      </c>
      <c r="J874" t="str">
        <f>VLOOKUP(transactions_table8[[#This Row],[market_code]],markets_table!$A:$C,3,0)</f>
        <v>Central</v>
      </c>
      <c r="K874" t="str">
        <f>VLOOKUP(transactions_table8[[#This Row],[customer_code]],customer_table!$A:$B,2,0)</f>
        <v>Path</v>
      </c>
      <c r="L874" t="str">
        <f>VLOOKUP(transactions_table8[[#This Row],[customer_code]],customer_table!$A:$C,3,0)</f>
        <v>E-Commerce</v>
      </c>
      <c r="M874">
        <f>IF(TRIM(CLEAN(transactions_table8[[#This Row],[currency]]))="USD",transactions_table8[[#This Row],[sales_amount]]*83,transactions_table8[[#This Row],[sales_amount]])</f>
        <v>38486</v>
      </c>
    </row>
    <row r="875" spans="1:13" x14ac:dyDescent="0.3">
      <c r="A875" t="s">
        <v>192</v>
      </c>
      <c r="B875" t="s">
        <v>47</v>
      </c>
      <c r="C875" t="s">
        <v>138</v>
      </c>
      <c r="D875" s="1">
        <v>43402</v>
      </c>
      <c r="E875">
        <v>1</v>
      </c>
      <c r="F875">
        <v>3065</v>
      </c>
      <c r="G875" t="s">
        <v>462</v>
      </c>
      <c r="H875" t="str">
        <f>VLOOKUP(A875, product_table!$A:$C, 3, 0)</f>
        <v>Own Brand</v>
      </c>
      <c r="I875" t="str">
        <f>VLOOKUP(transactions_table8[[#This Row],[market_code]],markets_table!$A:$B,2,0)</f>
        <v>Mumbai</v>
      </c>
      <c r="J875" t="str">
        <f>VLOOKUP(transactions_table8[[#This Row],[market_code]],markets_table!$A:$C,3,0)</f>
        <v>Central</v>
      </c>
      <c r="K875" t="str">
        <f>VLOOKUP(transactions_table8[[#This Row],[customer_code]],customer_table!$A:$B,2,0)</f>
        <v>Electricalslytical</v>
      </c>
      <c r="L875" t="str">
        <f>VLOOKUP(transactions_table8[[#This Row],[customer_code]],customer_table!$A:$C,3,0)</f>
        <v>E-Commerce</v>
      </c>
      <c r="M875">
        <f>IF(TRIM(CLEAN(transactions_table8[[#This Row],[currency]]))="USD",transactions_table8[[#This Row],[sales_amount]]*83,transactions_table8[[#This Row],[sales_amount]])</f>
        <v>3065</v>
      </c>
    </row>
    <row r="876" spans="1:13" x14ac:dyDescent="0.3">
      <c r="A876" t="s">
        <v>192</v>
      </c>
      <c r="B876" t="s">
        <v>53</v>
      </c>
      <c r="C876" t="s">
        <v>138</v>
      </c>
      <c r="D876" s="1">
        <v>43402</v>
      </c>
      <c r="E876">
        <v>23</v>
      </c>
      <c r="F876">
        <v>52481</v>
      </c>
      <c r="G876" t="s">
        <v>462</v>
      </c>
      <c r="H876" t="str">
        <f>VLOOKUP(A876, product_table!$A:$C, 3, 0)</f>
        <v>Own Brand</v>
      </c>
      <c r="I876" t="str">
        <f>VLOOKUP(transactions_table8[[#This Row],[market_code]],markets_table!$A:$B,2,0)</f>
        <v>Mumbai</v>
      </c>
      <c r="J876" t="str">
        <f>VLOOKUP(transactions_table8[[#This Row],[market_code]],markets_table!$A:$C,3,0)</f>
        <v>Central</v>
      </c>
      <c r="K876" t="str">
        <f>VLOOKUP(transactions_table8[[#This Row],[customer_code]],customer_table!$A:$B,2,0)</f>
        <v>Path</v>
      </c>
      <c r="L876" t="str">
        <f>VLOOKUP(transactions_table8[[#This Row],[customer_code]],customer_table!$A:$C,3,0)</f>
        <v>E-Commerce</v>
      </c>
      <c r="M876">
        <f>IF(TRIM(CLEAN(transactions_table8[[#This Row],[currency]]))="USD",transactions_table8[[#This Row],[sales_amount]]*83,transactions_table8[[#This Row],[sales_amount]])</f>
        <v>52481</v>
      </c>
    </row>
    <row r="877" spans="1:13" x14ac:dyDescent="0.3">
      <c r="A877" t="s">
        <v>192</v>
      </c>
      <c r="B877" t="s">
        <v>34</v>
      </c>
      <c r="C877" t="s">
        <v>138</v>
      </c>
      <c r="D877" s="1">
        <v>43403</v>
      </c>
      <c r="E877">
        <v>17</v>
      </c>
      <c r="F877">
        <v>35963</v>
      </c>
      <c r="G877" t="s">
        <v>462</v>
      </c>
      <c r="H877" t="str">
        <f>VLOOKUP(A877, product_table!$A:$C, 3, 0)</f>
        <v>Own Brand</v>
      </c>
      <c r="I877" t="str">
        <f>VLOOKUP(transactions_table8[[#This Row],[market_code]],markets_table!$A:$B,2,0)</f>
        <v>Mumbai</v>
      </c>
      <c r="J877" t="str">
        <f>VLOOKUP(transactions_table8[[#This Row],[market_code]],markets_table!$A:$C,3,0)</f>
        <v>Central</v>
      </c>
      <c r="K877" t="str">
        <f>VLOOKUP(transactions_table8[[#This Row],[customer_code]],customer_table!$A:$B,2,0)</f>
        <v>Logic Stores</v>
      </c>
      <c r="L877" t="str">
        <f>VLOOKUP(transactions_table8[[#This Row],[customer_code]],customer_table!$A:$C,3,0)</f>
        <v>Brick &amp; Mortar</v>
      </c>
      <c r="M877">
        <f>IF(TRIM(CLEAN(transactions_table8[[#This Row],[currency]]))="USD",transactions_table8[[#This Row],[sales_amount]]*83,transactions_table8[[#This Row],[sales_amount]])</f>
        <v>35963</v>
      </c>
    </row>
    <row r="878" spans="1:13" x14ac:dyDescent="0.3">
      <c r="A878" t="s">
        <v>192</v>
      </c>
      <c r="B878" t="s">
        <v>47</v>
      </c>
      <c r="C878" t="s">
        <v>138</v>
      </c>
      <c r="D878" s="1">
        <v>43403</v>
      </c>
      <c r="E878">
        <v>13</v>
      </c>
      <c r="F878">
        <v>28269</v>
      </c>
      <c r="G878" t="s">
        <v>462</v>
      </c>
      <c r="H878" t="str">
        <f>VLOOKUP(A878, product_table!$A:$C, 3, 0)</f>
        <v>Own Brand</v>
      </c>
      <c r="I878" t="str">
        <f>VLOOKUP(transactions_table8[[#This Row],[market_code]],markets_table!$A:$B,2,0)</f>
        <v>Mumbai</v>
      </c>
      <c r="J878" t="str">
        <f>VLOOKUP(transactions_table8[[#This Row],[market_code]],markets_table!$A:$C,3,0)</f>
        <v>Central</v>
      </c>
      <c r="K878" t="str">
        <f>VLOOKUP(transactions_table8[[#This Row],[customer_code]],customer_table!$A:$B,2,0)</f>
        <v>Electricalslytical</v>
      </c>
      <c r="L878" t="str">
        <f>VLOOKUP(transactions_table8[[#This Row],[customer_code]],customer_table!$A:$C,3,0)</f>
        <v>E-Commerce</v>
      </c>
      <c r="M878">
        <f>IF(TRIM(CLEAN(transactions_table8[[#This Row],[currency]]))="USD",transactions_table8[[#This Row],[sales_amount]]*83,transactions_table8[[#This Row],[sales_amount]])</f>
        <v>28269</v>
      </c>
    </row>
    <row r="879" spans="1:13" x14ac:dyDescent="0.3">
      <c r="A879" t="s">
        <v>192</v>
      </c>
      <c r="B879" t="s">
        <v>47</v>
      </c>
      <c r="C879" t="s">
        <v>138</v>
      </c>
      <c r="D879" s="1">
        <v>43404</v>
      </c>
      <c r="E879">
        <v>1</v>
      </c>
      <c r="F879">
        <v>3065</v>
      </c>
      <c r="G879" t="s">
        <v>462</v>
      </c>
      <c r="H879" t="str">
        <f>VLOOKUP(A879, product_table!$A:$C, 3, 0)</f>
        <v>Own Brand</v>
      </c>
      <c r="I879" t="str">
        <f>VLOOKUP(transactions_table8[[#This Row],[market_code]],markets_table!$A:$B,2,0)</f>
        <v>Mumbai</v>
      </c>
      <c r="J879" t="str">
        <f>VLOOKUP(transactions_table8[[#This Row],[market_code]],markets_table!$A:$C,3,0)</f>
        <v>Central</v>
      </c>
      <c r="K879" t="str">
        <f>VLOOKUP(transactions_table8[[#This Row],[customer_code]],customer_table!$A:$B,2,0)</f>
        <v>Electricalslytical</v>
      </c>
      <c r="L879" t="str">
        <f>VLOOKUP(transactions_table8[[#This Row],[customer_code]],customer_table!$A:$C,3,0)</f>
        <v>E-Commerce</v>
      </c>
      <c r="M879">
        <f>IF(TRIM(CLEAN(transactions_table8[[#This Row],[currency]]))="USD",transactions_table8[[#This Row],[sales_amount]]*83,transactions_table8[[#This Row],[sales_amount]])</f>
        <v>3065</v>
      </c>
    </row>
    <row r="880" spans="1:13" x14ac:dyDescent="0.3">
      <c r="A880" t="s">
        <v>192</v>
      </c>
      <c r="B880" t="s">
        <v>47</v>
      </c>
      <c r="C880" t="s">
        <v>138</v>
      </c>
      <c r="D880" s="1">
        <v>43405</v>
      </c>
      <c r="E880">
        <v>15</v>
      </c>
      <c r="F880">
        <v>33690</v>
      </c>
      <c r="G880" t="s">
        <v>462</v>
      </c>
      <c r="H880" t="str">
        <f>VLOOKUP(A880, product_table!$A:$C, 3, 0)</f>
        <v>Own Brand</v>
      </c>
      <c r="I880" t="str">
        <f>VLOOKUP(transactions_table8[[#This Row],[market_code]],markets_table!$A:$B,2,0)</f>
        <v>Mumbai</v>
      </c>
      <c r="J880" t="str">
        <f>VLOOKUP(transactions_table8[[#This Row],[market_code]],markets_table!$A:$C,3,0)</f>
        <v>Central</v>
      </c>
      <c r="K880" t="str">
        <f>VLOOKUP(transactions_table8[[#This Row],[customer_code]],customer_table!$A:$B,2,0)</f>
        <v>Electricalslytical</v>
      </c>
      <c r="L880" t="str">
        <f>VLOOKUP(transactions_table8[[#This Row],[customer_code]],customer_table!$A:$C,3,0)</f>
        <v>E-Commerce</v>
      </c>
      <c r="M880">
        <f>IF(TRIM(CLEAN(transactions_table8[[#This Row],[currency]]))="USD",transactions_table8[[#This Row],[sales_amount]]*83,transactions_table8[[#This Row],[sales_amount]])</f>
        <v>33690</v>
      </c>
    </row>
    <row r="881" spans="1:13" x14ac:dyDescent="0.3">
      <c r="A881" t="s">
        <v>192</v>
      </c>
      <c r="B881" t="s">
        <v>47</v>
      </c>
      <c r="C881" t="s">
        <v>138</v>
      </c>
      <c r="D881" s="1">
        <v>43405</v>
      </c>
      <c r="E881">
        <v>13</v>
      </c>
      <c r="F881">
        <v>28269</v>
      </c>
      <c r="G881" t="s">
        <v>462</v>
      </c>
      <c r="H881" t="str">
        <f>VLOOKUP(A881, product_table!$A:$C, 3, 0)</f>
        <v>Own Brand</v>
      </c>
      <c r="I881" t="str">
        <f>VLOOKUP(transactions_table8[[#This Row],[market_code]],markets_table!$A:$B,2,0)</f>
        <v>Mumbai</v>
      </c>
      <c r="J881" t="str">
        <f>VLOOKUP(transactions_table8[[#This Row],[market_code]],markets_table!$A:$C,3,0)</f>
        <v>Central</v>
      </c>
      <c r="K881" t="str">
        <f>VLOOKUP(transactions_table8[[#This Row],[customer_code]],customer_table!$A:$B,2,0)</f>
        <v>Electricalslytical</v>
      </c>
      <c r="L881" t="str">
        <f>VLOOKUP(transactions_table8[[#This Row],[customer_code]],customer_table!$A:$C,3,0)</f>
        <v>E-Commerce</v>
      </c>
      <c r="M881">
        <f>IF(TRIM(CLEAN(transactions_table8[[#This Row],[currency]]))="USD",transactions_table8[[#This Row],[sales_amount]]*83,transactions_table8[[#This Row],[sales_amount]])</f>
        <v>28269</v>
      </c>
    </row>
    <row r="882" spans="1:13" x14ac:dyDescent="0.3">
      <c r="A882" t="s">
        <v>192</v>
      </c>
      <c r="B882" t="s">
        <v>47</v>
      </c>
      <c r="C882" t="s">
        <v>138</v>
      </c>
      <c r="D882" s="1">
        <v>43406</v>
      </c>
      <c r="E882">
        <v>3</v>
      </c>
      <c r="F882">
        <v>6125</v>
      </c>
      <c r="G882" t="s">
        <v>462</v>
      </c>
      <c r="H882" t="str">
        <f>VLOOKUP(A882, product_table!$A:$C, 3, 0)</f>
        <v>Own Brand</v>
      </c>
      <c r="I882" t="str">
        <f>VLOOKUP(transactions_table8[[#This Row],[market_code]],markets_table!$A:$B,2,0)</f>
        <v>Mumbai</v>
      </c>
      <c r="J882" t="str">
        <f>VLOOKUP(transactions_table8[[#This Row],[market_code]],markets_table!$A:$C,3,0)</f>
        <v>Central</v>
      </c>
      <c r="K882" t="str">
        <f>VLOOKUP(transactions_table8[[#This Row],[customer_code]],customer_table!$A:$B,2,0)</f>
        <v>Electricalslytical</v>
      </c>
      <c r="L882" t="str">
        <f>VLOOKUP(transactions_table8[[#This Row],[customer_code]],customer_table!$A:$C,3,0)</f>
        <v>E-Commerce</v>
      </c>
      <c r="M882">
        <f>IF(TRIM(CLEAN(transactions_table8[[#This Row],[currency]]))="USD",transactions_table8[[#This Row],[sales_amount]]*83,transactions_table8[[#This Row],[sales_amount]])</f>
        <v>6125</v>
      </c>
    </row>
    <row r="883" spans="1:13" x14ac:dyDescent="0.3">
      <c r="A883" t="s">
        <v>192</v>
      </c>
      <c r="B883" t="s">
        <v>49</v>
      </c>
      <c r="C883" t="s">
        <v>138</v>
      </c>
      <c r="D883" s="1">
        <v>43406</v>
      </c>
      <c r="E883">
        <v>1</v>
      </c>
      <c r="F883">
        <v>722</v>
      </c>
      <c r="G883" t="s">
        <v>462</v>
      </c>
      <c r="H883" t="str">
        <f>VLOOKUP(A883, product_table!$A:$C, 3, 0)</f>
        <v>Own Brand</v>
      </c>
      <c r="I883" t="str">
        <f>VLOOKUP(transactions_table8[[#This Row],[market_code]],markets_table!$A:$B,2,0)</f>
        <v>Mumbai</v>
      </c>
      <c r="J883" t="str">
        <f>VLOOKUP(transactions_table8[[#This Row],[market_code]],markets_table!$A:$C,3,0)</f>
        <v>Central</v>
      </c>
      <c r="K883" t="str">
        <f>VLOOKUP(transactions_table8[[#This Row],[customer_code]],customer_table!$A:$B,2,0)</f>
        <v>Sound</v>
      </c>
      <c r="L883" t="str">
        <f>VLOOKUP(transactions_table8[[#This Row],[customer_code]],customer_table!$A:$C,3,0)</f>
        <v>E-Commerce</v>
      </c>
      <c r="M883">
        <f>IF(TRIM(CLEAN(transactions_table8[[#This Row],[currency]]))="USD",transactions_table8[[#This Row],[sales_amount]]*83,transactions_table8[[#This Row],[sales_amount]])</f>
        <v>722</v>
      </c>
    </row>
    <row r="884" spans="1:13" x14ac:dyDescent="0.3">
      <c r="A884" t="s">
        <v>192</v>
      </c>
      <c r="B884" t="s">
        <v>47</v>
      </c>
      <c r="C884" t="s">
        <v>138</v>
      </c>
      <c r="D884" s="1">
        <v>43409</v>
      </c>
      <c r="E884">
        <v>4</v>
      </c>
      <c r="F884">
        <v>9190</v>
      </c>
      <c r="G884" t="s">
        <v>462</v>
      </c>
      <c r="H884" t="str">
        <f>VLOOKUP(A884, product_table!$A:$C, 3, 0)</f>
        <v>Own Brand</v>
      </c>
      <c r="I884" t="str">
        <f>VLOOKUP(transactions_table8[[#This Row],[market_code]],markets_table!$A:$B,2,0)</f>
        <v>Mumbai</v>
      </c>
      <c r="J884" t="str">
        <f>VLOOKUP(transactions_table8[[#This Row],[market_code]],markets_table!$A:$C,3,0)</f>
        <v>Central</v>
      </c>
      <c r="K884" t="str">
        <f>VLOOKUP(transactions_table8[[#This Row],[customer_code]],customer_table!$A:$B,2,0)</f>
        <v>Electricalslytical</v>
      </c>
      <c r="L884" t="str">
        <f>VLOOKUP(transactions_table8[[#This Row],[customer_code]],customer_table!$A:$C,3,0)</f>
        <v>E-Commerce</v>
      </c>
      <c r="M884">
        <f>IF(TRIM(CLEAN(transactions_table8[[#This Row],[currency]]))="USD",transactions_table8[[#This Row],[sales_amount]]*83,transactions_table8[[#This Row],[sales_amount]])</f>
        <v>9190</v>
      </c>
    </row>
    <row r="885" spans="1:13" x14ac:dyDescent="0.3">
      <c r="A885" t="s">
        <v>192</v>
      </c>
      <c r="B885" t="s">
        <v>34</v>
      </c>
      <c r="C885" t="s">
        <v>138</v>
      </c>
      <c r="D885" s="1">
        <v>43410</v>
      </c>
      <c r="E885">
        <v>18</v>
      </c>
      <c r="F885">
        <v>38060</v>
      </c>
      <c r="G885" t="s">
        <v>462</v>
      </c>
      <c r="H885" t="str">
        <f>VLOOKUP(A885, product_table!$A:$C, 3, 0)</f>
        <v>Own Brand</v>
      </c>
      <c r="I885" t="str">
        <f>VLOOKUP(transactions_table8[[#This Row],[market_code]],markets_table!$A:$B,2,0)</f>
        <v>Mumbai</v>
      </c>
      <c r="J885" t="str">
        <f>VLOOKUP(transactions_table8[[#This Row],[market_code]],markets_table!$A:$C,3,0)</f>
        <v>Central</v>
      </c>
      <c r="K885" t="str">
        <f>VLOOKUP(transactions_table8[[#This Row],[customer_code]],customer_table!$A:$B,2,0)</f>
        <v>Logic Stores</v>
      </c>
      <c r="L885" t="str">
        <f>VLOOKUP(transactions_table8[[#This Row],[customer_code]],customer_table!$A:$C,3,0)</f>
        <v>Brick &amp; Mortar</v>
      </c>
      <c r="M885">
        <f>IF(TRIM(CLEAN(transactions_table8[[#This Row],[currency]]))="USD",transactions_table8[[#This Row],[sales_amount]]*83,transactions_table8[[#This Row],[sales_amount]])</f>
        <v>38060</v>
      </c>
    </row>
    <row r="886" spans="1:13" x14ac:dyDescent="0.3">
      <c r="A886" t="s">
        <v>192</v>
      </c>
      <c r="B886" t="s">
        <v>53</v>
      </c>
      <c r="C886" t="s">
        <v>138</v>
      </c>
      <c r="D886" s="1">
        <v>43410</v>
      </c>
      <c r="E886">
        <v>8</v>
      </c>
      <c r="F886">
        <v>17495</v>
      </c>
      <c r="G886" t="s">
        <v>462</v>
      </c>
      <c r="H886" t="str">
        <f>VLOOKUP(A886, product_table!$A:$C, 3, 0)</f>
        <v>Own Brand</v>
      </c>
      <c r="I886" t="str">
        <f>VLOOKUP(transactions_table8[[#This Row],[market_code]],markets_table!$A:$B,2,0)</f>
        <v>Mumbai</v>
      </c>
      <c r="J886" t="str">
        <f>VLOOKUP(transactions_table8[[#This Row],[market_code]],markets_table!$A:$C,3,0)</f>
        <v>Central</v>
      </c>
      <c r="K886" t="str">
        <f>VLOOKUP(transactions_table8[[#This Row],[customer_code]],customer_table!$A:$B,2,0)</f>
        <v>Path</v>
      </c>
      <c r="L886" t="str">
        <f>VLOOKUP(transactions_table8[[#This Row],[customer_code]],customer_table!$A:$C,3,0)</f>
        <v>E-Commerce</v>
      </c>
      <c r="M886">
        <f>IF(TRIM(CLEAN(transactions_table8[[#This Row],[currency]]))="USD",transactions_table8[[#This Row],[sales_amount]]*83,transactions_table8[[#This Row],[sales_amount]])</f>
        <v>17495</v>
      </c>
    </row>
    <row r="887" spans="1:13" x14ac:dyDescent="0.3">
      <c r="A887" t="s">
        <v>192</v>
      </c>
      <c r="B887" t="s">
        <v>47</v>
      </c>
      <c r="C887" t="s">
        <v>138</v>
      </c>
      <c r="D887" s="1">
        <v>43410</v>
      </c>
      <c r="E887">
        <v>13</v>
      </c>
      <c r="F887">
        <v>28269</v>
      </c>
      <c r="G887" t="s">
        <v>462</v>
      </c>
      <c r="H887" t="str">
        <f>VLOOKUP(A887, product_table!$A:$C, 3, 0)</f>
        <v>Own Brand</v>
      </c>
      <c r="I887" t="str">
        <f>VLOOKUP(transactions_table8[[#This Row],[market_code]],markets_table!$A:$B,2,0)</f>
        <v>Mumbai</v>
      </c>
      <c r="J887" t="str">
        <f>VLOOKUP(transactions_table8[[#This Row],[market_code]],markets_table!$A:$C,3,0)</f>
        <v>Central</v>
      </c>
      <c r="K887" t="str">
        <f>VLOOKUP(transactions_table8[[#This Row],[customer_code]],customer_table!$A:$B,2,0)</f>
        <v>Electricalslytical</v>
      </c>
      <c r="L887" t="str">
        <f>VLOOKUP(transactions_table8[[#This Row],[customer_code]],customer_table!$A:$C,3,0)</f>
        <v>E-Commerce</v>
      </c>
      <c r="M887">
        <f>IF(TRIM(CLEAN(transactions_table8[[#This Row],[currency]]))="USD",transactions_table8[[#This Row],[sales_amount]]*83,transactions_table8[[#This Row],[sales_amount]])</f>
        <v>28269</v>
      </c>
    </row>
    <row r="888" spans="1:13" x14ac:dyDescent="0.3">
      <c r="A888" t="s">
        <v>192</v>
      </c>
      <c r="B888" t="s">
        <v>34</v>
      </c>
      <c r="C888" t="s">
        <v>138</v>
      </c>
      <c r="D888" s="1">
        <v>43411</v>
      </c>
      <c r="E888">
        <v>11</v>
      </c>
      <c r="F888">
        <v>23394</v>
      </c>
      <c r="G888" t="s">
        <v>462</v>
      </c>
      <c r="H888" t="str">
        <f>VLOOKUP(A888, product_table!$A:$C, 3, 0)</f>
        <v>Own Brand</v>
      </c>
      <c r="I888" t="str">
        <f>VLOOKUP(transactions_table8[[#This Row],[market_code]],markets_table!$A:$B,2,0)</f>
        <v>Mumbai</v>
      </c>
      <c r="J888" t="str">
        <f>VLOOKUP(transactions_table8[[#This Row],[market_code]],markets_table!$A:$C,3,0)</f>
        <v>Central</v>
      </c>
      <c r="K888" t="str">
        <f>VLOOKUP(transactions_table8[[#This Row],[customer_code]],customer_table!$A:$B,2,0)</f>
        <v>Logic Stores</v>
      </c>
      <c r="L888" t="str">
        <f>VLOOKUP(transactions_table8[[#This Row],[customer_code]],customer_table!$A:$C,3,0)</f>
        <v>Brick &amp; Mortar</v>
      </c>
      <c r="M888">
        <f>IF(TRIM(CLEAN(transactions_table8[[#This Row],[currency]]))="USD",transactions_table8[[#This Row],[sales_amount]]*83,transactions_table8[[#This Row],[sales_amount]])</f>
        <v>23394</v>
      </c>
    </row>
    <row r="889" spans="1:13" x14ac:dyDescent="0.3">
      <c r="A889" t="s">
        <v>192</v>
      </c>
      <c r="B889" t="s">
        <v>47</v>
      </c>
      <c r="C889" t="s">
        <v>138</v>
      </c>
      <c r="D889" s="1">
        <v>43412</v>
      </c>
      <c r="E889">
        <v>4</v>
      </c>
      <c r="F889">
        <v>9190</v>
      </c>
      <c r="G889" t="s">
        <v>462</v>
      </c>
      <c r="H889" t="str">
        <f>VLOOKUP(A889, product_table!$A:$C, 3, 0)</f>
        <v>Own Brand</v>
      </c>
      <c r="I889" t="str">
        <f>VLOOKUP(transactions_table8[[#This Row],[market_code]],markets_table!$A:$B,2,0)</f>
        <v>Mumbai</v>
      </c>
      <c r="J889" t="str">
        <f>VLOOKUP(transactions_table8[[#This Row],[market_code]],markets_table!$A:$C,3,0)</f>
        <v>Central</v>
      </c>
      <c r="K889" t="str">
        <f>VLOOKUP(transactions_table8[[#This Row],[customer_code]],customer_table!$A:$B,2,0)</f>
        <v>Electricalslytical</v>
      </c>
      <c r="L889" t="str">
        <f>VLOOKUP(transactions_table8[[#This Row],[customer_code]],customer_table!$A:$C,3,0)</f>
        <v>E-Commerce</v>
      </c>
      <c r="M889">
        <f>IF(TRIM(CLEAN(transactions_table8[[#This Row],[currency]]))="USD",transactions_table8[[#This Row],[sales_amount]]*83,transactions_table8[[#This Row],[sales_amount]])</f>
        <v>9190</v>
      </c>
    </row>
    <row r="890" spans="1:13" x14ac:dyDescent="0.3">
      <c r="A890" t="s">
        <v>192</v>
      </c>
      <c r="B890" t="s">
        <v>53</v>
      </c>
      <c r="C890" t="s">
        <v>138</v>
      </c>
      <c r="D890" s="1">
        <v>43412</v>
      </c>
      <c r="E890">
        <v>9</v>
      </c>
      <c r="F890">
        <v>20991</v>
      </c>
      <c r="G890" t="s">
        <v>462</v>
      </c>
      <c r="H890" t="str">
        <f>VLOOKUP(A890, product_table!$A:$C, 3, 0)</f>
        <v>Own Brand</v>
      </c>
      <c r="I890" t="str">
        <f>VLOOKUP(transactions_table8[[#This Row],[market_code]],markets_table!$A:$B,2,0)</f>
        <v>Mumbai</v>
      </c>
      <c r="J890" t="str">
        <f>VLOOKUP(transactions_table8[[#This Row],[market_code]],markets_table!$A:$C,3,0)</f>
        <v>Central</v>
      </c>
      <c r="K890" t="str">
        <f>VLOOKUP(transactions_table8[[#This Row],[customer_code]],customer_table!$A:$B,2,0)</f>
        <v>Path</v>
      </c>
      <c r="L890" t="str">
        <f>VLOOKUP(transactions_table8[[#This Row],[customer_code]],customer_table!$A:$C,3,0)</f>
        <v>E-Commerce</v>
      </c>
      <c r="M890">
        <f>IF(TRIM(CLEAN(transactions_table8[[#This Row],[currency]]))="USD",transactions_table8[[#This Row],[sales_amount]]*83,transactions_table8[[#This Row],[sales_amount]])</f>
        <v>20991</v>
      </c>
    </row>
    <row r="891" spans="1:13" x14ac:dyDescent="0.3">
      <c r="A891" t="s">
        <v>192</v>
      </c>
      <c r="B891" t="s">
        <v>34</v>
      </c>
      <c r="C891" t="s">
        <v>138</v>
      </c>
      <c r="D891" s="1">
        <v>43413</v>
      </c>
      <c r="E891">
        <v>21</v>
      </c>
      <c r="F891">
        <v>43991</v>
      </c>
      <c r="G891" t="s">
        <v>462</v>
      </c>
      <c r="H891" t="str">
        <f>VLOOKUP(A891, product_table!$A:$C, 3, 0)</f>
        <v>Own Brand</v>
      </c>
      <c r="I891" t="str">
        <f>VLOOKUP(transactions_table8[[#This Row],[market_code]],markets_table!$A:$B,2,0)</f>
        <v>Mumbai</v>
      </c>
      <c r="J891" t="str">
        <f>VLOOKUP(transactions_table8[[#This Row],[market_code]],markets_table!$A:$C,3,0)</f>
        <v>Central</v>
      </c>
      <c r="K891" t="str">
        <f>VLOOKUP(transactions_table8[[#This Row],[customer_code]],customer_table!$A:$B,2,0)</f>
        <v>Logic Stores</v>
      </c>
      <c r="L891" t="str">
        <f>VLOOKUP(transactions_table8[[#This Row],[customer_code]],customer_table!$A:$C,3,0)</f>
        <v>Brick &amp; Mortar</v>
      </c>
      <c r="M891">
        <f>IF(TRIM(CLEAN(transactions_table8[[#This Row],[currency]]))="USD",transactions_table8[[#This Row],[sales_amount]]*83,transactions_table8[[#This Row],[sales_amount]])</f>
        <v>43991</v>
      </c>
    </row>
    <row r="892" spans="1:13" x14ac:dyDescent="0.3">
      <c r="A892" t="s">
        <v>192</v>
      </c>
      <c r="B892" t="s">
        <v>47</v>
      </c>
      <c r="C892" t="s">
        <v>138</v>
      </c>
      <c r="D892" s="1">
        <v>43416</v>
      </c>
      <c r="E892">
        <v>3</v>
      </c>
      <c r="F892">
        <v>6125</v>
      </c>
      <c r="G892" t="s">
        <v>462</v>
      </c>
      <c r="H892" t="str">
        <f>VLOOKUP(A892, product_table!$A:$C, 3, 0)</f>
        <v>Own Brand</v>
      </c>
      <c r="I892" t="str">
        <f>VLOOKUP(transactions_table8[[#This Row],[market_code]],markets_table!$A:$B,2,0)</f>
        <v>Mumbai</v>
      </c>
      <c r="J892" t="str">
        <f>VLOOKUP(transactions_table8[[#This Row],[market_code]],markets_table!$A:$C,3,0)</f>
        <v>Central</v>
      </c>
      <c r="K892" t="str">
        <f>VLOOKUP(transactions_table8[[#This Row],[customer_code]],customer_table!$A:$B,2,0)</f>
        <v>Electricalslytical</v>
      </c>
      <c r="L892" t="str">
        <f>VLOOKUP(transactions_table8[[#This Row],[customer_code]],customer_table!$A:$C,3,0)</f>
        <v>E-Commerce</v>
      </c>
      <c r="M892">
        <f>IF(TRIM(CLEAN(transactions_table8[[#This Row],[currency]]))="USD",transactions_table8[[#This Row],[sales_amount]]*83,transactions_table8[[#This Row],[sales_amount]])</f>
        <v>6125</v>
      </c>
    </row>
    <row r="893" spans="1:13" x14ac:dyDescent="0.3">
      <c r="A893" t="s">
        <v>192</v>
      </c>
      <c r="B893" t="s">
        <v>53</v>
      </c>
      <c r="C893" t="s">
        <v>138</v>
      </c>
      <c r="D893" s="1">
        <v>43416</v>
      </c>
      <c r="E893">
        <v>15</v>
      </c>
      <c r="F893">
        <v>34986</v>
      </c>
      <c r="G893" t="s">
        <v>462</v>
      </c>
      <c r="H893" t="str">
        <f>VLOOKUP(A893, product_table!$A:$C, 3, 0)</f>
        <v>Own Brand</v>
      </c>
      <c r="I893" t="str">
        <f>VLOOKUP(transactions_table8[[#This Row],[market_code]],markets_table!$A:$B,2,0)</f>
        <v>Mumbai</v>
      </c>
      <c r="J893" t="str">
        <f>VLOOKUP(transactions_table8[[#This Row],[market_code]],markets_table!$A:$C,3,0)</f>
        <v>Central</v>
      </c>
      <c r="K893" t="str">
        <f>VLOOKUP(transactions_table8[[#This Row],[customer_code]],customer_table!$A:$B,2,0)</f>
        <v>Path</v>
      </c>
      <c r="L893" t="str">
        <f>VLOOKUP(transactions_table8[[#This Row],[customer_code]],customer_table!$A:$C,3,0)</f>
        <v>E-Commerce</v>
      </c>
      <c r="M893">
        <f>IF(TRIM(CLEAN(transactions_table8[[#This Row],[currency]]))="USD",transactions_table8[[#This Row],[sales_amount]]*83,transactions_table8[[#This Row],[sales_amount]])</f>
        <v>34986</v>
      </c>
    </row>
    <row r="894" spans="1:13" x14ac:dyDescent="0.3">
      <c r="A894" t="s">
        <v>192</v>
      </c>
      <c r="B894" t="s">
        <v>47</v>
      </c>
      <c r="C894" t="s">
        <v>138</v>
      </c>
      <c r="D894" s="1">
        <v>43416</v>
      </c>
      <c r="E894">
        <v>13</v>
      </c>
      <c r="F894">
        <v>28269</v>
      </c>
      <c r="G894" t="s">
        <v>462</v>
      </c>
      <c r="H894" t="str">
        <f>VLOOKUP(A894, product_table!$A:$C, 3, 0)</f>
        <v>Own Brand</v>
      </c>
      <c r="I894" t="str">
        <f>VLOOKUP(transactions_table8[[#This Row],[market_code]],markets_table!$A:$B,2,0)</f>
        <v>Mumbai</v>
      </c>
      <c r="J894" t="str">
        <f>VLOOKUP(transactions_table8[[#This Row],[market_code]],markets_table!$A:$C,3,0)</f>
        <v>Central</v>
      </c>
      <c r="K894" t="str">
        <f>VLOOKUP(transactions_table8[[#This Row],[customer_code]],customer_table!$A:$B,2,0)</f>
        <v>Electricalslytical</v>
      </c>
      <c r="L894" t="str">
        <f>VLOOKUP(transactions_table8[[#This Row],[customer_code]],customer_table!$A:$C,3,0)</f>
        <v>E-Commerce</v>
      </c>
      <c r="M894">
        <f>IF(TRIM(CLEAN(transactions_table8[[#This Row],[currency]]))="USD",transactions_table8[[#This Row],[sales_amount]]*83,transactions_table8[[#This Row],[sales_amount]])</f>
        <v>28269</v>
      </c>
    </row>
    <row r="895" spans="1:13" x14ac:dyDescent="0.3">
      <c r="A895" t="s">
        <v>192</v>
      </c>
      <c r="B895" t="s">
        <v>47</v>
      </c>
      <c r="C895" t="s">
        <v>138</v>
      </c>
      <c r="D895" s="1">
        <v>43417</v>
      </c>
      <c r="E895">
        <v>1</v>
      </c>
      <c r="F895">
        <v>3065</v>
      </c>
      <c r="G895" t="s">
        <v>462</v>
      </c>
      <c r="H895" t="str">
        <f>VLOOKUP(A895, product_table!$A:$C, 3, 0)</f>
        <v>Own Brand</v>
      </c>
      <c r="I895" t="str">
        <f>VLOOKUP(transactions_table8[[#This Row],[market_code]],markets_table!$A:$B,2,0)</f>
        <v>Mumbai</v>
      </c>
      <c r="J895" t="str">
        <f>VLOOKUP(transactions_table8[[#This Row],[market_code]],markets_table!$A:$C,3,0)</f>
        <v>Central</v>
      </c>
      <c r="K895" t="str">
        <f>VLOOKUP(transactions_table8[[#This Row],[customer_code]],customer_table!$A:$B,2,0)</f>
        <v>Electricalslytical</v>
      </c>
      <c r="L895" t="str">
        <f>VLOOKUP(transactions_table8[[#This Row],[customer_code]],customer_table!$A:$C,3,0)</f>
        <v>E-Commerce</v>
      </c>
      <c r="M895">
        <f>IF(TRIM(CLEAN(transactions_table8[[#This Row],[currency]]))="USD",transactions_table8[[#This Row],[sales_amount]]*83,transactions_table8[[#This Row],[sales_amount]])</f>
        <v>3065</v>
      </c>
    </row>
    <row r="896" spans="1:13" x14ac:dyDescent="0.3">
      <c r="A896" t="s">
        <v>192</v>
      </c>
      <c r="B896" t="s">
        <v>47</v>
      </c>
      <c r="C896" t="s">
        <v>138</v>
      </c>
      <c r="D896" s="1">
        <v>43417</v>
      </c>
      <c r="E896">
        <v>13</v>
      </c>
      <c r="F896">
        <v>28269</v>
      </c>
      <c r="G896" t="s">
        <v>462</v>
      </c>
      <c r="H896" t="str">
        <f>VLOOKUP(A896, product_table!$A:$C, 3, 0)</f>
        <v>Own Brand</v>
      </c>
      <c r="I896" t="str">
        <f>VLOOKUP(transactions_table8[[#This Row],[market_code]],markets_table!$A:$B,2,0)</f>
        <v>Mumbai</v>
      </c>
      <c r="J896" t="str">
        <f>VLOOKUP(transactions_table8[[#This Row],[market_code]],markets_table!$A:$C,3,0)</f>
        <v>Central</v>
      </c>
      <c r="K896" t="str">
        <f>VLOOKUP(transactions_table8[[#This Row],[customer_code]],customer_table!$A:$B,2,0)</f>
        <v>Electricalslytical</v>
      </c>
      <c r="L896" t="str">
        <f>VLOOKUP(transactions_table8[[#This Row],[customer_code]],customer_table!$A:$C,3,0)</f>
        <v>E-Commerce</v>
      </c>
      <c r="M896">
        <f>IF(TRIM(CLEAN(transactions_table8[[#This Row],[currency]]))="USD",transactions_table8[[#This Row],[sales_amount]]*83,transactions_table8[[#This Row],[sales_amount]])</f>
        <v>28269</v>
      </c>
    </row>
    <row r="897" spans="1:13" x14ac:dyDescent="0.3">
      <c r="A897" t="s">
        <v>192</v>
      </c>
      <c r="B897" t="s">
        <v>47</v>
      </c>
      <c r="C897" t="s">
        <v>138</v>
      </c>
      <c r="D897" s="1">
        <v>43418</v>
      </c>
      <c r="E897">
        <v>1</v>
      </c>
      <c r="F897">
        <v>3065</v>
      </c>
      <c r="G897" t="s">
        <v>462</v>
      </c>
      <c r="H897" t="str">
        <f>VLOOKUP(A897, product_table!$A:$C, 3, 0)</f>
        <v>Own Brand</v>
      </c>
      <c r="I897" t="str">
        <f>VLOOKUP(transactions_table8[[#This Row],[market_code]],markets_table!$A:$B,2,0)</f>
        <v>Mumbai</v>
      </c>
      <c r="J897" t="str">
        <f>VLOOKUP(transactions_table8[[#This Row],[market_code]],markets_table!$A:$C,3,0)</f>
        <v>Central</v>
      </c>
      <c r="K897" t="str">
        <f>VLOOKUP(transactions_table8[[#This Row],[customer_code]],customer_table!$A:$B,2,0)</f>
        <v>Electricalslytical</v>
      </c>
      <c r="L897" t="str">
        <f>VLOOKUP(transactions_table8[[#This Row],[customer_code]],customer_table!$A:$C,3,0)</f>
        <v>E-Commerce</v>
      </c>
      <c r="M897">
        <f>IF(TRIM(CLEAN(transactions_table8[[#This Row],[currency]]))="USD",transactions_table8[[#This Row],[sales_amount]]*83,transactions_table8[[#This Row],[sales_amount]])</f>
        <v>3065</v>
      </c>
    </row>
    <row r="898" spans="1:13" x14ac:dyDescent="0.3">
      <c r="A898" t="s">
        <v>192</v>
      </c>
      <c r="B898" t="s">
        <v>47</v>
      </c>
      <c r="C898" t="s">
        <v>138</v>
      </c>
      <c r="D898" s="1">
        <v>43419</v>
      </c>
      <c r="E898">
        <v>3</v>
      </c>
      <c r="F898">
        <v>6125</v>
      </c>
      <c r="G898" t="s">
        <v>462</v>
      </c>
      <c r="H898" t="str">
        <f>VLOOKUP(A898, product_table!$A:$C, 3, 0)</f>
        <v>Own Brand</v>
      </c>
      <c r="I898" t="str">
        <f>VLOOKUP(transactions_table8[[#This Row],[market_code]],markets_table!$A:$B,2,0)</f>
        <v>Mumbai</v>
      </c>
      <c r="J898" t="str">
        <f>VLOOKUP(transactions_table8[[#This Row],[market_code]],markets_table!$A:$C,3,0)</f>
        <v>Central</v>
      </c>
      <c r="K898" t="str">
        <f>VLOOKUP(transactions_table8[[#This Row],[customer_code]],customer_table!$A:$B,2,0)</f>
        <v>Electricalslytical</v>
      </c>
      <c r="L898" t="str">
        <f>VLOOKUP(transactions_table8[[#This Row],[customer_code]],customer_table!$A:$C,3,0)</f>
        <v>E-Commerce</v>
      </c>
      <c r="M898">
        <f>IF(TRIM(CLEAN(transactions_table8[[#This Row],[currency]]))="USD",transactions_table8[[#This Row],[sales_amount]]*83,transactions_table8[[#This Row],[sales_amount]])</f>
        <v>6125</v>
      </c>
    </row>
    <row r="899" spans="1:13" x14ac:dyDescent="0.3">
      <c r="A899" t="s">
        <v>192</v>
      </c>
      <c r="B899" t="s">
        <v>53</v>
      </c>
      <c r="C899" t="s">
        <v>138</v>
      </c>
      <c r="D899" s="1">
        <v>43419</v>
      </c>
      <c r="E899">
        <v>8</v>
      </c>
      <c r="F899">
        <v>17495</v>
      </c>
      <c r="G899" t="s">
        <v>462</v>
      </c>
      <c r="H899" t="str">
        <f>VLOOKUP(A899, product_table!$A:$C, 3, 0)</f>
        <v>Own Brand</v>
      </c>
      <c r="I899" t="str">
        <f>VLOOKUP(transactions_table8[[#This Row],[market_code]],markets_table!$A:$B,2,0)</f>
        <v>Mumbai</v>
      </c>
      <c r="J899" t="str">
        <f>VLOOKUP(transactions_table8[[#This Row],[market_code]],markets_table!$A:$C,3,0)</f>
        <v>Central</v>
      </c>
      <c r="K899" t="str">
        <f>VLOOKUP(transactions_table8[[#This Row],[customer_code]],customer_table!$A:$B,2,0)</f>
        <v>Path</v>
      </c>
      <c r="L899" t="str">
        <f>VLOOKUP(transactions_table8[[#This Row],[customer_code]],customer_table!$A:$C,3,0)</f>
        <v>E-Commerce</v>
      </c>
      <c r="M899">
        <f>IF(TRIM(CLEAN(transactions_table8[[#This Row],[currency]]))="USD",transactions_table8[[#This Row],[sales_amount]]*83,transactions_table8[[#This Row],[sales_amount]])</f>
        <v>17495</v>
      </c>
    </row>
    <row r="900" spans="1:13" x14ac:dyDescent="0.3">
      <c r="A900" t="s">
        <v>192</v>
      </c>
      <c r="B900" t="s">
        <v>34</v>
      </c>
      <c r="C900" t="s">
        <v>138</v>
      </c>
      <c r="D900" s="1">
        <v>43420</v>
      </c>
      <c r="E900">
        <v>37</v>
      </c>
      <c r="F900">
        <v>77870</v>
      </c>
      <c r="G900" t="s">
        <v>462</v>
      </c>
      <c r="H900" t="str">
        <f>VLOOKUP(A900, product_table!$A:$C, 3, 0)</f>
        <v>Own Brand</v>
      </c>
      <c r="I900" t="str">
        <f>VLOOKUP(transactions_table8[[#This Row],[market_code]],markets_table!$A:$B,2,0)</f>
        <v>Mumbai</v>
      </c>
      <c r="J900" t="str">
        <f>VLOOKUP(transactions_table8[[#This Row],[market_code]],markets_table!$A:$C,3,0)</f>
        <v>Central</v>
      </c>
      <c r="K900" t="str">
        <f>VLOOKUP(transactions_table8[[#This Row],[customer_code]],customer_table!$A:$B,2,0)</f>
        <v>Logic Stores</v>
      </c>
      <c r="L900" t="str">
        <f>VLOOKUP(transactions_table8[[#This Row],[customer_code]],customer_table!$A:$C,3,0)</f>
        <v>Brick &amp; Mortar</v>
      </c>
      <c r="M900">
        <f>IF(TRIM(CLEAN(transactions_table8[[#This Row],[currency]]))="USD",transactions_table8[[#This Row],[sales_amount]]*83,transactions_table8[[#This Row],[sales_amount]])</f>
        <v>77870</v>
      </c>
    </row>
    <row r="901" spans="1:13" x14ac:dyDescent="0.3">
      <c r="A901" t="s">
        <v>192</v>
      </c>
      <c r="B901" t="s">
        <v>47</v>
      </c>
      <c r="C901" t="s">
        <v>138</v>
      </c>
      <c r="D901" s="1">
        <v>43420</v>
      </c>
      <c r="E901">
        <v>13</v>
      </c>
      <c r="F901">
        <v>28269</v>
      </c>
      <c r="G901" t="s">
        <v>462</v>
      </c>
      <c r="H901" t="str">
        <f>VLOOKUP(A901, product_table!$A:$C, 3, 0)</f>
        <v>Own Brand</v>
      </c>
      <c r="I901" t="str">
        <f>VLOOKUP(transactions_table8[[#This Row],[market_code]],markets_table!$A:$B,2,0)</f>
        <v>Mumbai</v>
      </c>
      <c r="J901" t="str">
        <f>VLOOKUP(transactions_table8[[#This Row],[market_code]],markets_table!$A:$C,3,0)</f>
        <v>Central</v>
      </c>
      <c r="K901" t="str">
        <f>VLOOKUP(transactions_table8[[#This Row],[customer_code]],customer_table!$A:$B,2,0)</f>
        <v>Electricalslytical</v>
      </c>
      <c r="L901" t="str">
        <f>VLOOKUP(transactions_table8[[#This Row],[customer_code]],customer_table!$A:$C,3,0)</f>
        <v>E-Commerce</v>
      </c>
      <c r="M901">
        <f>IF(TRIM(CLEAN(transactions_table8[[#This Row],[currency]]))="USD",transactions_table8[[#This Row],[sales_amount]]*83,transactions_table8[[#This Row],[sales_amount]])</f>
        <v>28269</v>
      </c>
    </row>
    <row r="902" spans="1:13" x14ac:dyDescent="0.3">
      <c r="A902" t="s">
        <v>192</v>
      </c>
      <c r="B902" t="s">
        <v>53</v>
      </c>
      <c r="C902" t="s">
        <v>138</v>
      </c>
      <c r="D902" s="1">
        <v>43424</v>
      </c>
      <c r="E902">
        <v>8</v>
      </c>
      <c r="F902">
        <v>17495</v>
      </c>
      <c r="G902" t="s">
        <v>462</v>
      </c>
      <c r="H902" t="str">
        <f>VLOOKUP(A902, product_table!$A:$C, 3, 0)</f>
        <v>Own Brand</v>
      </c>
      <c r="I902" t="str">
        <f>VLOOKUP(transactions_table8[[#This Row],[market_code]],markets_table!$A:$B,2,0)</f>
        <v>Mumbai</v>
      </c>
      <c r="J902" t="str">
        <f>VLOOKUP(transactions_table8[[#This Row],[market_code]],markets_table!$A:$C,3,0)</f>
        <v>Central</v>
      </c>
      <c r="K902" t="str">
        <f>VLOOKUP(transactions_table8[[#This Row],[customer_code]],customer_table!$A:$B,2,0)</f>
        <v>Path</v>
      </c>
      <c r="L902" t="str">
        <f>VLOOKUP(transactions_table8[[#This Row],[customer_code]],customer_table!$A:$C,3,0)</f>
        <v>E-Commerce</v>
      </c>
      <c r="M902">
        <f>IF(TRIM(CLEAN(transactions_table8[[#This Row],[currency]]))="USD",transactions_table8[[#This Row],[sales_amount]]*83,transactions_table8[[#This Row],[sales_amount]])</f>
        <v>17495</v>
      </c>
    </row>
    <row r="903" spans="1:13" x14ac:dyDescent="0.3">
      <c r="A903" t="s">
        <v>192</v>
      </c>
      <c r="B903" t="s">
        <v>47</v>
      </c>
      <c r="C903" t="s">
        <v>138</v>
      </c>
      <c r="D903" s="1">
        <v>43424</v>
      </c>
      <c r="E903">
        <v>13</v>
      </c>
      <c r="F903">
        <v>28269</v>
      </c>
      <c r="G903" t="s">
        <v>462</v>
      </c>
      <c r="H903" t="str">
        <f>VLOOKUP(A903, product_table!$A:$C, 3, 0)</f>
        <v>Own Brand</v>
      </c>
      <c r="I903" t="str">
        <f>VLOOKUP(transactions_table8[[#This Row],[market_code]],markets_table!$A:$B,2,0)</f>
        <v>Mumbai</v>
      </c>
      <c r="J903" t="str">
        <f>VLOOKUP(transactions_table8[[#This Row],[market_code]],markets_table!$A:$C,3,0)</f>
        <v>Central</v>
      </c>
      <c r="K903" t="str">
        <f>VLOOKUP(transactions_table8[[#This Row],[customer_code]],customer_table!$A:$B,2,0)</f>
        <v>Electricalslytical</v>
      </c>
      <c r="L903" t="str">
        <f>VLOOKUP(transactions_table8[[#This Row],[customer_code]],customer_table!$A:$C,3,0)</f>
        <v>E-Commerce</v>
      </c>
      <c r="M903">
        <f>IF(TRIM(CLEAN(transactions_table8[[#This Row],[currency]]))="USD",transactions_table8[[#This Row],[sales_amount]]*83,transactions_table8[[#This Row],[sales_amount]])</f>
        <v>28269</v>
      </c>
    </row>
    <row r="904" spans="1:13" x14ac:dyDescent="0.3">
      <c r="A904" t="s">
        <v>192</v>
      </c>
      <c r="B904" t="s">
        <v>47</v>
      </c>
      <c r="C904" t="s">
        <v>138</v>
      </c>
      <c r="D904" s="1">
        <v>43425</v>
      </c>
      <c r="E904">
        <v>1</v>
      </c>
      <c r="F904">
        <v>3065</v>
      </c>
      <c r="G904" t="s">
        <v>462</v>
      </c>
      <c r="H904" t="str">
        <f>VLOOKUP(A904, product_table!$A:$C, 3, 0)</f>
        <v>Own Brand</v>
      </c>
      <c r="I904" t="str">
        <f>VLOOKUP(transactions_table8[[#This Row],[market_code]],markets_table!$A:$B,2,0)</f>
        <v>Mumbai</v>
      </c>
      <c r="J904" t="str">
        <f>VLOOKUP(transactions_table8[[#This Row],[market_code]],markets_table!$A:$C,3,0)</f>
        <v>Central</v>
      </c>
      <c r="K904" t="str">
        <f>VLOOKUP(transactions_table8[[#This Row],[customer_code]],customer_table!$A:$B,2,0)</f>
        <v>Electricalslytical</v>
      </c>
      <c r="L904" t="str">
        <f>VLOOKUP(transactions_table8[[#This Row],[customer_code]],customer_table!$A:$C,3,0)</f>
        <v>E-Commerce</v>
      </c>
      <c r="M904">
        <f>IF(TRIM(CLEAN(transactions_table8[[#This Row],[currency]]))="USD",transactions_table8[[#This Row],[sales_amount]]*83,transactions_table8[[#This Row],[sales_amount]])</f>
        <v>3065</v>
      </c>
    </row>
    <row r="905" spans="1:13" x14ac:dyDescent="0.3">
      <c r="A905" t="s">
        <v>192</v>
      </c>
      <c r="B905" t="s">
        <v>47</v>
      </c>
      <c r="C905" t="s">
        <v>138</v>
      </c>
      <c r="D905" s="1">
        <v>43426</v>
      </c>
      <c r="E905">
        <v>3</v>
      </c>
      <c r="F905">
        <v>6125</v>
      </c>
      <c r="G905" t="s">
        <v>462</v>
      </c>
      <c r="H905" t="str">
        <f>VLOOKUP(A905, product_table!$A:$C, 3, 0)</f>
        <v>Own Brand</v>
      </c>
      <c r="I905" t="str">
        <f>VLOOKUP(transactions_table8[[#This Row],[market_code]],markets_table!$A:$B,2,0)</f>
        <v>Mumbai</v>
      </c>
      <c r="J905" t="str">
        <f>VLOOKUP(transactions_table8[[#This Row],[market_code]],markets_table!$A:$C,3,0)</f>
        <v>Central</v>
      </c>
      <c r="K905" t="str">
        <f>VLOOKUP(transactions_table8[[#This Row],[customer_code]],customer_table!$A:$B,2,0)</f>
        <v>Electricalslytical</v>
      </c>
      <c r="L905" t="str">
        <f>VLOOKUP(transactions_table8[[#This Row],[customer_code]],customer_table!$A:$C,3,0)</f>
        <v>E-Commerce</v>
      </c>
      <c r="M905">
        <f>IF(TRIM(CLEAN(transactions_table8[[#This Row],[currency]]))="USD",transactions_table8[[#This Row],[sales_amount]]*83,transactions_table8[[#This Row],[sales_amount]])</f>
        <v>6125</v>
      </c>
    </row>
    <row r="906" spans="1:13" x14ac:dyDescent="0.3">
      <c r="A906" t="s">
        <v>192</v>
      </c>
      <c r="B906" t="s">
        <v>53</v>
      </c>
      <c r="C906" t="s">
        <v>138</v>
      </c>
      <c r="D906" s="1">
        <v>43426</v>
      </c>
      <c r="E906">
        <v>23</v>
      </c>
      <c r="F906">
        <v>52481</v>
      </c>
      <c r="G906" t="s">
        <v>462</v>
      </c>
      <c r="H906" t="str">
        <f>VLOOKUP(A906, product_table!$A:$C, 3, 0)</f>
        <v>Own Brand</v>
      </c>
      <c r="I906" t="str">
        <f>VLOOKUP(transactions_table8[[#This Row],[market_code]],markets_table!$A:$B,2,0)</f>
        <v>Mumbai</v>
      </c>
      <c r="J906" t="str">
        <f>VLOOKUP(transactions_table8[[#This Row],[market_code]],markets_table!$A:$C,3,0)</f>
        <v>Central</v>
      </c>
      <c r="K906" t="str">
        <f>VLOOKUP(transactions_table8[[#This Row],[customer_code]],customer_table!$A:$B,2,0)</f>
        <v>Path</v>
      </c>
      <c r="L906" t="str">
        <f>VLOOKUP(transactions_table8[[#This Row],[customer_code]],customer_table!$A:$C,3,0)</f>
        <v>E-Commerce</v>
      </c>
      <c r="M906">
        <f>IF(TRIM(CLEAN(transactions_table8[[#This Row],[currency]]))="USD",transactions_table8[[#This Row],[sales_amount]]*83,transactions_table8[[#This Row],[sales_amount]])</f>
        <v>52481</v>
      </c>
    </row>
    <row r="907" spans="1:13" x14ac:dyDescent="0.3">
      <c r="A907" t="s">
        <v>192</v>
      </c>
      <c r="B907" t="s">
        <v>47</v>
      </c>
      <c r="C907" t="s">
        <v>138</v>
      </c>
      <c r="D907" s="1">
        <v>43426</v>
      </c>
      <c r="E907">
        <v>13</v>
      </c>
      <c r="F907">
        <v>28269</v>
      </c>
      <c r="G907" t="s">
        <v>462</v>
      </c>
      <c r="H907" t="str">
        <f>VLOOKUP(A907, product_table!$A:$C, 3, 0)</f>
        <v>Own Brand</v>
      </c>
      <c r="I907" t="str">
        <f>VLOOKUP(transactions_table8[[#This Row],[market_code]],markets_table!$A:$B,2,0)</f>
        <v>Mumbai</v>
      </c>
      <c r="J907" t="str">
        <f>VLOOKUP(transactions_table8[[#This Row],[market_code]],markets_table!$A:$C,3,0)</f>
        <v>Central</v>
      </c>
      <c r="K907" t="str">
        <f>VLOOKUP(transactions_table8[[#This Row],[customer_code]],customer_table!$A:$B,2,0)</f>
        <v>Electricalslytical</v>
      </c>
      <c r="L907" t="str">
        <f>VLOOKUP(transactions_table8[[#This Row],[customer_code]],customer_table!$A:$C,3,0)</f>
        <v>E-Commerce</v>
      </c>
      <c r="M907">
        <f>IF(TRIM(CLEAN(transactions_table8[[#This Row],[currency]]))="USD",transactions_table8[[#This Row],[sales_amount]]*83,transactions_table8[[#This Row],[sales_amount]])</f>
        <v>28269</v>
      </c>
    </row>
    <row r="908" spans="1:13" x14ac:dyDescent="0.3">
      <c r="A908" t="s">
        <v>192</v>
      </c>
      <c r="B908" t="s">
        <v>34</v>
      </c>
      <c r="C908" t="s">
        <v>138</v>
      </c>
      <c r="D908" s="1">
        <v>43427</v>
      </c>
      <c r="E908">
        <v>6</v>
      </c>
      <c r="F908">
        <v>13264</v>
      </c>
      <c r="G908" t="s">
        <v>462</v>
      </c>
      <c r="H908" t="str">
        <f>VLOOKUP(A908, product_table!$A:$C, 3, 0)</f>
        <v>Own Brand</v>
      </c>
      <c r="I908" t="str">
        <f>VLOOKUP(transactions_table8[[#This Row],[market_code]],markets_table!$A:$B,2,0)</f>
        <v>Mumbai</v>
      </c>
      <c r="J908" t="str">
        <f>VLOOKUP(transactions_table8[[#This Row],[market_code]],markets_table!$A:$C,3,0)</f>
        <v>Central</v>
      </c>
      <c r="K908" t="str">
        <f>VLOOKUP(transactions_table8[[#This Row],[customer_code]],customer_table!$A:$B,2,0)</f>
        <v>Logic Stores</v>
      </c>
      <c r="L908" t="str">
        <f>VLOOKUP(transactions_table8[[#This Row],[customer_code]],customer_table!$A:$C,3,0)</f>
        <v>Brick &amp; Mortar</v>
      </c>
      <c r="M908">
        <f>IF(TRIM(CLEAN(transactions_table8[[#This Row],[currency]]))="USD",transactions_table8[[#This Row],[sales_amount]]*83,transactions_table8[[#This Row],[sales_amount]])</f>
        <v>13264</v>
      </c>
    </row>
    <row r="909" spans="1:13" x14ac:dyDescent="0.3">
      <c r="A909" t="s">
        <v>192</v>
      </c>
      <c r="B909" t="s">
        <v>47</v>
      </c>
      <c r="C909" t="s">
        <v>138</v>
      </c>
      <c r="D909" s="1">
        <v>43427</v>
      </c>
      <c r="E909">
        <v>4</v>
      </c>
      <c r="F909">
        <v>9190</v>
      </c>
      <c r="G909" t="s">
        <v>462</v>
      </c>
      <c r="H909" t="str">
        <f>VLOOKUP(A909, product_table!$A:$C, 3, 0)</f>
        <v>Own Brand</v>
      </c>
      <c r="I909" t="str">
        <f>VLOOKUP(transactions_table8[[#This Row],[market_code]],markets_table!$A:$B,2,0)</f>
        <v>Mumbai</v>
      </c>
      <c r="J909" t="str">
        <f>VLOOKUP(transactions_table8[[#This Row],[market_code]],markets_table!$A:$C,3,0)</f>
        <v>Central</v>
      </c>
      <c r="K909" t="str">
        <f>VLOOKUP(transactions_table8[[#This Row],[customer_code]],customer_table!$A:$B,2,0)</f>
        <v>Electricalslytical</v>
      </c>
      <c r="L909" t="str">
        <f>VLOOKUP(transactions_table8[[#This Row],[customer_code]],customer_table!$A:$C,3,0)</f>
        <v>E-Commerce</v>
      </c>
      <c r="M909">
        <f>IF(TRIM(CLEAN(transactions_table8[[#This Row],[currency]]))="USD",transactions_table8[[#This Row],[sales_amount]]*83,transactions_table8[[#This Row],[sales_amount]])</f>
        <v>9190</v>
      </c>
    </row>
    <row r="910" spans="1:13" x14ac:dyDescent="0.3">
      <c r="A910" t="s">
        <v>192</v>
      </c>
      <c r="B910" t="s">
        <v>49</v>
      </c>
      <c r="C910" t="s">
        <v>138</v>
      </c>
      <c r="D910" s="1">
        <v>43427</v>
      </c>
      <c r="E910">
        <v>17</v>
      </c>
      <c r="F910">
        <v>36014</v>
      </c>
      <c r="G910" t="s">
        <v>462</v>
      </c>
      <c r="H910" t="str">
        <f>VLOOKUP(A910, product_table!$A:$C, 3, 0)</f>
        <v>Own Brand</v>
      </c>
      <c r="I910" t="str">
        <f>VLOOKUP(transactions_table8[[#This Row],[market_code]],markets_table!$A:$B,2,0)</f>
        <v>Mumbai</v>
      </c>
      <c r="J910" t="str">
        <f>VLOOKUP(transactions_table8[[#This Row],[market_code]],markets_table!$A:$C,3,0)</f>
        <v>Central</v>
      </c>
      <c r="K910" t="str">
        <f>VLOOKUP(transactions_table8[[#This Row],[customer_code]],customer_table!$A:$B,2,0)</f>
        <v>Sound</v>
      </c>
      <c r="L910" t="str">
        <f>VLOOKUP(transactions_table8[[#This Row],[customer_code]],customer_table!$A:$C,3,0)</f>
        <v>E-Commerce</v>
      </c>
      <c r="M910">
        <f>IF(TRIM(CLEAN(transactions_table8[[#This Row],[currency]]))="USD",transactions_table8[[#This Row],[sales_amount]]*83,transactions_table8[[#This Row],[sales_amount]])</f>
        <v>36014</v>
      </c>
    </row>
    <row r="911" spans="1:13" x14ac:dyDescent="0.3">
      <c r="A911" t="s">
        <v>192</v>
      </c>
      <c r="B911" t="s">
        <v>34</v>
      </c>
      <c r="C911" t="s">
        <v>138</v>
      </c>
      <c r="D911" s="1">
        <v>43430</v>
      </c>
      <c r="E911">
        <v>58</v>
      </c>
      <c r="F911">
        <v>121509</v>
      </c>
      <c r="G911" t="s">
        <v>462</v>
      </c>
      <c r="H911" t="str">
        <f>VLOOKUP(A911, product_table!$A:$C, 3, 0)</f>
        <v>Own Brand</v>
      </c>
      <c r="I911" t="str">
        <f>VLOOKUP(transactions_table8[[#This Row],[market_code]],markets_table!$A:$B,2,0)</f>
        <v>Mumbai</v>
      </c>
      <c r="J911" t="str">
        <f>VLOOKUP(transactions_table8[[#This Row],[market_code]],markets_table!$A:$C,3,0)</f>
        <v>Central</v>
      </c>
      <c r="K911" t="str">
        <f>VLOOKUP(transactions_table8[[#This Row],[customer_code]],customer_table!$A:$B,2,0)</f>
        <v>Logic Stores</v>
      </c>
      <c r="L911" t="str">
        <f>VLOOKUP(transactions_table8[[#This Row],[customer_code]],customer_table!$A:$C,3,0)</f>
        <v>Brick &amp; Mortar</v>
      </c>
      <c r="M911">
        <f>IF(TRIM(CLEAN(transactions_table8[[#This Row],[currency]]))="USD",transactions_table8[[#This Row],[sales_amount]]*83,transactions_table8[[#This Row],[sales_amount]])</f>
        <v>121509</v>
      </c>
    </row>
    <row r="912" spans="1:13" x14ac:dyDescent="0.3">
      <c r="A912" t="s">
        <v>192</v>
      </c>
      <c r="B912" t="s">
        <v>47</v>
      </c>
      <c r="C912" t="s">
        <v>138</v>
      </c>
      <c r="D912" s="1">
        <v>43431</v>
      </c>
      <c r="E912">
        <v>13</v>
      </c>
      <c r="F912">
        <v>28269</v>
      </c>
      <c r="G912" t="s">
        <v>462</v>
      </c>
      <c r="H912" t="str">
        <f>VLOOKUP(A912, product_table!$A:$C, 3, 0)</f>
        <v>Own Brand</v>
      </c>
      <c r="I912" t="str">
        <f>VLOOKUP(transactions_table8[[#This Row],[market_code]],markets_table!$A:$B,2,0)</f>
        <v>Mumbai</v>
      </c>
      <c r="J912" t="str">
        <f>VLOOKUP(transactions_table8[[#This Row],[market_code]],markets_table!$A:$C,3,0)</f>
        <v>Central</v>
      </c>
      <c r="K912" t="str">
        <f>VLOOKUP(transactions_table8[[#This Row],[customer_code]],customer_table!$A:$B,2,0)</f>
        <v>Electricalslytical</v>
      </c>
      <c r="L912" t="str">
        <f>VLOOKUP(transactions_table8[[#This Row],[customer_code]],customer_table!$A:$C,3,0)</f>
        <v>E-Commerce</v>
      </c>
      <c r="M912">
        <f>IF(TRIM(CLEAN(transactions_table8[[#This Row],[currency]]))="USD",transactions_table8[[#This Row],[sales_amount]]*83,transactions_table8[[#This Row],[sales_amount]])</f>
        <v>28269</v>
      </c>
    </row>
    <row r="913" spans="1:13" x14ac:dyDescent="0.3">
      <c r="A913" t="s">
        <v>192</v>
      </c>
      <c r="B913" t="s">
        <v>49</v>
      </c>
      <c r="C913" t="s">
        <v>138</v>
      </c>
      <c r="D913" s="1">
        <v>43431</v>
      </c>
      <c r="E913">
        <v>33</v>
      </c>
      <c r="F913">
        <v>72028</v>
      </c>
      <c r="G913" t="s">
        <v>462</v>
      </c>
      <c r="H913" t="str">
        <f>VLOOKUP(A913, product_table!$A:$C, 3, 0)</f>
        <v>Own Brand</v>
      </c>
      <c r="I913" t="str">
        <f>VLOOKUP(transactions_table8[[#This Row],[market_code]],markets_table!$A:$B,2,0)</f>
        <v>Mumbai</v>
      </c>
      <c r="J913" t="str">
        <f>VLOOKUP(transactions_table8[[#This Row],[market_code]],markets_table!$A:$C,3,0)</f>
        <v>Central</v>
      </c>
      <c r="K913" t="str">
        <f>VLOOKUP(transactions_table8[[#This Row],[customer_code]],customer_table!$A:$B,2,0)</f>
        <v>Sound</v>
      </c>
      <c r="L913" t="str">
        <f>VLOOKUP(transactions_table8[[#This Row],[customer_code]],customer_table!$A:$C,3,0)</f>
        <v>E-Commerce</v>
      </c>
      <c r="M913">
        <f>IF(TRIM(CLEAN(transactions_table8[[#This Row],[currency]]))="USD",transactions_table8[[#This Row],[sales_amount]]*83,transactions_table8[[#This Row],[sales_amount]])</f>
        <v>72028</v>
      </c>
    </row>
    <row r="914" spans="1:13" x14ac:dyDescent="0.3">
      <c r="A914" t="s">
        <v>192</v>
      </c>
      <c r="B914" t="s">
        <v>34</v>
      </c>
      <c r="C914" t="s">
        <v>138</v>
      </c>
      <c r="D914" s="1">
        <v>43433</v>
      </c>
      <c r="E914">
        <v>22</v>
      </c>
      <c r="F914">
        <v>46444</v>
      </c>
      <c r="G914" t="s">
        <v>462</v>
      </c>
      <c r="H914" t="str">
        <f>VLOOKUP(A914, product_table!$A:$C, 3, 0)</f>
        <v>Own Brand</v>
      </c>
      <c r="I914" t="str">
        <f>VLOOKUP(transactions_table8[[#This Row],[market_code]],markets_table!$A:$B,2,0)</f>
        <v>Mumbai</v>
      </c>
      <c r="J914" t="str">
        <f>VLOOKUP(transactions_table8[[#This Row],[market_code]],markets_table!$A:$C,3,0)</f>
        <v>Central</v>
      </c>
      <c r="K914" t="str">
        <f>VLOOKUP(transactions_table8[[#This Row],[customer_code]],customer_table!$A:$B,2,0)</f>
        <v>Logic Stores</v>
      </c>
      <c r="L914" t="str">
        <f>VLOOKUP(transactions_table8[[#This Row],[customer_code]],customer_table!$A:$C,3,0)</f>
        <v>Brick &amp; Mortar</v>
      </c>
      <c r="M914">
        <f>IF(TRIM(CLEAN(transactions_table8[[#This Row],[currency]]))="USD",transactions_table8[[#This Row],[sales_amount]]*83,transactions_table8[[#This Row],[sales_amount]])</f>
        <v>46444</v>
      </c>
    </row>
    <row r="915" spans="1:13" x14ac:dyDescent="0.3">
      <c r="A915" t="s">
        <v>192</v>
      </c>
      <c r="B915" t="s">
        <v>47</v>
      </c>
      <c r="C915" t="s">
        <v>138</v>
      </c>
      <c r="D915" s="1">
        <v>43433</v>
      </c>
      <c r="E915">
        <v>1</v>
      </c>
      <c r="F915">
        <v>3065</v>
      </c>
      <c r="G915" t="s">
        <v>462</v>
      </c>
      <c r="H915" t="str">
        <f>VLOOKUP(A915, product_table!$A:$C, 3, 0)</f>
        <v>Own Brand</v>
      </c>
      <c r="I915" t="str">
        <f>VLOOKUP(transactions_table8[[#This Row],[market_code]],markets_table!$A:$B,2,0)</f>
        <v>Mumbai</v>
      </c>
      <c r="J915" t="str">
        <f>VLOOKUP(transactions_table8[[#This Row],[market_code]],markets_table!$A:$C,3,0)</f>
        <v>Central</v>
      </c>
      <c r="K915" t="str">
        <f>VLOOKUP(transactions_table8[[#This Row],[customer_code]],customer_table!$A:$B,2,0)</f>
        <v>Electricalslytical</v>
      </c>
      <c r="L915" t="str">
        <f>VLOOKUP(transactions_table8[[#This Row],[customer_code]],customer_table!$A:$C,3,0)</f>
        <v>E-Commerce</v>
      </c>
      <c r="M915">
        <f>IF(TRIM(CLEAN(transactions_table8[[#This Row],[currency]]))="USD",transactions_table8[[#This Row],[sales_amount]]*83,transactions_table8[[#This Row],[sales_amount]])</f>
        <v>3065</v>
      </c>
    </row>
    <row r="916" spans="1:13" x14ac:dyDescent="0.3">
      <c r="A916" t="s">
        <v>192</v>
      </c>
      <c r="B916" t="s">
        <v>53</v>
      </c>
      <c r="C916" t="s">
        <v>138</v>
      </c>
      <c r="D916" s="1">
        <v>43433</v>
      </c>
      <c r="E916">
        <v>8</v>
      </c>
      <c r="F916">
        <v>17495</v>
      </c>
      <c r="G916" t="s">
        <v>462</v>
      </c>
      <c r="H916" t="str">
        <f>VLOOKUP(A916, product_table!$A:$C, 3, 0)</f>
        <v>Own Brand</v>
      </c>
      <c r="I916" t="str">
        <f>VLOOKUP(transactions_table8[[#This Row],[market_code]],markets_table!$A:$B,2,0)</f>
        <v>Mumbai</v>
      </c>
      <c r="J916" t="str">
        <f>VLOOKUP(transactions_table8[[#This Row],[market_code]],markets_table!$A:$C,3,0)</f>
        <v>Central</v>
      </c>
      <c r="K916" t="str">
        <f>VLOOKUP(transactions_table8[[#This Row],[customer_code]],customer_table!$A:$B,2,0)</f>
        <v>Path</v>
      </c>
      <c r="L916" t="str">
        <f>VLOOKUP(transactions_table8[[#This Row],[customer_code]],customer_table!$A:$C,3,0)</f>
        <v>E-Commerce</v>
      </c>
      <c r="M916">
        <f>IF(TRIM(CLEAN(transactions_table8[[#This Row],[currency]]))="USD",transactions_table8[[#This Row],[sales_amount]]*83,transactions_table8[[#This Row],[sales_amount]])</f>
        <v>17495</v>
      </c>
    </row>
    <row r="917" spans="1:13" x14ac:dyDescent="0.3">
      <c r="A917" t="s">
        <v>192</v>
      </c>
      <c r="B917" t="s">
        <v>47</v>
      </c>
      <c r="C917" t="s">
        <v>138</v>
      </c>
      <c r="D917" s="1">
        <v>43433</v>
      </c>
      <c r="E917">
        <v>13</v>
      </c>
      <c r="F917">
        <v>28269</v>
      </c>
      <c r="G917" t="s">
        <v>462</v>
      </c>
      <c r="H917" t="str">
        <f>VLOOKUP(A917, product_table!$A:$C, 3, 0)</f>
        <v>Own Brand</v>
      </c>
      <c r="I917" t="str">
        <f>VLOOKUP(transactions_table8[[#This Row],[market_code]],markets_table!$A:$B,2,0)</f>
        <v>Mumbai</v>
      </c>
      <c r="J917" t="str">
        <f>VLOOKUP(transactions_table8[[#This Row],[market_code]],markets_table!$A:$C,3,0)</f>
        <v>Central</v>
      </c>
      <c r="K917" t="str">
        <f>VLOOKUP(transactions_table8[[#This Row],[customer_code]],customer_table!$A:$B,2,0)</f>
        <v>Electricalslytical</v>
      </c>
      <c r="L917" t="str">
        <f>VLOOKUP(transactions_table8[[#This Row],[customer_code]],customer_table!$A:$C,3,0)</f>
        <v>E-Commerce</v>
      </c>
      <c r="M917">
        <f>IF(TRIM(CLEAN(transactions_table8[[#This Row],[currency]]))="USD",transactions_table8[[#This Row],[sales_amount]]*83,transactions_table8[[#This Row],[sales_amount]])</f>
        <v>28269</v>
      </c>
    </row>
    <row r="918" spans="1:13" x14ac:dyDescent="0.3">
      <c r="A918" t="s">
        <v>192</v>
      </c>
      <c r="B918" t="s">
        <v>47</v>
      </c>
      <c r="C918" t="s">
        <v>138</v>
      </c>
      <c r="D918" s="1">
        <v>43437</v>
      </c>
      <c r="E918">
        <v>1</v>
      </c>
      <c r="F918">
        <v>3065</v>
      </c>
      <c r="G918" t="s">
        <v>462</v>
      </c>
      <c r="H918" t="str">
        <f>VLOOKUP(A918, product_table!$A:$C, 3, 0)</f>
        <v>Own Brand</v>
      </c>
      <c r="I918" t="str">
        <f>VLOOKUP(transactions_table8[[#This Row],[market_code]],markets_table!$A:$B,2,0)</f>
        <v>Mumbai</v>
      </c>
      <c r="J918" t="str">
        <f>VLOOKUP(transactions_table8[[#This Row],[market_code]],markets_table!$A:$C,3,0)</f>
        <v>Central</v>
      </c>
      <c r="K918" t="str">
        <f>VLOOKUP(transactions_table8[[#This Row],[customer_code]],customer_table!$A:$B,2,0)</f>
        <v>Electricalslytical</v>
      </c>
      <c r="L918" t="str">
        <f>VLOOKUP(transactions_table8[[#This Row],[customer_code]],customer_table!$A:$C,3,0)</f>
        <v>E-Commerce</v>
      </c>
      <c r="M918">
        <f>IF(TRIM(CLEAN(transactions_table8[[#This Row],[currency]]))="USD",transactions_table8[[#This Row],[sales_amount]]*83,transactions_table8[[#This Row],[sales_amount]])</f>
        <v>3065</v>
      </c>
    </row>
    <row r="919" spans="1:13" x14ac:dyDescent="0.3">
      <c r="A919" t="s">
        <v>192</v>
      </c>
      <c r="B919" t="s">
        <v>53</v>
      </c>
      <c r="C919" t="s">
        <v>138</v>
      </c>
      <c r="D919" s="1">
        <v>43437</v>
      </c>
      <c r="E919">
        <v>8</v>
      </c>
      <c r="F919">
        <v>17495</v>
      </c>
      <c r="G919" t="s">
        <v>462</v>
      </c>
      <c r="H919" t="str">
        <f>VLOOKUP(A919, product_table!$A:$C, 3, 0)</f>
        <v>Own Brand</v>
      </c>
      <c r="I919" t="str">
        <f>VLOOKUP(transactions_table8[[#This Row],[market_code]],markets_table!$A:$B,2,0)</f>
        <v>Mumbai</v>
      </c>
      <c r="J919" t="str">
        <f>VLOOKUP(transactions_table8[[#This Row],[market_code]],markets_table!$A:$C,3,0)</f>
        <v>Central</v>
      </c>
      <c r="K919" t="str">
        <f>VLOOKUP(transactions_table8[[#This Row],[customer_code]],customer_table!$A:$B,2,0)</f>
        <v>Path</v>
      </c>
      <c r="L919" t="str">
        <f>VLOOKUP(transactions_table8[[#This Row],[customer_code]],customer_table!$A:$C,3,0)</f>
        <v>E-Commerce</v>
      </c>
      <c r="M919">
        <f>IF(TRIM(CLEAN(transactions_table8[[#This Row],[currency]]))="USD",transactions_table8[[#This Row],[sales_amount]]*83,transactions_table8[[#This Row],[sales_amount]])</f>
        <v>17495</v>
      </c>
    </row>
    <row r="920" spans="1:13" x14ac:dyDescent="0.3">
      <c r="A920" t="s">
        <v>192</v>
      </c>
      <c r="B920" t="s">
        <v>47</v>
      </c>
      <c r="C920" t="s">
        <v>138</v>
      </c>
      <c r="D920" s="1">
        <v>43438</v>
      </c>
      <c r="E920">
        <v>1</v>
      </c>
      <c r="F920">
        <v>3065</v>
      </c>
      <c r="G920" t="s">
        <v>462</v>
      </c>
      <c r="H920" t="str">
        <f>VLOOKUP(A920, product_table!$A:$C, 3, 0)</f>
        <v>Own Brand</v>
      </c>
      <c r="I920" t="str">
        <f>VLOOKUP(transactions_table8[[#This Row],[market_code]],markets_table!$A:$B,2,0)</f>
        <v>Mumbai</v>
      </c>
      <c r="J920" t="str">
        <f>VLOOKUP(transactions_table8[[#This Row],[market_code]],markets_table!$A:$C,3,0)</f>
        <v>Central</v>
      </c>
      <c r="K920" t="str">
        <f>VLOOKUP(transactions_table8[[#This Row],[customer_code]],customer_table!$A:$B,2,0)</f>
        <v>Electricalslytical</v>
      </c>
      <c r="L920" t="str">
        <f>VLOOKUP(transactions_table8[[#This Row],[customer_code]],customer_table!$A:$C,3,0)</f>
        <v>E-Commerce</v>
      </c>
      <c r="M920">
        <f>IF(TRIM(CLEAN(transactions_table8[[#This Row],[currency]]))="USD",transactions_table8[[#This Row],[sales_amount]]*83,transactions_table8[[#This Row],[sales_amount]])</f>
        <v>3065</v>
      </c>
    </row>
    <row r="921" spans="1:13" x14ac:dyDescent="0.3">
      <c r="A921" t="s">
        <v>192</v>
      </c>
      <c r="B921" t="s">
        <v>47</v>
      </c>
      <c r="C921" t="s">
        <v>138</v>
      </c>
      <c r="D921" s="1">
        <v>43438</v>
      </c>
      <c r="E921">
        <v>13</v>
      </c>
      <c r="F921">
        <v>28269</v>
      </c>
      <c r="G921" t="s">
        <v>462</v>
      </c>
      <c r="H921" t="str">
        <f>VLOOKUP(A921, product_table!$A:$C, 3, 0)</f>
        <v>Own Brand</v>
      </c>
      <c r="I921" t="str">
        <f>VLOOKUP(transactions_table8[[#This Row],[market_code]],markets_table!$A:$B,2,0)</f>
        <v>Mumbai</v>
      </c>
      <c r="J921" t="str">
        <f>VLOOKUP(transactions_table8[[#This Row],[market_code]],markets_table!$A:$C,3,0)</f>
        <v>Central</v>
      </c>
      <c r="K921" t="str">
        <f>VLOOKUP(transactions_table8[[#This Row],[customer_code]],customer_table!$A:$B,2,0)</f>
        <v>Electricalslytical</v>
      </c>
      <c r="L921" t="str">
        <f>VLOOKUP(transactions_table8[[#This Row],[customer_code]],customer_table!$A:$C,3,0)</f>
        <v>E-Commerce</v>
      </c>
      <c r="M921">
        <f>IF(TRIM(CLEAN(transactions_table8[[#This Row],[currency]]))="USD",transactions_table8[[#This Row],[sales_amount]]*83,transactions_table8[[#This Row],[sales_amount]])</f>
        <v>28269</v>
      </c>
    </row>
    <row r="922" spans="1:13" x14ac:dyDescent="0.3">
      <c r="A922" t="s">
        <v>192</v>
      </c>
      <c r="B922" t="s">
        <v>47</v>
      </c>
      <c r="C922" t="s">
        <v>138</v>
      </c>
      <c r="D922" s="1">
        <v>43440</v>
      </c>
      <c r="E922">
        <v>1</v>
      </c>
      <c r="F922">
        <v>3065</v>
      </c>
      <c r="G922" t="s">
        <v>462</v>
      </c>
      <c r="H922" t="str">
        <f>VLOOKUP(A922, product_table!$A:$C, 3, 0)</f>
        <v>Own Brand</v>
      </c>
      <c r="I922" t="str">
        <f>VLOOKUP(transactions_table8[[#This Row],[market_code]],markets_table!$A:$B,2,0)</f>
        <v>Mumbai</v>
      </c>
      <c r="J922" t="str">
        <f>VLOOKUP(transactions_table8[[#This Row],[market_code]],markets_table!$A:$C,3,0)</f>
        <v>Central</v>
      </c>
      <c r="K922" t="str">
        <f>VLOOKUP(transactions_table8[[#This Row],[customer_code]],customer_table!$A:$B,2,0)</f>
        <v>Electricalslytical</v>
      </c>
      <c r="L922" t="str">
        <f>VLOOKUP(transactions_table8[[#This Row],[customer_code]],customer_table!$A:$C,3,0)</f>
        <v>E-Commerce</v>
      </c>
      <c r="M922">
        <f>IF(TRIM(CLEAN(transactions_table8[[#This Row],[currency]]))="USD",transactions_table8[[#This Row],[sales_amount]]*83,transactions_table8[[#This Row],[sales_amount]])</f>
        <v>3065</v>
      </c>
    </row>
    <row r="923" spans="1:13" x14ac:dyDescent="0.3">
      <c r="A923" t="s">
        <v>192</v>
      </c>
      <c r="B923" t="s">
        <v>53</v>
      </c>
      <c r="C923" t="s">
        <v>138</v>
      </c>
      <c r="D923" s="1">
        <v>43440</v>
      </c>
      <c r="E923">
        <v>15</v>
      </c>
      <c r="F923">
        <v>34986</v>
      </c>
      <c r="G923" t="s">
        <v>462</v>
      </c>
      <c r="H923" t="str">
        <f>VLOOKUP(A923, product_table!$A:$C, 3, 0)</f>
        <v>Own Brand</v>
      </c>
      <c r="I923" t="str">
        <f>VLOOKUP(transactions_table8[[#This Row],[market_code]],markets_table!$A:$B,2,0)</f>
        <v>Mumbai</v>
      </c>
      <c r="J923" t="str">
        <f>VLOOKUP(transactions_table8[[#This Row],[market_code]],markets_table!$A:$C,3,0)</f>
        <v>Central</v>
      </c>
      <c r="K923" t="str">
        <f>VLOOKUP(transactions_table8[[#This Row],[customer_code]],customer_table!$A:$B,2,0)</f>
        <v>Path</v>
      </c>
      <c r="L923" t="str">
        <f>VLOOKUP(transactions_table8[[#This Row],[customer_code]],customer_table!$A:$C,3,0)</f>
        <v>E-Commerce</v>
      </c>
      <c r="M923">
        <f>IF(TRIM(CLEAN(transactions_table8[[#This Row],[currency]]))="USD",transactions_table8[[#This Row],[sales_amount]]*83,transactions_table8[[#This Row],[sales_amount]])</f>
        <v>34986</v>
      </c>
    </row>
    <row r="924" spans="1:13" x14ac:dyDescent="0.3">
      <c r="A924" t="s">
        <v>192</v>
      </c>
      <c r="B924" t="s">
        <v>47</v>
      </c>
      <c r="C924" t="s">
        <v>138</v>
      </c>
      <c r="D924" s="1">
        <v>43440</v>
      </c>
      <c r="E924">
        <v>13</v>
      </c>
      <c r="F924">
        <v>28269</v>
      </c>
      <c r="G924" t="s">
        <v>462</v>
      </c>
      <c r="H924" t="str">
        <f>VLOOKUP(A924, product_table!$A:$C, 3, 0)</f>
        <v>Own Brand</v>
      </c>
      <c r="I924" t="str">
        <f>VLOOKUP(transactions_table8[[#This Row],[market_code]],markets_table!$A:$B,2,0)</f>
        <v>Mumbai</v>
      </c>
      <c r="J924" t="str">
        <f>VLOOKUP(transactions_table8[[#This Row],[market_code]],markets_table!$A:$C,3,0)</f>
        <v>Central</v>
      </c>
      <c r="K924" t="str">
        <f>VLOOKUP(transactions_table8[[#This Row],[customer_code]],customer_table!$A:$B,2,0)</f>
        <v>Electricalslytical</v>
      </c>
      <c r="L924" t="str">
        <f>VLOOKUP(transactions_table8[[#This Row],[customer_code]],customer_table!$A:$C,3,0)</f>
        <v>E-Commerce</v>
      </c>
      <c r="M924">
        <f>IF(TRIM(CLEAN(transactions_table8[[#This Row],[currency]]))="USD",transactions_table8[[#This Row],[sales_amount]]*83,transactions_table8[[#This Row],[sales_amount]])</f>
        <v>28269</v>
      </c>
    </row>
    <row r="925" spans="1:13" x14ac:dyDescent="0.3">
      <c r="A925" t="s">
        <v>192</v>
      </c>
      <c r="B925" t="s">
        <v>34</v>
      </c>
      <c r="C925" t="s">
        <v>138</v>
      </c>
      <c r="D925" s="1">
        <v>43441</v>
      </c>
      <c r="E925">
        <v>59</v>
      </c>
      <c r="F925">
        <v>122898</v>
      </c>
      <c r="G925" t="s">
        <v>462</v>
      </c>
      <c r="H925" t="str">
        <f>VLOOKUP(A925, product_table!$A:$C, 3, 0)</f>
        <v>Own Brand</v>
      </c>
      <c r="I925" t="str">
        <f>VLOOKUP(transactions_table8[[#This Row],[market_code]],markets_table!$A:$B,2,0)</f>
        <v>Mumbai</v>
      </c>
      <c r="J925" t="str">
        <f>VLOOKUP(transactions_table8[[#This Row],[market_code]],markets_table!$A:$C,3,0)</f>
        <v>Central</v>
      </c>
      <c r="K925" t="str">
        <f>VLOOKUP(transactions_table8[[#This Row],[customer_code]],customer_table!$A:$B,2,0)</f>
        <v>Logic Stores</v>
      </c>
      <c r="L925" t="str">
        <f>VLOOKUP(transactions_table8[[#This Row],[customer_code]],customer_table!$A:$C,3,0)</f>
        <v>Brick &amp; Mortar</v>
      </c>
      <c r="M925">
        <f>IF(TRIM(CLEAN(transactions_table8[[#This Row],[currency]]))="USD",transactions_table8[[#This Row],[sales_amount]]*83,transactions_table8[[#This Row],[sales_amount]])</f>
        <v>122898</v>
      </c>
    </row>
    <row r="926" spans="1:13" x14ac:dyDescent="0.3">
      <c r="A926" t="s">
        <v>192</v>
      </c>
      <c r="B926" t="s">
        <v>47</v>
      </c>
      <c r="C926" t="s">
        <v>138</v>
      </c>
      <c r="D926" s="1">
        <v>43444</v>
      </c>
      <c r="E926">
        <v>1</v>
      </c>
      <c r="F926">
        <v>3065</v>
      </c>
      <c r="G926" t="s">
        <v>462</v>
      </c>
      <c r="H926" t="str">
        <f>VLOOKUP(A926, product_table!$A:$C, 3, 0)</f>
        <v>Own Brand</v>
      </c>
      <c r="I926" t="str">
        <f>VLOOKUP(transactions_table8[[#This Row],[market_code]],markets_table!$A:$B,2,0)</f>
        <v>Mumbai</v>
      </c>
      <c r="J926" t="str">
        <f>VLOOKUP(transactions_table8[[#This Row],[market_code]],markets_table!$A:$C,3,0)</f>
        <v>Central</v>
      </c>
      <c r="K926" t="str">
        <f>VLOOKUP(transactions_table8[[#This Row],[customer_code]],customer_table!$A:$B,2,0)</f>
        <v>Electricalslytical</v>
      </c>
      <c r="L926" t="str">
        <f>VLOOKUP(transactions_table8[[#This Row],[customer_code]],customer_table!$A:$C,3,0)</f>
        <v>E-Commerce</v>
      </c>
      <c r="M926">
        <f>IF(TRIM(CLEAN(transactions_table8[[#This Row],[currency]]))="USD",transactions_table8[[#This Row],[sales_amount]]*83,transactions_table8[[#This Row],[sales_amount]])</f>
        <v>3065</v>
      </c>
    </row>
    <row r="927" spans="1:13" x14ac:dyDescent="0.3">
      <c r="A927" t="s">
        <v>192</v>
      </c>
      <c r="B927" t="s">
        <v>53</v>
      </c>
      <c r="C927" t="s">
        <v>138</v>
      </c>
      <c r="D927" s="1">
        <v>43444</v>
      </c>
      <c r="E927">
        <v>23</v>
      </c>
      <c r="F927">
        <v>52481</v>
      </c>
      <c r="G927" t="s">
        <v>462</v>
      </c>
      <c r="H927" t="str">
        <f>VLOOKUP(A927, product_table!$A:$C, 3, 0)</f>
        <v>Own Brand</v>
      </c>
      <c r="I927" t="str">
        <f>VLOOKUP(transactions_table8[[#This Row],[market_code]],markets_table!$A:$B,2,0)</f>
        <v>Mumbai</v>
      </c>
      <c r="J927" t="str">
        <f>VLOOKUP(transactions_table8[[#This Row],[market_code]],markets_table!$A:$C,3,0)</f>
        <v>Central</v>
      </c>
      <c r="K927" t="str">
        <f>VLOOKUP(transactions_table8[[#This Row],[customer_code]],customer_table!$A:$B,2,0)</f>
        <v>Path</v>
      </c>
      <c r="L927" t="str">
        <f>VLOOKUP(transactions_table8[[#This Row],[customer_code]],customer_table!$A:$C,3,0)</f>
        <v>E-Commerce</v>
      </c>
      <c r="M927">
        <f>IF(TRIM(CLEAN(transactions_table8[[#This Row],[currency]]))="USD",transactions_table8[[#This Row],[sales_amount]]*83,transactions_table8[[#This Row],[sales_amount]])</f>
        <v>52481</v>
      </c>
    </row>
    <row r="928" spans="1:13" x14ac:dyDescent="0.3">
      <c r="A928" t="s">
        <v>192</v>
      </c>
      <c r="B928" t="s">
        <v>47</v>
      </c>
      <c r="C928" t="s">
        <v>138</v>
      </c>
      <c r="D928" s="1">
        <v>43444</v>
      </c>
      <c r="E928">
        <v>13</v>
      </c>
      <c r="F928">
        <v>28269</v>
      </c>
      <c r="G928" t="s">
        <v>462</v>
      </c>
      <c r="H928" t="str">
        <f>VLOOKUP(A928, product_table!$A:$C, 3, 0)</f>
        <v>Own Brand</v>
      </c>
      <c r="I928" t="str">
        <f>VLOOKUP(transactions_table8[[#This Row],[market_code]],markets_table!$A:$B,2,0)</f>
        <v>Mumbai</v>
      </c>
      <c r="J928" t="str">
        <f>VLOOKUP(transactions_table8[[#This Row],[market_code]],markets_table!$A:$C,3,0)</f>
        <v>Central</v>
      </c>
      <c r="K928" t="str">
        <f>VLOOKUP(transactions_table8[[#This Row],[customer_code]],customer_table!$A:$B,2,0)</f>
        <v>Electricalslytical</v>
      </c>
      <c r="L928" t="str">
        <f>VLOOKUP(transactions_table8[[#This Row],[customer_code]],customer_table!$A:$C,3,0)</f>
        <v>E-Commerce</v>
      </c>
      <c r="M928">
        <f>IF(TRIM(CLEAN(transactions_table8[[#This Row],[currency]]))="USD",transactions_table8[[#This Row],[sales_amount]]*83,transactions_table8[[#This Row],[sales_amount]])</f>
        <v>28269</v>
      </c>
    </row>
    <row r="929" spans="1:13" x14ac:dyDescent="0.3">
      <c r="A929" t="s">
        <v>192</v>
      </c>
      <c r="B929" t="s">
        <v>47</v>
      </c>
      <c r="C929" t="s">
        <v>138</v>
      </c>
      <c r="D929" s="1">
        <v>43446</v>
      </c>
      <c r="E929">
        <v>1</v>
      </c>
      <c r="F929">
        <v>3065</v>
      </c>
      <c r="G929" t="s">
        <v>462</v>
      </c>
      <c r="H929" t="str">
        <f>VLOOKUP(A929, product_table!$A:$C, 3, 0)</f>
        <v>Own Brand</v>
      </c>
      <c r="I929" t="str">
        <f>VLOOKUP(transactions_table8[[#This Row],[market_code]],markets_table!$A:$B,2,0)</f>
        <v>Mumbai</v>
      </c>
      <c r="J929" t="str">
        <f>VLOOKUP(transactions_table8[[#This Row],[market_code]],markets_table!$A:$C,3,0)</f>
        <v>Central</v>
      </c>
      <c r="K929" t="str">
        <f>VLOOKUP(transactions_table8[[#This Row],[customer_code]],customer_table!$A:$B,2,0)</f>
        <v>Electricalslytical</v>
      </c>
      <c r="L929" t="str">
        <f>VLOOKUP(transactions_table8[[#This Row],[customer_code]],customer_table!$A:$C,3,0)</f>
        <v>E-Commerce</v>
      </c>
      <c r="M929">
        <f>IF(TRIM(CLEAN(transactions_table8[[#This Row],[currency]]))="USD",transactions_table8[[#This Row],[sales_amount]]*83,transactions_table8[[#This Row],[sales_amount]])</f>
        <v>3065</v>
      </c>
    </row>
    <row r="930" spans="1:13" x14ac:dyDescent="0.3">
      <c r="A930" t="s">
        <v>192</v>
      </c>
      <c r="B930" t="s">
        <v>34</v>
      </c>
      <c r="C930" t="s">
        <v>138</v>
      </c>
      <c r="D930" s="1">
        <v>43447</v>
      </c>
      <c r="E930">
        <v>9</v>
      </c>
      <c r="F930">
        <v>19556</v>
      </c>
      <c r="G930" t="s">
        <v>462</v>
      </c>
      <c r="H930" t="str">
        <f>VLOOKUP(A930, product_table!$A:$C, 3, 0)</f>
        <v>Own Brand</v>
      </c>
      <c r="I930" t="str">
        <f>VLOOKUP(transactions_table8[[#This Row],[market_code]],markets_table!$A:$B,2,0)</f>
        <v>Mumbai</v>
      </c>
      <c r="J930" t="str">
        <f>VLOOKUP(transactions_table8[[#This Row],[market_code]],markets_table!$A:$C,3,0)</f>
        <v>Central</v>
      </c>
      <c r="K930" t="str">
        <f>VLOOKUP(transactions_table8[[#This Row],[customer_code]],customer_table!$A:$B,2,0)</f>
        <v>Logic Stores</v>
      </c>
      <c r="L930" t="str">
        <f>VLOOKUP(transactions_table8[[#This Row],[customer_code]],customer_table!$A:$C,3,0)</f>
        <v>Brick &amp; Mortar</v>
      </c>
      <c r="M930">
        <f>IF(TRIM(CLEAN(transactions_table8[[#This Row],[currency]]))="USD",transactions_table8[[#This Row],[sales_amount]]*83,transactions_table8[[#This Row],[sales_amount]])</f>
        <v>19556</v>
      </c>
    </row>
    <row r="931" spans="1:13" x14ac:dyDescent="0.3">
      <c r="A931" t="s">
        <v>192</v>
      </c>
      <c r="B931" t="s">
        <v>47</v>
      </c>
      <c r="C931" t="s">
        <v>138</v>
      </c>
      <c r="D931" s="1">
        <v>43447</v>
      </c>
      <c r="E931">
        <v>1</v>
      </c>
      <c r="F931">
        <v>3065</v>
      </c>
      <c r="G931" t="s">
        <v>462</v>
      </c>
      <c r="H931" t="str">
        <f>VLOOKUP(A931, product_table!$A:$C, 3, 0)</f>
        <v>Own Brand</v>
      </c>
      <c r="I931" t="str">
        <f>VLOOKUP(transactions_table8[[#This Row],[market_code]],markets_table!$A:$B,2,0)</f>
        <v>Mumbai</v>
      </c>
      <c r="J931" t="str">
        <f>VLOOKUP(transactions_table8[[#This Row],[market_code]],markets_table!$A:$C,3,0)</f>
        <v>Central</v>
      </c>
      <c r="K931" t="str">
        <f>VLOOKUP(transactions_table8[[#This Row],[customer_code]],customer_table!$A:$B,2,0)</f>
        <v>Electricalslytical</v>
      </c>
      <c r="L931" t="str">
        <f>VLOOKUP(transactions_table8[[#This Row],[customer_code]],customer_table!$A:$C,3,0)</f>
        <v>E-Commerce</v>
      </c>
      <c r="M931">
        <f>IF(TRIM(CLEAN(transactions_table8[[#This Row],[currency]]))="USD",transactions_table8[[#This Row],[sales_amount]]*83,transactions_table8[[#This Row],[sales_amount]])</f>
        <v>3065</v>
      </c>
    </row>
    <row r="932" spans="1:13" x14ac:dyDescent="0.3">
      <c r="A932" t="s">
        <v>192</v>
      </c>
      <c r="B932" t="s">
        <v>53</v>
      </c>
      <c r="C932" t="s">
        <v>138</v>
      </c>
      <c r="D932" s="1">
        <v>43447</v>
      </c>
      <c r="E932">
        <v>8</v>
      </c>
      <c r="F932">
        <v>17495</v>
      </c>
      <c r="G932" t="s">
        <v>462</v>
      </c>
      <c r="H932" t="str">
        <f>VLOOKUP(A932, product_table!$A:$C, 3, 0)</f>
        <v>Own Brand</v>
      </c>
      <c r="I932" t="str">
        <f>VLOOKUP(transactions_table8[[#This Row],[market_code]],markets_table!$A:$B,2,0)</f>
        <v>Mumbai</v>
      </c>
      <c r="J932" t="str">
        <f>VLOOKUP(transactions_table8[[#This Row],[market_code]],markets_table!$A:$C,3,0)</f>
        <v>Central</v>
      </c>
      <c r="K932" t="str">
        <f>VLOOKUP(transactions_table8[[#This Row],[customer_code]],customer_table!$A:$B,2,0)</f>
        <v>Path</v>
      </c>
      <c r="L932" t="str">
        <f>VLOOKUP(transactions_table8[[#This Row],[customer_code]],customer_table!$A:$C,3,0)</f>
        <v>E-Commerce</v>
      </c>
      <c r="M932">
        <f>IF(TRIM(CLEAN(transactions_table8[[#This Row],[currency]]))="USD",transactions_table8[[#This Row],[sales_amount]]*83,transactions_table8[[#This Row],[sales_amount]])</f>
        <v>17495</v>
      </c>
    </row>
    <row r="933" spans="1:13" x14ac:dyDescent="0.3">
      <c r="A933" t="s">
        <v>192</v>
      </c>
      <c r="B933" t="s">
        <v>34</v>
      </c>
      <c r="C933" t="s">
        <v>138</v>
      </c>
      <c r="D933" s="1">
        <v>43448</v>
      </c>
      <c r="E933">
        <v>18</v>
      </c>
      <c r="F933">
        <v>38407</v>
      </c>
      <c r="G933" t="s">
        <v>462</v>
      </c>
      <c r="H933" t="str">
        <f>VLOOKUP(A933, product_table!$A:$C, 3, 0)</f>
        <v>Own Brand</v>
      </c>
      <c r="I933" t="str">
        <f>VLOOKUP(transactions_table8[[#This Row],[market_code]],markets_table!$A:$B,2,0)</f>
        <v>Mumbai</v>
      </c>
      <c r="J933" t="str">
        <f>VLOOKUP(transactions_table8[[#This Row],[market_code]],markets_table!$A:$C,3,0)</f>
        <v>Central</v>
      </c>
      <c r="K933" t="str">
        <f>VLOOKUP(transactions_table8[[#This Row],[customer_code]],customer_table!$A:$B,2,0)</f>
        <v>Logic Stores</v>
      </c>
      <c r="L933" t="str">
        <f>VLOOKUP(transactions_table8[[#This Row],[customer_code]],customer_table!$A:$C,3,0)</f>
        <v>Brick &amp; Mortar</v>
      </c>
      <c r="M933">
        <f>IF(TRIM(CLEAN(transactions_table8[[#This Row],[currency]]))="USD",transactions_table8[[#This Row],[sales_amount]]*83,transactions_table8[[#This Row],[sales_amount]])</f>
        <v>38407</v>
      </c>
    </row>
    <row r="934" spans="1:13" x14ac:dyDescent="0.3">
      <c r="A934" t="s">
        <v>192</v>
      </c>
      <c r="B934" t="s">
        <v>47</v>
      </c>
      <c r="C934" t="s">
        <v>138</v>
      </c>
      <c r="D934" s="1">
        <v>43448</v>
      </c>
      <c r="E934">
        <v>4</v>
      </c>
      <c r="F934">
        <v>9190</v>
      </c>
      <c r="G934" t="s">
        <v>462</v>
      </c>
      <c r="H934" t="str">
        <f>VLOOKUP(A934, product_table!$A:$C, 3, 0)</f>
        <v>Own Brand</v>
      </c>
      <c r="I934" t="str">
        <f>VLOOKUP(transactions_table8[[#This Row],[market_code]],markets_table!$A:$B,2,0)</f>
        <v>Mumbai</v>
      </c>
      <c r="J934" t="str">
        <f>VLOOKUP(transactions_table8[[#This Row],[market_code]],markets_table!$A:$C,3,0)</f>
        <v>Central</v>
      </c>
      <c r="K934" t="str">
        <f>VLOOKUP(transactions_table8[[#This Row],[customer_code]],customer_table!$A:$B,2,0)</f>
        <v>Electricalslytical</v>
      </c>
      <c r="L934" t="str">
        <f>VLOOKUP(transactions_table8[[#This Row],[customer_code]],customer_table!$A:$C,3,0)</f>
        <v>E-Commerce</v>
      </c>
      <c r="M934">
        <f>IF(TRIM(CLEAN(transactions_table8[[#This Row],[currency]]))="USD",transactions_table8[[#This Row],[sales_amount]]*83,transactions_table8[[#This Row],[sales_amount]])</f>
        <v>9190</v>
      </c>
    </row>
    <row r="935" spans="1:13" x14ac:dyDescent="0.3">
      <c r="A935" t="s">
        <v>192</v>
      </c>
      <c r="B935" t="s">
        <v>47</v>
      </c>
      <c r="C935" t="s">
        <v>138</v>
      </c>
      <c r="D935" s="1">
        <v>43451</v>
      </c>
      <c r="E935">
        <v>3</v>
      </c>
      <c r="F935">
        <v>6125</v>
      </c>
      <c r="G935" t="s">
        <v>462</v>
      </c>
      <c r="H935" t="str">
        <f>VLOOKUP(A935, product_table!$A:$C, 3, 0)</f>
        <v>Own Brand</v>
      </c>
      <c r="I935" t="str">
        <f>VLOOKUP(transactions_table8[[#This Row],[market_code]],markets_table!$A:$B,2,0)</f>
        <v>Mumbai</v>
      </c>
      <c r="J935" t="str">
        <f>VLOOKUP(transactions_table8[[#This Row],[market_code]],markets_table!$A:$C,3,0)</f>
        <v>Central</v>
      </c>
      <c r="K935" t="str">
        <f>VLOOKUP(transactions_table8[[#This Row],[customer_code]],customer_table!$A:$B,2,0)</f>
        <v>Electricalslytical</v>
      </c>
      <c r="L935" t="str">
        <f>VLOOKUP(transactions_table8[[#This Row],[customer_code]],customer_table!$A:$C,3,0)</f>
        <v>E-Commerce</v>
      </c>
      <c r="M935">
        <f>IF(TRIM(CLEAN(transactions_table8[[#This Row],[currency]]))="USD",transactions_table8[[#This Row],[sales_amount]]*83,transactions_table8[[#This Row],[sales_amount]])</f>
        <v>6125</v>
      </c>
    </row>
    <row r="936" spans="1:13" x14ac:dyDescent="0.3">
      <c r="A936" t="s">
        <v>192</v>
      </c>
      <c r="B936" t="s">
        <v>53</v>
      </c>
      <c r="C936" t="s">
        <v>138</v>
      </c>
      <c r="D936" s="1">
        <v>43451</v>
      </c>
      <c r="E936">
        <v>8</v>
      </c>
      <c r="F936">
        <v>17495</v>
      </c>
      <c r="G936" t="s">
        <v>462</v>
      </c>
      <c r="H936" t="str">
        <f>VLOOKUP(A936, product_table!$A:$C, 3, 0)</f>
        <v>Own Brand</v>
      </c>
      <c r="I936" t="str">
        <f>VLOOKUP(transactions_table8[[#This Row],[market_code]],markets_table!$A:$B,2,0)</f>
        <v>Mumbai</v>
      </c>
      <c r="J936" t="str">
        <f>VLOOKUP(transactions_table8[[#This Row],[market_code]],markets_table!$A:$C,3,0)</f>
        <v>Central</v>
      </c>
      <c r="K936" t="str">
        <f>VLOOKUP(transactions_table8[[#This Row],[customer_code]],customer_table!$A:$B,2,0)</f>
        <v>Path</v>
      </c>
      <c r="L936" t="str">
        <f>VLOOKUP(transactions_table8[[#This Row],[customer_code]],customer_table!$A:$C,3,0)</f>
        <v>E-Commerce</v>
      </c>
      <c r="M936">
        <f>IF(TRIM(CLEAN(transactions_table8[[#This Row],[currency]]))="USD",transactions_table8[[#This Row],[sales_amount]]*83,transactions_table8[[#This Row],[sales_amount]])</f>
        <v>17495</v>
      </c>
    </row>
    <row r="937" spans="1:13" x14ac:dyDescent="0.3">
      <c r="A937" t="s">
        <v>192</v>
      </c>
      <c r="B937" t="s">
        <v>51</v>
      </c>
      <c r="C937" t="s">
        <v>138</v>
      </c>
      <c r="D937" s="1">
        <v>43451</v>
      </c>
      <c r="E937">
        <v>1</v>
      </c>
      <c r="F937">
        <v>338</v>
      </c>
      <c r="G937" t="s">
        <v>462</v>
      </c>
      <c r="H937" t="str">
        <f>VLOOKUP(A937, product_table!$A:$C, 3, 0)</f>
        <v>Own Brand</v>
      </c>
      <c r="I937" t="str">
        <f>VLOOKUP(transactions_table8[[#This Row],[market_code]],markets_table!$A:$B,2,0)</f>
        <v>Mumbai</v>
      </c>
      <c r="J937" t="str">
        <f>VLOOKUP(transactions_table8[[#This Row],[market_code]],markets_table!$A:$C,3,0)</f>
        <v>Central</v>
      </c>
      <c r="K937" t="str">
        <f>VLOOKUP(transactions_table8[[#This Row],[customer_code]],customer_table!$A:$B,2,0)</f>
        <v>Power</v>
      </c>
      <c r="L937" t="str">
        <f>VLOOKUP(transactions_table8[[#This Row],[customer_code]],customer_table!$A:$C,3,0)</f>
        <v>E-Commerce</v>
      </c>
      <c r="M937">
        <f>IF(TRIM(CLEAN(transactions_table8[[#This Row],[currency]]))="USD",transactions_table8[[#This Row],[sales_amount]]*83,transactions_table8[[#This Row],[sales_amount]])</f>
        <v>338</v>
      </c>
    </row>
    <row r="938" spans="1:13" x14ac:dyDescent="0.3">
      <c r="A938" t="s">
        <v>192</v>
      </c>
      <c r="B938" t="s">
        <v>53</v>
      </c>
      <c r="C938" t="s">
        <v>138</v>
      </c>
      <c r="D938" s="1">
        <v>43452</v>
      </c>
      <c r="E938">
        <v>11</v>
      </c>
      <c r="F938">
        <v>24491</v>
      </c>
      <c r="G938" t="s">
        <v>462</v>
      </c>
      <c r="H938" t="str">
        <f>VLOOKUP(A938, product_table!$A:$C, 3, 0)</f>
        <v>Own Brand</v>
      </c>
      <c r="I938" t="str">
        <f>VLOOKUP(transactions_table8[[#This Row],[market_code]],markets_table!$A:$B,2,0)</f>
        <v>Mumbai</v>
      </c>
      <c r="J938" t="str">
        <f>VLOOKUP(transactions_table8[[#This Row],[market_code]],markets_table!$A:$C,3,0)</f>
        <v>Central</v>
      </c>
      <c r="K938" t="str">
        <f>VLOOKUP(transactions_table8[[#This Row],[customer_code]],customer_table!$A:$B,2,0)</f>
        <v>Path</v>
      </c>
      <c r="L938" t="str">
        <f>VLOOKUP(transactions_table8[[#This Row],[customer_code]],customer_table!$A:$C,3,0)</f>
        <v>E-Commerce</v>
      </c>
      <c r="M938">
        <f>IF(TRIM(CLEAN(transactions_table8[[#This Row],[currency]]))="USD",transactions_table8[[#This Row],[sales_amount]]*83,transactions_table8[[#This Row],[sales_amount]])</f>
        <v>24491</v>
      </c>
    </row>
    <row r="939" spans="1:13" x14ac:dyDescent="0.3">
      <c r="A939" t="s">
        <v>192</v>
      </c>
      <c r="B939" t="s">
        <v>47</v>
      </c>
      <c r="C939" t="s">
        <v>138</v>
      </c>
      <c r="D939" s="1">
        <v>43454</v>
      </c>
      <c r="E939">
        <v>3</v>
      </c>
      <c r="F939">
        <v>6125</v>
      </c>
      <c r="G939" t="s">
        <v>462</v>
      </c>
      <c r="H939" t="str">
        <f>VLOOKUP(A939, product_table!$A:$C, 3, 0)</f>
        <v>Own Brand</v>
      </c>
      <c r="I939" t="str">
        <f>VLOOKUP(transactions_table8[[#This Row],[market_code]],markets_table!$A:$B,2,0)</f>
        <v>Mumbai</v>
      </c>
      <c r="J939" t="str">
        <f>VLOOKUP(transactions_table8[[#This Row],[market_code]],markets_table!$A:$C,3,0)</f>
        <v>Central</v>
      </c>
      <c r="K939" t="str">
        <f>VLOOKUP(transactions_table8[[#This Row],[customer_code]],customer_table!$A:$B,2,0)</f>
        <v>Electricalslytical</v>
      </c>
      <c r="L939" t="str">
        <f>VLOOKUP(transactions_table8[[#This Row],[customer_code]],customer_table!$A:$C,3,0)</f>
        <v>E-Commerce</v>
      </c>
      <c r="M939">
        <f>IF(TRIM(CLEAN(transactions_table8[[#This Row],[currency]]))="USD",transactions_table8[[#This Row],[sales_amount]]*83,transactions_table8[[#This Row],[sales_amount]])</f>
        <v>6125</v>
      </c>
    </row>
    <row r="940" spans="1:13" x14ac:dyDescent="0.3">
      <c r="A940" t="s">
        <v>192</v>
      </c>
      <c r="B940" t="s">
        <v>53</v>
      </c>
      <c r="C940" t="s">
        <v>138</v>
      </c>
      <c r="D940" s="1">
        <v>43454</v>
      </c>
      <c r="E940">
        <v>72</v>
      </c>
      <c r="F940">
        <v>167935</v>
      </c>
      <c r="G940" t="s">
        <v>462</v>
      </c>
      <c r="H940" t="str">
        <f>VLOOKUP(A940, product_table!$A:$C, 3, 0)</f>
        <v>Own Brand</v>
      </c>
      <c r="I940" t="str">
        <f>VLOOKUP(transactions_table8[[#This Row],[market_code]],markets_table!$A:$B,2,0)</f>
        <v>Mumbai</v>
      </c>
      <c r="J940" t="str">
        <f>VLOOKUP(transactions_table8[[#This Row],[market_code]],markets_table!$A:$C,3,0)</f>
        <v>Central</v>
      </c>
      <c r="K940" t="str">
        <f>VLOOKUP(transactions_table8[[#This Row],[customer_code]],customer_table!$A:$B,2,0)</f>
        <v>Path</v>
      </c>
      <c r="L940" t="str">
        <f>VLOOKUP(transactions_table8[[#This Row],[customer_code]],customer_table!$A:$C,3,0)</f>
        <v>E-Commerce</v>
      </c>
      <c r="M940">
        <f>IF(TRIM(CLEAN(transactions_table8[[#This Row],[currency]]))="USD",transactions_table8[[#This Row],[sales_amount]]*83,transactions_table8[[#This Row],[sales_amount]])</f>
        <v>167935</v>
      </c>
    </row>
    <row r="941" spans="1:13" x14ac:dyDescent="0.3">
      <c r="A941" t="s">
        <v>192</v>
      </c>
      <c r="B941" t="s">
        <v>34</v>
      </c>
      <c r="C941" t="s">
        <v>138</v>
      </c>
      <c r="D941" s="1">
        <v>43455</v>
      </c>
      <c r="E941">
        <v>108</v>
      </c>
      <c r="F941">
        <v>226963</v>
      </c>
      <c r="G941" t="s">
        <v>462</v>
      </c>
      <c r="H941" t="str">
        <f>VLOOKUP(A941, product_table!$A:$C, 3, 0)</f>
        <v>Own Brand</v>
      </c>
      <c r="I941" t="str">
        <f>VLOOKUP(transactions_table8[[#This Row],[market_code]],markets_table!$A:$B,2,0)</f>
        <v>Mumbai</v>
      </c>
      <c r="J941" t="str">
        <f>VLOOKUP(transactions_table8[[#This Row],[market_code]],markets_table!$A:$C,3,0)</f>
        <v>Central</v>
      </c>
      <c r="K941" t="str">
        <f>VLOOKUP(transactions_table8[[#This Row],[customer_code]],customer_table!$A:$B,2,0)</f>
        <v>Logic Stores</v>
      </c>
      <c r="L941" t="str">
        <f>VLOOKUP(transactions_table8[[#This Row],[customer_code]],customer_table!$A:$C,3,0)</f>
        <v>Brick &amp; Mortar</v>
      </c>
      <c r="M941">
        <f>IF(TRIM(CLEAN(transactions_table8[[#This Row],[currency]]))="USD",transactions_table8[[#This Row],[sales_amount]]*83,transactions_table8[[#This Row],[sales_amount]])</f>
        <v>226963</v>
      </c>
    </row>
    <row r="942" spans="1:13" x14ac:dyDescent="0.3">
      <c r="A942" t="s">
        <v>192</v>
      </c>
      <c r="B942" t="s">
        <v>47</v>
      </c>
      <c r="C942" t="s">
        <v>138</v>
      </c>
      <c r="D942" s="1">
        <v>43455</v>
      </c>
      <c r="E942">
        <v>4</v>
      </c>
      <c r="F942">
        <v>9190</v>
      </c>
      <c r="G942" t="s">
        <v>462</v>
      </c>
      <c r="H942" t="str">
        <f>VLOOKUP(A942, product_table!$A:$C, 3, 0)</f>
        <v>Own Brand</v>
      </c>
      <c r="I942" t="str">
        <f>VLOOKUP(transactions_table8[[#This Row],[market_code]],markets_table!$A:$B,2,0)</f>
        <v>Mumbai</v>
      </c>
      <c r="J942" t="str">
        <f>VLOOKUP(transactions_table8[[#This Row],[market_code]],markets_table!$A:$C,3,0)</f>
        <v>Central</v>
      </c>
      <c r="K942" t="str">
        <f>VLOOKUP(transactions_table8[[#This Row],[customer_code]],customer_table!$A:$B,2,0)</f>
        <v>Electricalslytical</v>
      </c>
      <c r="L942" t="str">
        <f>VLOOKUP(transactions_table8[[#This Row],[customer_code]],customer_table!$A:$C,3,0)</f>
        <v>E-Commerce</v>
      </c>
      <c r="M942">
        <f>IF(TRIM(CLEAN(transactions_table8[[#This Row],[currency]]))="USD",transactions_table8[[#This Row],[sales_amount]]*83,transactions_table8[[#This Row],[sales_amount]])</f>
        <v>9190</v>
      </c>
    </row>
    <row r="943" spans="1:13" x14ac:dyDescent="0.3">
      <c r="A943" t="s">
        <v>192</v>
      </c>
      <c r="B943" t="s">
        <v>47</v>
      </c>
      <c r="C943" t="s">
        <v>138</v>
      </c>
      <c r="D943" s="1">
        <v>43455</v>
      </c>
      <c r="E943">
        <v>67</v>
      </c>
      <c r="F943">
        <v>141343</v>
      </c>
      <c r="G943" t="s">
        <v>462</v>
      </c>
      <c r="H943" t="str">
        <f>VLOOKUP(A943, product_table!$A:$C, 3, 0)</f>
        <v>Own Brand</v>
      </c>
      <c r="I943" t="str">
        <f>VLOOKUP(transactions_table8[[#This Row],[market_code]],markets_table!$A:$B,2,0)</f>
        <v>Mumbai</v>
      </c>
      <c r="J943" t="str">
        <f>VLOOKUP(transactions_table8[[#This Row],[market_code]],markets_table!$A:$C,3,0)</f>
        <v>Central</v>
      </c>
      <c r="K943" t="str">
        <f>VLOOKUP(transactions_table8[[#This Row],[customer_code]],customer_table!$A:$B,2,0)</f>
        <v>Electricalslytical</v>
      </c>
      <c r="L943" t="str">
        <f>VLOOKUP(transactions_table8[[#This Row],[customer_code]],customer_table!$A:$C,3,0)</f>
        <v>E-Commerce</v>
      </c>
      <c r="M943">
        <f>IF(TRIM(CLEAN(transactions_table8[[#This Row],[currency]]))="USD",transactions_table8[[#This Row],[sales_amount]]*83,transactions_table8[[#This Row],[sales_amount]])</f>
        <v>141343</v>
      </c>
    </row>
    <row r="944" spans="1:13" x14ac:dyDescent="0.3">
      <c r="A944" t="s">
        <v>192</v>
      </c>
      <c r="B944" t="s">
        <v>47</v>
      </c>
      <c r="C944" t="s">
        <v>138</v>
      </c>
      <c r="D944" s="1">
        <v>43462</v>
      </c>
      <c r="E944">
        <v>5</v>
      </c>
      <c r="F944">
        <v>12250</v>
      </c>
      <c r="G944" t="s">
        <v>462</v>
      </c>
      <c r="H944" t="str">
        <f>VLOOKUP(A944, product_table!$A:$C, 3, 0)</f>
        <v>Own Brand</v>
      </c>
      <c r="I944" t="str">
        <f>VLOOKUP(transactions_table8[[#This Row],[market_code]],markets_table!$A:$B,2,0)</f>
        <v>Mumbai</v>
      </c>
      <c r="J944" t="str">
        <f>VLOOKUP(transactions_table8[[#This Row],[market_code]],markets_table!$A:$C,3,0)</f>
        <v>Central</v>
      </c>
      <c r="K944" t="str">
        <f>VLOOKUP(transactions_table8[[#This Row],[customer_code]],customer_table!$A:$B,2,0)</f>
        <v>Electricalslytical</v>
      </c>
      <c r="L944" t="str">
        <f>VLOOKUP(transactions_table8[[#This Row],[customer_code]],customer_table!$A:$C,3,0)</f>
        <v>E-Commerce</v>
      </c>
      <c r="M944">
        <f>IF(TRIM(CLEAN(transactions_table8[[#This Row],[currency]]))="USD",transactions_table8[[#This Row],[sales_amount]]*83,transactions_table8[[#This Row],[sales_amount]])</f>
        <v>12250</v>
      </c>
    </row>
    <row r="945" spans="1:13" x14ac:dyDescent="0.3">
      <c r="A945" t="s">
        <v>192</v>
      </c>
      <c r="B945" t="s">
        <v>53</v>
      </c>
      <c r="C945" t="s">
        <v>138</v>
      </c>
      <c r="D945" s="1">
        <v>43469</v>
      </c>
      <c r="E945">
        <v>27</v>
      </c>
      <c r="F945">
        <v>62977</v>
      </c>
      <c r="G945" t="s">
        <v>462</v>
      </c>
      <c r="H945" t="str">
        <f>VLOOKUP(A945, product_table!$A:$C, 3, 0)</f>
        <v>Own Brand</v>
      </c>
      <c r="I945" t="str">
        <f>VLOOKUP(transactions_table8[[#This Row],[market_code]],markets_table!$A:$B,2,0)</f>
        <v>Mumbai</v>
      </c>
      <c r="J945" t="str">
        <f>VLOOKUP(transactions_table8[[#This Row],[market_code]],markets_table!$A:$C,3,0)</f>
        <v>Central</v>
      </c>
      <c r="K945" t="str">
        <f>VLOOKUP(transactions_table8[[#This Row],[customer_code]],customer_table!$A:$B,2,0)</f>
        <v>Path</v>
      </c>
      <c r="L945" t="str">
        <f>VLOOKUP(transactions_table8[[#This Row],[customer_code]],customer_table!$A:$C,3,0)</f>
        <v>E-Commerce</v>
      </c>
      <c r="M945">
        <f>IF(TRIM(CLEAN(transactions_table8[[#This Row],[currency]]))="USD",transactions_table8[[#This Row],[sales_amount]]*83,transactions_table8[[#This Row],[sales_amount]])</f>
        <v>62977</v>
      </c>
    </row>
    <row r="946" spans="1:13" x14ac:dyDescent="0.3">
      <c r="A946" t="s">
        <v>192</v>
      </c>
      <c r="B946" t="s">
        <v>47</v>
      </c>
      <c r="C946" t="s">
        <v>138</v>
      </c>
      <c r="D946" s="1">
        <v>43472</v>
      </c>
      <c r="E946">
        <v>1</v>
      </c>
      <c r="F946">
        <v>3065</v>
      </c>
      <c r="G946" t="s">
        <v>462</v>
      </c>
      <c r="H946" t="str">
        <f>VLOOKUP(A946, product_table!$A:$C, 3, 0)</f>
        <v>Own Brand</v>
      </c>
      <c r="I946" t="str">
        <f>VLOOKUP(transactions_table8[[#This Row],[market_code]],markets_table!$A:$B,2,0)</f>
        <v>Mumbai</v>
      </c>
      <c r="J946" t="str">
        <f>VLOOKUP(transactions_table8[[#This Row],[market_code]],markets_table!$A:$C,3,0)</f>
        <v>Central</v>
      </c>
      <c r="K946" t="str">
        <f>VLOOKUP(transactions_table8[[#This Row],[customer_code]],customer_table!$A:$B,2,0)</f>
        <v>Electricalslytical</v>
      </c>
      <c r="L946" t="str">
        <f>VLOOKUP(transactions_table8[[#This Row],[customer_code]],customer_table!$A:$C,3,0)</f>
        <v>E-Commerce</v>
      </c>
      <c r="M946">
        <f>IF(TRIM(CLEAN(transactions_table8[[#This Row],[currency]]))="USD",transactions_table8[[#This Row],[sales_amount]]*83,transactions_table8[[#This Row],[sales_amount]])</f>
        <v>3065</v>
      </c>
    </row>
    <row r="947" spans="1:13" x14ac:dyDescent="0.3">
      <c r="A947" t="s">
        <v>192</v>
      </c>
      <c r="B947" t="s">
        <v>51</v>
      </c>
      <c r="C947" t="s">
        <v>138</v>
      </c>
      <c r="D947" s="1">
        <v>43472</v>
      </c>
      <c r="E947">
        <v>1</v>
      </c>
      <c r="F947">
        <v>338</v>
      </c>
      <c r="G947" t="s">
        <v>462</v>
      </c>
      <c r="H947" t="str">
        <f>VLOOKUP(A947, product_table!$A:$C, 3, 0)</f>
        <v>Own Brand</v>
      </c>
      <c r="I947" t="str">
        <f>VLOOKUP(transactions_table8[[#This Row],[market_code]],markets_table!$A:$B,2,0)</f>
        <v>Mumbai</v>
      </c>
      <c r="J947" t="str">
        <f>VLOOKUP(transactions_table8[[#This Row],[market_code]],markets_table!$A:$C,3,0)</f>
        <v>Central</v>
      </c>
      <c r="K947" t="str">
        <f>VLOOKUP(transactions_table8[[#This Row],[customer_code]],customer_table!$A:$B,2,0)</f>
        <v>Power</v>
      </c>
      <c r="L947" t="str">
        <f>VLOOKUP(transactions_table8[[#This Row],[customer_code]],customer_table!$A:$C,3,0)</f>
        <v>E-Commerce</v>
      </c>
      <c r="M947">
        <f>IF(TRIM(CLEAN(transactions_table8[[#This Row],[currency]]))="USD",transactions_table8[[#This Row],[sales_amount]]*83,transactions_table8[[#This Row],[sales_amount]])</f>
        <v>338</v>
      </c>
    </row>
    <row r="948" spans="1:13" x14ac:dyDescent="0.3">
      <c r="A948" t="s">
        <v>192</v>
      </c>
      <c r="B948" t="s">
        <v>47</v>
      </c>
      <c r="C948" t="s">
        <v>138</v>
      </c>
      <c r="D948" s="1">
        <v>43472</v>
      </c>
      <c r="E948">
        <v>27</v>
      </c>
      <c r="F948">
        <v>56532</v>
      </c>
      <c r="G948" t="s">
        <v>462</v>
      </c>
      <c r="H948" t="str">
        <f>VLOOKUP(A948, product_table!$A:$C, 3, 0)</f>
        <v>Own Brand</v>
      </c>
      <c r="I948" t="str">
        <f>VLOOKUP(transactions_table8[[#This Row],[market_code]],markets_table!$A:$B,2,0)</f>
        <v>Mumbai</v>
      </c>
      <c r="J948" t="str">
        <f>VLOOKUP(transactions_table8[[#This Row],[market_code]],markets_table!$A:$C,3,0)</f>
        <v>Central</v>
      </c>
      <c r="K948" t="str">
        <f>VLOOKUP(transactions_table8[[#This Row],[customer_code]],customer_table!$A:$B,2,0)</f>
        <v>Electricalslytical</v>
      </c>
      <c r="L948" t="str">
        <f>VLOOKUP(transactions_table8[[#This Row],[customer_code]],customer_table!$A:$C,3,0)</f>
        <v>E-Commerce</v>
      </c>
      <c r="M948">
        <f>IF(TRIM(CLEAN(transactions_table8[[#This Row],[currency]]))="USD",transactions_table8[[#This Row],[sales_amount]]*83,transactions_table8[[#This Row],[sales_amount]])</f>
        <v>56532</v>
      </c>
    </row>
    <row r="949" spans="1:13" x14ac:dyDescent="0.3">
      <c r="A949" t="s">
        <v>192</v>
      </c>
      <c r="B949" t="s">
        <v>34</v>
      </c>
      <c r="C949" t="s">
        <v>138</v>
      </c>
      <c r="D949" s="1">
        <v>43473</v>
      </c>
      <c r="E949">
        <v>8</v>
      </c>
      <c r="F949">
        <v>17458</v>
      </c>
      <c r="G949" t="s">
        <v>462</v>
      </c>
      <c r="H949" t="str">
        <f>VLOOKUP(A949, product_table!$A:$C, 3, 0)</f>
        <v>Own Brand</v>
      </c>
      <c r="I949" t="str">
        <f>VLOOKUP(transactions_table8[[#This Row],[market_code]],markets_table!$A:$B,2,0)</f>
        <v>Mumbai</v>
      </c>
      <c r="J949" t="str">
        <f>VLOOKUP(transactions_table8[[#This Row],[market_code]],markets_table!$A:$C,3,0)</f>
        <v>Central</v>
      </c>
      <c r="K949" t="str">
        <f>VLOOKUP(transactions_table8[[#This Row],[customer_code]],customer_table!$A:$B,2,0)</f>
        <v>Logic Stores</v>
      </c>
      <c r="L949" t="str">
        <f>VLOOKUP(transactions_table8[[#This Row],[customer_code]],customer_table!$A:$C,3,0)</f>
        <v>Brick &amp; Mortar</v>
      </c>
      <c r="M949">
        <f>IF(TRIM(CLEAN(transactions_table8[[#This Row],[currency]]))="USD",transactions_table8[[#This Row],[sales_amount]]*83,transactions_table8[[#This Row],[sales_amount]])</f>
        <v>17458</v>
      </c>
    </row>
    <row r="950" spans="1:13" x14ac:dyDescent="0.3">
      <c r="A950" t="s">
        <v>192</v>
      </c>
      <c r="B950" t="s">
        <v>47</v>
      </c>
      <c r="C950" t="s">
        <v>138</v>
      </c>
      <c r="D950" s="1">
        <v>43473</v>
      </c>
      <c r="E950">
        <v>12</v>
      </c>
      <c r="F950">
        <v>27565</v>
      </c>
      <c r="G950" t="s">
        <v>462</v>
      </c>
      <c r="H950" t="str">
        <f>VLOOKUP(A950, product_table!$A:$C, 3, 0)</f>
        <v>Own Brand</v>
      </c>
      <c r="I950" t="str">
        <f>VLOOKUP(transactions_table8[[#This Row],[market_code]],markets_table!$A:$B,2,0)</f>
        <v>Mumbai</v>
      </c>
      <c r="J950" t="str">
        <f>VLOOKUP(transactions_table8[[#This Row],[market_code]],markets_table!$A:$C,3,0)</f>
        <v>Central</v>
      </c>
      <c r="K950" t="str">
        <f>VLOOKUP(transactions_table8[[#This Row],[customer_code]],customer_table!$A:$B,2,0)</f>
        <v>Electricalslytical</v>
      </c>
      <c r="L950" t="str">
        <f>VLOOKUP(transactions_table8[[#This Row],[customer_code]],customer_table!$A:$C,3,0)</f>
        <v>E-Commerce</v>
      </c>
      <c r="M950">
        <f>IF(TRIM(CLEAN(transactions_table8[[#This Row],[currency]]))="USD",transactions_table8[[#This Row],[sales_amount]]*83,transactions_table8[[#This Row],[sales_amount]])</f>
        <v>27565</v>
      </c>
    </row>
    <row r="951" spans="1:13" x14ac:dyDescent="0.3">
      <c r="A951" t="s">
        <v>192</v>
      </c>
      <c r="B951" t="s">
        <v>51</v>
      </c>
      <c r="C951" t="s">
        <v>138</v>
      </c>
      <c r="D951" s="1">
        <v>43473</v>
      </c>
      <c r="E951">
        <v>1</v>
      </c>
      <c r="F951">
        <v>338</v>
      </c>
      <c r="G951" t="s">
        <v>462</v>
      </c>
      <c r="H951" t="str">
        <f>VLOOKUP(A951, product_table!$A:$C, 3, 0)</f>
        <v>Own Brand</v>
      </c>
      <c r="I951" t="str">
        <f>VLOOKUP(transactions_table8[[#This Row],[market_code]],markets_table!$A:$B,2,0)</f>
        <v>Mumbai</v>
      </c>
      <c r="J951" t="str">
        <f>VLOOKUP(transactions_table8[[#This Row],[market_code]],markets_table!$A:$C,3,0)</f>
        <v>Central</v>
      </c>
      <c r="K951" t="str">
        <f>VLOOKUP(transactions_table8[[#This Row],[customer_code]],customer_table!$A:$B,2,0)</f>
        <v>Power</v>
      </c>
      <c r="L951" t="str">
        <f>VLOOKUP(transactions_table8[[#This Row],[customer_code]],customer_table!$A:$C,3,0)</f>
        <v>E-Commerce</v>
      </c>
      <c r="M951">
        <f>IF(TRIM(CLEAN(transactions_table8[[#This Row],[currency]]))="USD",transactions_table8[[#This Row],[sales_amount]]*83,transactions_table8[[#This Row],[sales_amount]])</f>
        <v>338</v>
      </c>
    </row>
    <row r="952" spans="1:13" x14ac:dyDescent="0.3">
      <c r="A952" t="s">
        <v>192</v>
      </c>
      <c r="B952" t="s">
        <v>47</v>
      </c>
      <c r="C952" t="s">
        <v>138</v>
      </c>
      <c r="D952" s="1">
        <v>43475</v>
      </c>
      <c r="E952">
        <v>1</v>
      </c>
      <c r="F952">
        <v>3065</v>
      </c>
      <c r="G952" t="s">
        <v>462</v>
      </c>
      <c r="H952" t="str">
        <f>VLOOKUP(A952, product_table!$A:$C, 3, 0)</f>
        <v>Own Brand</v>
      </c>
      <c r="I952" t="str">
        <f>VLOOKUP(transactions_table8[[#This Row],[market_code]],markets_table!$A:$B,2,0)</f>
        <v>Mumbai</v>
      </c>
      <c r="J952" t="str">
        <f>VLOOKUP(transactions_table8[[#This Row],[market_code]],markets_table!$A:$C,3,0)</f>
        <v>Central</v>
      </c>
      <c r="K952" t="str">
        <f>VLOOKUP(transactions_table8[[#This Row],[customer_code]],customer_table!$A:$B,2,0)</f>
        <v>Electricalslytical</v>
      </c>
      <c r="L952" t="str">
        <f>VLOOKUP(transactions_table8[[#This Row],[customer_code]],customer_table!$A:$C,3,0)</f>
        <v>E-Commerce</v>
      </c>
      <c r="M952">
        <f>IF(TRIM(CLEAN(transactions_table8[[#This Row],[currency]]))="USD",transactions_table8[[#This Row],[sales_amount]]*83,transactions_table8[[#This Row],[sales_amount]])</f>
        <v>3065</v>
      </c>
    </row>
    <row r="953" spans="1:13" x14ac:dyDescent="0.3">
      <c r="A953" t="s">
        <v>192</v>
      </c>
      <c r="B953" t="s">
        <v>34</v>
      </c>
      <c r="C953" t="s">
        <v>138</v>
      </c>
      <c r="D953" s="1">
        <v>43476</v>
      </c>
      <c r="E953">
        <v>18</v>
      </c>
      <c r="F953">
        <v>38065</v>
      </c>
      <c r="G953" t="s">
        <v>462</v>
      </c>
      <c r="H953" t="str">
        <f>VLOOKUP(A953, product_table!$A:$C, 3, 0)</f>
        <v>Own Brand</v>
      </c>
      <c r="I953" t="str">
        <f>VLOOKUP(transactions_table8[[#This Row],[market_code]],markets_table!$A:$B,2,0)</f>
        <v>Mumbai</v>
      </c>
      <c r="J953" t="str">
        <f>VLOOKUP(transactions_table8[[#This Row],[market_code]],markets_table!$A:$C,3,0)</f>
        <v>Central</v>
      </c>
      <c r="K953" t="str">
        <f>VLOOKUP(transactions_table8[[#This Row],[customer_code]],customer_table!$A:$B,2,0)</f>
        <v>Logic Stores</v>
      </c>
      <c r="L953" t="str">
        <f>VLOOKUP(transactions_table8[[#This Row],[customer_code]],customer_table!$A:$C,3,0)</f>
        <v>Brick &amp; Mortar</v>
      </c>
      <c r="M953">
        <f>IF(TRIM(CLEAN(transactions_table8[[#This Row],[currency]]))="USD",transactions_table8[[#This Row],[sales_amount]]*83,transactions_table8[[#This Row],[sales_amount]])</f>
        <v>38065</v>
      </c>
    </row>
    <row r="954" spans="1:13" x14ac:dyDescent="0.3">
      <c r="A954" t="s">
        <v>192</v>
      </c>
      <c r="B954" t="s">
        <v>49</v>
      </c>
      <c r="C954" t="s">
        <v>138</v>
      </c>
      <c r="D954" s="1">
        <v>43476</v>
      </c>
      <c r="E954">
        <v>1</v>
      </c>
      <c r="F954">
        <v>722</v>
      </c>
      <c r="G954" t="s">
        <v>462</v>
      </c>
      <c r="H954" t="str">
        <f>VLOOKUP(A954, product_table!$A:$C, 3, 0)</f>
        <v>Own Brand</v>
      </c>
      <c r="I954" t="str">
        <f>VLOOKUP(transactions_table8[[#This Row],[market_code]],markets_table!$A:$B,2,0)</f>
        <v>Mumbai</v>
      </c>
      <c r="J954" t="str">
        <f>VLOOKUP(transactions_table8[[#This Row],[market_code]],markets_table!$A:$C,3,0)</f>
        <v>Central</v>
      </c>
      <c r="K954" t="str">
        <f>VLOOKUP(transactions_table8[[#This Row],[customer_code]],customer_table!$A:$B,2,0)</f>
        <v>Sound</v>
      </c>
      <c r="L954" t="str">
        <f>VLOOKUP(transactions_table8[[#This Row],[customer_code]],customer_table!$A:$C,3,0)</f>
        <v>E-Commerce</v>
      </c>
      <c r="M954">
        <f>IF(TRIM(CLEAN(transactions_table8[[#This Row],[currency]]))="USD",transactions_table8[[#This Row],[sales_amount]]*83,transactions_table8[[#This Row],[sales_amount]])</f>
        <v>722</v>
      </c>
    </row>
    <row r="955" spans="1:13" x14ac:dyDescent="0.3">
      <c r="A955" t="s">
        <v>192</v>
      </c>
      <c r="B955" t="s">
        <v>47</v>
      </c>
      <c r="C955" t="s">
        <v>138</v>
      </c>
      <c r="D955" s="1">
        <v>43479</v>
      </c>
      <c r="E955">
        <v>1</v>
      </c>
      <c r="F955">
        <v>3065</v>
      </c>
      <c r="G955" t="s">
        <v>462</v>
      </c>
      <c r="H955" t="str">
        <f>VLOOKUP(A955, product_table!$A:$C, 3, 0)</f>
        <v>Own Brand</v>
      </c>
      <c r="I955" t="str">
        <f>VLOOKUP(transactions_table8[[#This Row],[market_code]],markets_table!$A:$B,2,0)</f>
        <v>Mumbai</v>
      </c>
      <c r="J955" t="str">
        <f>VLOOKUP(transactions_table8[[#This Row],[market_code]],markets_table!$A:$C,3,0)</f>
        <v>Central</v>
      </c>
      <c r="K955" t="str">
        <f>VLOOKUP(transactions_table8[[#This Row],[customer_code]],customer_table!$A:$B,2,0)</f>
        <v>Electricalslytical</v>
      </c>
      <c r="L955" t="str">
        <f>VLOOKUP(transactions_table8[[#This Row],[customer_code]],customer_table!$A:$C,3,0)</f>
        <v>E-Commerce</v>
      </c>
      <c r="M955">
        <f>IF(TRIM(CLEAN(transactions_table8[[#This Row],[currency]]))="USD",transactions_table8[[#This Row],[sales_amount]]*83,transactions_table8[[#This Row],[sales_amount]])</f>
        <v>3065</v>
      </c>
    </row>
    <row r="956" spans="1:13" x14ac:dyDescent="0.3">
      <c r="A956" t="s">
        <v>192</v>
      </c>
      <c r="B956" t="s">
        <v>51</v>
      </c>
      <c r="C956" t="s">
        <v>138</v>
      </c>
      <c r="D956" s="1">
        <v>43479</v>
      </c>
      <c r="E956">
        <v>1</v>
      </c>
      <c r="F956">
        <v>338</v>
      </c>
      <c r="G956" t="s">
        <v>462</v>
      </c>
      <c r="H956" t="str">
        <f>VLOOKUP(A956, product_table!$A:$C, 3, 0)</f>
        <v>Own Brand</v>
      </c>
      <c r="I956" t="str">
        <f>VLOOKUP(transactions_table8[[#This Row],[market_code]],markets_table!$A:$B,2,0)</f>
        <v>Mumbai</v>
      </c>
      <c r="J956" t="str">
        <f>VLOOKUP(transactions_table8[[#This Row],[market_code]],markets_table!$A:$C,3,0)</f>
        <v>Central</v>
      </c>
      <c r="K956" t="str">
        <f>VLOOKUP(transactions_table8[[#This Row],[customer_code]],customer_table!$A:$B,2,0)</f>
        <v>Power</v>
      </c>
      <c r="L956" t="str">
        <f>VLOOKUP(transactions_table8[[#This Row],[customer_code]],customer_table!$A:$C,3,0)</f>
        <v>E-Commerce</v>
      </c>
      <c r="M956">
        <f>IF(TRIM(CLEAN(transactions_table8[[#This Row],[currency]]))="USD",transactions_table8[[#This Row],[sales_amount]]*83,transactions_table8[[#This Row],[sales_amount]])</f>
        <v>338</v>
      </c>
    </row>
    <row r="957" spans="1:13" x14ac:dyDescent="0.3">
      <c r="A957" t="s">
        <v>192</v>
      </c>
      <c r="B957" t="s">
        <v>47</v>
      </c>
      <c r="C957" t="s">
        <v>138</v>
      </c>
      <c r="D957" s="1">
        <v>43480</v>
      </c>
      <c r="E957">
        <v>13</v>
      </c>
      <c r="F957">
        <v>28269</v>
      </c>
      <c r="G957" t="s">
        <v>462</v>
      </c>
      <c r="H957" t="str">
        <f>VLOOKUP(A957, product_table!$A:$C, 3, 0)</f>
        <v>Own Brand</v>
      </c>
      <c r="I957" t="str">
        <f>VLOOKUP(transactions_table8[[#This Row],[market_code]],markets_table!$A:$B,2,0)</f>
        <v>Mumbai</v>
      </c>
      <c r="J957" t="str">
        <f>VLOOKUP(transactions_table8[[#This Row],[market_code]],markets_table!$A:$C,3,0)</f>
        <v>Central</v>
      </c>
      <c r="K957" t="str">
        <f>VLOOKUP(transactions_table8[[#This Row],[customer_code]],customer_table!$A:$B,2,0)</f>
        <v>Electricalslytical</v>
      </c>
      <c r="L957" t="str">
        <f>VLOOKUP(transactions_table8[[#This Row],[customer_code]],customer_table!$A:$C,3,0)</f>
        <v>E-Commerce</v>
      </c>
      <c r="M957">
        <f>IF(TRIM(CLEAN(transactions_table8[[#This Row],[currency]]))="USD",transactions_table8[[#This Row],[sales_amount]]*83,transactions_table8[[#This Row],[sales_amount]])</f>
        <v>28269</v>
      </c>
    </row>
    <row r="958" spans="1:13" x14ac:dyDescent="0.3">
      <c r="A958" t="s">
        <v>192</v>
      </c>
      <c r="B958" t="s">
        <v>47</v>
      </c>
      <c r="C958" t="s">
        <v>138</v>
      </c>
      <c r="D958" s="1">
        <v>43481</v>
      </c>
      <c r="E958">
        <v>12</v>
      </c>
      <c r="F958">
        <v>27565</v>
      </c>
      <c r="G958" t="s">
        <v>462</v>
      </c>
      <c r="H958" t="str">
        <f>VLOOKUP(A958, product_table!$A:$C, 3, 0)</f>
        <v>Own Brand</v>
      </c>
      <c r="I958" t="str">
        <f>VLOOKUP(transactions_table8[[#This Row],[market_code]],markets_table!$A:$B,2,0)</f>
        <v>Mumbai</v>
      </c>
      <c r="J958" t="str">
        <f>VLOOKUP(transactions_table8[[#This Row],[market_code]],markets_table!$A:$C,3,0)</f>
        <v>Central</v>
      </c>
      <c r="K958" t="str">
        <f>VLOOKUP(transactions_table8[[#This Row],[customer_code]],customer_table!$A:$B,2,0)</f>
        <v>Electricalslytical</v>
      </c>
      <c r="L958" t="str">
        <f>VLOOKUP(transactions_table8[[#This Row],[customer_code]],customer_table!$A:$C,3,0)</f>
        <v>E-Commerce</v>
      </c>
      <c r="M958">
        <f>IF(TRIM(CLEAN(transactions_table8[[#This Row],[currency]]))="USD",transactions_table8[[#This Row],[sales_amount]]*83,transactions_table8[[#This Row],[sales_amount]])</f>
        <v>27565</v>
      </c>
    </row>
    <row r="959" spans="1:13" x14ac:dyDescent="0.3">
      <c r="A959" t="s">
        <v>192</v>
      </c>
      <c r="B959" t="s">
        <v>47</v>
      </c>
      <c r="C959" t="s">
        <v>138</v>
      </c>
      <c r="D959" s="1">
        <v>43482</v>
      </c>
      <c r="E959">
        <v>13</v>
      </c>
      <c r="F959">
        <v>28269</v>
      </c>
      <c r="G959" t="s">
        <v>462</v>
      </c>
      <c r="H959" t="str">
        <f>VLOOKUP(A959, product_table!$A:$C, 3, 0)</f>
        <v>Own Brand</v>
      </c>
      <c r="I959" t="str">
        <f>VLOOKUP(transactions_table8[[#This Row],[market_code]],markets_table!$A:$B,2,0)</f>
        <v>Mumbai</v>
      </c>
      <c r="J959" t="str">
        <f>VLOOKUP(transactions_table8[[#This Row],[market_code]],markets_table!$A:$C,3,0)</f>
        <v>Central</v>
      </c>
      <c r="K959" t="str">
        <f>VLOOKUP(transactions_table8[[#This Row],[customer_code]],customer_table!$A:$B,2,0)</f>
        <v>Electricalslytical</v>
      </c>
      <c r="L959" t="str">
        <f>VLOOKUP(transactions_table8[[#This Row],[customer_code]],customer_table!$A:$C,3,0)</f>
        <v>E-Commerce</v>
      </c>
      <c r="M959">
        <f>IF(TRIM(CLEAN(transactions_table8[[#This Row],[currency]]))="USD",transactions_table8[[#This Row],[sales_amount]]*83,transactions_table8[[#This Row],[sales_amount]])</f>
        <v>28269</v>
      </c>
    </row>
    <row r="960" spans="1:13" x14ac:dyDescent="0.3">
      <c r="A960" t="s">
        <v>192</v>
      </c>
      <c r="B960" t="s">
        <v>34</v>
      </c>
      <c r="C960" t="s">
        <v>138</v>
      </c>
      <c r="D960" s="1">
        <v>43483</v>
      </c>
      <c r="E960">
        <v>20</v>
      </c>
      <c r="F960">
        <v>41898</v>
      </c>
      <c r="G960" t="s">
        <v>462</v>
      </c>
      <c r="H960" t="str">
        <f>VLOOKUP(A960, product_table!$A:$C, 3, 0)</f>
        <v>Own Brand</v>
      </c>
      <c r="I960" t="str">
        <f>VLOOKUP(transactions_table8[[#This Row],[market_code]],markets_table!$A:$B,2,0)</f>
        <v>Mumbai</v>
      </c>
      <c r="J960" t="str">
        <f>VLOOKUP(transactions_table8[[#This Row],[market_code]],markets_table!$A:$C,3,0)</f>
        <v>Central</v>
      </c>
      <c r="K960" t="str">
        <f>VLOOKUP(transactions_table8[[#This Row],[customer_code]],customer_table!$A:$B,2,0)</f>
        <v>Logic Stores</v>
      </c>
      <c r="L960" t="str">
        <f>VLOOKUP(transactions_table8[[#This Row],[customer_code]],customer_table!$A:$C,3,0)</f>
        <v>Brick &amp; Mortar</v>
      </c>
      <c r="M960">
        <f>IF(TRIM(CLEAN(transactions_table8[[#This Row],[currency]]))="USD",transactions_table8[[#This Row],[sales_amount]]*83,transactions_table8[[#This Row],[sales_amount]])</f>
        <v>41898</v>
      </c>
    </row>
    <row r="961" spans="1:13" x14ac:dyDescent="0.3">
      <c r="A961" t="s">
        <v>192</v>
      </c>
      <c r="B961" t="s">
        <v>47</v>
      </c>
      <c r="C961" t="s">
        <v>138</v>
      </c>
      <c r="D961" s="1">
        <v>43483</v>
      </c>
      <c r="E961">
        <v>12</v>
      </c>
      <c r="F961">
        <v>27565</v>
      </c>
      <c r="G961" t="s">
        <v>462</v>
      </c>
      <c r="H961" t="str">
        <f>VLOOKUP(A961, product_table!$A:$C, 3, 0)</f>
        <v>Own Brand</v>
      </c>
      <c r="I961" t="str">
        <f>VLOOKUP(transactions_table8[[#This Row],[market_code]],markets_table!$A:$B,2,0)</f>
        <v>Mumbai</v>
      </c>
      <c r="J961" t="str">
        <f>VLOOKUP(transactions_table8[[#This Row],[market_code]],markets_table!$A:$C,3,0)</f>
        <v>Central</v>
      </c>
      <c r="K961" t="str">
        <f>VLOOKUP(transactions_table8[[#This Row],[customer_code]],customer_table!$A:$B,2,0)</f>
        <v>Electricalslytical</v>
      </c>
      <c r="L961" t="str">
        <f>VLOOKUP(transactions_table8[[#This Row],[customer_code]],customer_table!$A:$C,3,0)</f>
        <v>E-Commerce</v>
      </c>
      <c r="M961">
        <f>IF(TRIM(CLEAN(transactions_table8[[#This Row],[currency]]))="USD",transactions_table8[[#This Row],[sales_amount]]*83,transactions_table8[[#This Row],[sales_amount]])</f>
        <v>27565</v>
      </c>
    </row>
    <row r="962" spans="1:13" x14ac:dyDescent="0.3">
      <c r="A962" t="s">
        <v>192</v>
      </c>
      <c r="B962" t="s">
        <v>53</v>
      </c>
      <c r="C962" t="s">
        <v>138</v>
      </c>
      <c r="D962" s="1">
        <v>43486</v>
      </c>
      <c r="E962">
        <v>45</v>
      </c>
      <c r="F962">
        <v>104958</v>
      </c>
      <c r="G962" t="s">
        <v>462</v>
      </c>
      <c r="H962" t="str">
        <f>VLOOKUP(A962, product_table!$A:$C, 3, 0)</f>
        <v>Own Brand</v>
      </c>
      <c r="I962" t="str">
        <f>VLOOKUP(transactions_table8[[#This Row],[market_code]],markets_table!$A:$B,2,0)</f>
        <v>Mumbai</v>
      </c>
      <c r="J962" t="str">
        <f>VLOOKUP(transactions_table8[[#This Row],[market_code]],markets_table!$A:$C,3,0)</f>
        <v>Central</v>
      </c>
      <c r="K962" t="str">
        <f>VLOOKUP(transactions_table8[[#This Row],[customer_code]],customer_table!$A:$B,2,0)</f>
        <v>Path</v>
      </c>
      <c r="L962" t="str">
        <f>VLOOKUP(transactions_table8[[#This Row],[customer_code]],customer_table!$A:$C,3,0)</f>
        <v>E-Commerce</v>
      </c>
      <c r="M962">
        <f>IF(TRIM(CLEAN(transactions_table8[[#This Row],[currency]]))="USD",transactions_table8[[#This Row],[sales_amount]]*83,transactions_table8[[#This Row],[sales_amount]])</f>
        <v>104958</v>
      </c>
    </row>
    <row r="963" spans="1:13" x14ac:dyDescent="0.3">
      <c r="A963" t="s">
        <v>192</v>
      </c>
      <c r="B963" t="s">
        <v>49</v>
      </c>
      <c r="C963" t="s">
        <v>138</v>
      </c>
      <c r="D963" s="1">
        <v>43486</v>
      </c>
      <c r="E963">
        <v>1</v>
      </c>
      <c r="F963">
        <v>722</v>
      </c>
      <c r="G963" t="s">
        <v>462</v>
      </c>
      <c r="H963" t="str">
        <f>VLOOKUP(A963, product_table!$A:$C, 3, 0)</f>
        <v>Own Brand</v>
      </c>
      <c r="I963" t="str">
        <f>VLOOKUP(transactions_table8[[#This Row],[market_code]],markets_table!$A:$B,2,0)</f>
        <v>Mumbai</v>
      </c>
      <c r="J963" t="str">
        <f>VLOOKUP(transactions_table8[[#This Row],[market_code]],markets_table!$A:$C,3,0)</f>
        <v>Central</v>
      </c>
      <c r="K963" t="str">
        <f>VLOOKUP(transactions_table8[[#This Row],[customer_code]],customer_table!$A:$B,2,0)</f>
        <v>Sound</v>
      </c>
      <c r="L963" t="str">
        <f>VLOOKUP(transactions_table8[[#This Row],[customer_code]],customer_table!$A:$C,3,0)</f>
        <v>E-Commerce</v>
      </c>
      <c r="M963">
        <f>IF(TRIM(CLEAN(transactions_table8[[#This Row],[currency]]))="USD",transactions_table8[[#This Row],[sales_amount]]*83,transactions_table8[[#This Row],[sales_amount]])</f>
        <v>722</v>
      </c>
    </row>
    <row r="964" spans="1:13" x14ac:dyDescent="0.3">
      <c r="A964" t="s">
        <v>192</v>
      </c>
      <c r="B964" t="s">
        <v>47</v>
      </c>
      <c r="C964" t="s">
        <v>138</v>
      </c>
      <c r="D964" s="1">
        <v>43489</v>
      </c>
      <c r="E964">
        <v>13</v>
      </c>
      <c r="F964">
        <v>28269</v>
      </c>
      <c r="G964" t="s">
        <v>462</v>
      </c>
      <c r="H964" t="str">
        <f>VLOOKUP(A964, product_table!$A:$C, 3, 0)</f>
        <v>Own Brand</v>
      </c>
      <c r="I964" t="str">
        <f>VLOOKUP(transactions_table8[[#This Row],[market_code]],markets_table!$A:$B,2,0)</f>
        <v>Mumbai</v>
      </c>
      <c r="J964" t="str">
        <f>VLOOKUP(transactions_table8[[#This Row],[market_code]],markets_table!$A:$C,3,0)</f>
        <v>Central</v>
      </c>
      <c r="K964" t="str">
        <f>VLOOKUP(transactions_table8[[#This Row],[customer_code]],customer_table!$A:$B,2,0)</f>
        <v>Electricalslytical</v>
      </c>
      <c r="L964" t="str">
        <f>VLOOKUP(transactions_table8[[#This Row],[customer_code]],customer_table!$A:$C,3,0)</f>
        <v>E-Commerce</v>
      </c>
      <c r="M964">
        <f>IF(TRIM(CLEAN(transactions_table8[[#This Row],[currency]]))="USD",transactions_table8[[#This Row],[sales_amount]]*83,transactions_table8[[#This Row],[sales_amount]])</f>
        <v>28269</v>
      </c>
    </row>
    <row r="965" spans="1:13" x14ac:dyDescent="0.3">
      <c r="A965" t="s">
        <v>192</v>
      </c>
      <c r="B965" t="s">
        <v>47</v>
      </c>
      <c r="C965" t="s">
        <v>138</v>
      </c>
      <c r="D965" s="1">
        <v>43490</v>
      </c>
      <c r="E965">
        <v>53</v>
      </c>
      <c r="F965">
        <v>113074</v>
      </c>
      <c r="G965" t="s">
        <v>462</v>
      </c>
      <c r="H965" t="str">
        <f>VLOOKUP(A965, product_table!$A:$C, 3, 0)</f>
        <v>Own Brand</v>
      </c>
      <c r="I965" t="str">
        <f>VLOOKUP(transactions_table8[[#This Row],[market_code]],markets_table!$A:$B,2,0)</f>
        <v>Mumbai</v>
      </c>
      <c r="J965" t="str">
        <f>VLOOKUP(transactions_table8[[#This Row],[market_code]],markets_table!$A:$C,3,0)</f>
        <v>Central</v>
      </c>
      <c r="K965" t="str">
        <f>VLOOKUP(transactions_table8[[#This Row],[customer_code]],customer_table!$A:$B,2,0)</f>
        <v>Electricalslytical</v>
      </c>
      <c r="L965" t="str">
        <f>VLOOKUP(transactions_table8[[#This Row],[customer_code]],customer_table!$A:$C,3,0)</f>
        <v>E-Commerce</v>
      </c>
      <c r="M965">
        <f>IF(TRIM(CLEAN(transactions_table8[[#This Row],[currency]]))="USD",transactions_table8[[#This Row],[sales_amount]]*83,transactions_table8[[#This Row],[sales_amount]])</f>
        <v>113074</v>
      </c>
    </row>
    <row r="966" spans="1:13" x14ac:dyDescent="0.3">
      <c r="A966" t="s">
        <v>192</v>
      </c>
      <c r="B966" t="s">
        <v>34</v>
      </c>
      <c r="C966" t="s">
        <v>138</v>
      </c>
      <c r="D966" s="1">
        <v>43493</v>
      </c>
      <c r="E966">
        <v>55</v>
      </c>
      <c r="F966">
        <v>115921</v>
      </c>
      <c r="G966" t="s">
        <v>462</v>
      </c>
      <c r="H966" t="str">
        <f>VLOOKUP(A966, product_table!$A:$C, 3, 0)</f>
        <v>Own Brand</v>
      </c>
      <c r="I966" t="str">
        <f>VLOOKUP(transactions_table8[[#This Row],[market_code]],markets_table!$A:$B,2,0)</f>
        <v>Mumbai</v>
      </c>
      <c r="J966" t="str">
        <f>VLOOKUP(transactions_table8[[#This Row],[market_code]],markets_table!$A:$C,3,0)</f>
        <v>Central</v>
      </c>
      <c r="K966" t="str">
        <f>VLOOKUP(transactions_table8[[#This Row],[customer_code]],customer_table!$A:$B,2,0)</f>
        <v>Logic Stores</v>
      </c>
      <c r="L966" t="str">
        <f>VLOOKUP(transactions_table8[[#This Row],[customer_code]],customer_table!$A:$C,3,0)</f>
        <v>Brick &amp; Mortar</v>
      </c>
      <c r="M966">
        <f>IF(TRIM(CLEAN(transactions_table8[[#This Row],[currency]]))="USD",transactions_table8[[#This Row],[sales_amount]]*83,transactions_table8[[#This Row],[sales_amount]])</f>
        <v>115921</v>
      </c>
    </row>
    <row r="967" spans="1:13" x14ac:dyDescent="0.3">
      <c r="A967" t="s">
        <v>192</v>
      </c>
      <c r="B967" t="s">
        <v>53</v>
      </c>
      <c r="C967" t="s">
        <v>138</v>
      </c>
      <c r="D967" s="1">
        <v>43493</v>
      </c>
      <c r="E967">
        <v>24</v>
      </c>
      <c r="F967">
        <v>55977</v>
      </c>
      <c r="G967" t="s">
        <v>462</v>
      </c>
      <c r="H967" t="str">
        <f>VLOOKUP(A967, product_table!$A:$C, 3, 0)</f>
        <v>Own Brand</v>
      </c>
      <c r="I967" t="str">
        <f>VLOOKUP(transactions_table8[[#This Row],[market_code]],markets_table!$A:$B,2,0)</f>
        <v>Mumbai</v>
      </c>
      <c r="J967" t="str">
        <f>VLOOKUP(transactions_table8[[#This Row],[market_code]],markets_table!$A:$C,3,0)</f>
        <v>Central</v>
      </c>
      <c r="K967" t="str">
        <f>VLOOKUP(transactions_table8[[#This Row],[customer_code]],customer_table!$A:$B,2,0)</f>
        <v>Path</v>
      </c>
      <c r="L967" t="str">
        <f>VLOOKUP(transactions_table8[[#This Row],[customer_code]],customer_table!$A:$C,3,0)</f>
        <v>E-Commerce</v>
      </c>
      <c r="M967">
        <f>IF(TRIM(CLEAN(transactions_table8[[#This Row],[currency]]))="USD",transactions_table8[[#This Row],[sales_amount]]*83,transactions_table8[[#This Row],[sales_amount]])</f>
        <v>55977</v>
      </c>
    </row>
    <row r="968" spans="1:13" x14ac:dyDescent="0.3">
      <c r="A968" t="s">
        <v>192</v>
      </c>
      <c r="B968" t="s">
        <v>53</v>
      </c>
      <c r="C968" t="s">
        <v>138</v>
      </c>
      <c r="D968" s="1">
        <v>43495</v>
      </c>
      <c r="E968">
        <v>45</v>
      </c>
      <c r="F968">
        <v>104958</v>
      </c>
      <c r="G968" t="s">
        <v>462</v>
      </c>
      <c r="H968" t="str">
        <f>VLOOKUP(A968, product_table!$A:$C, 3, 0)</f>
        <v>Own Brand</v>
      </c>
      <c r="I968" t="str">
        <f>VLOOKUP(transactions_table8[[#This Row],[market_code]],markets_table!$A:$B,2,0)</f>
        <v>Mumbai</v>
      </c>
      <c r="J968" t="str">
        <f>VLOOKUP(transactions_table8[[#This Row],[market_code]],markets_table!$A:$C,3,0)</f>
        <v>Central</v>
      </c>
      <c r="K968" t="str">
        <f>VLOOKUP(transactions_table8[[#This Row],[customer_code]],customer_table!$A:$B,2,0)</f>
        <v>Path</v>
      </c>
      <c r="L968" t="str">
        <f>VLOOKUP(transactions_table8[[#This Row],[customer_code]],customer_table!$A:$C,3,0)</f>
        <v>E-Commerce</v>
      </c>
      <c r="M968">
        <f>IF(TRIM(CLEAN(transactions_table8[[#This Row],[currency]]))="USD",transactions_table8[[#This Row],[sales_amount]]*83,transactions_table8[[#This Row],[sales_amount]])</f>
        <v>104958</v>
      </c>
    </row>
    <row r="969" spans="1:13" x14ac:dyDescent="0.3">
      <c r="A969" t="s">
        <v>192</v>
      </c>
      <c r="B969" t="s">
        <v>47</v>
      </c>
      <c r="C969" t="s">
        <v>138</v>
      </c>
      <c r="D969" s="1">
        <v>43496</v>
      </c>
      <c r="E969">
        <v>8</v>
      </c>
      <c r="F969">
        <v>18375</v>
      </c>
      <c r="G969" t="s">
        <v>462</v>
      </c>
      <c r="H969" t="str">
        <f>VLOOKUP(A969, product_table!$A:$C, 3, 0)</f>
        <v>Own Brand</v>
      </c>
      <c r="I969" t="str">
        <f>VLOOKUP(transactions_table8[[#This Row],[market_code]],markets_table!$A:$B,2,0)</f>
        <v>Mumbai</v>
      </c>
      <c r="J969" t="str">
        <f>VLOOKUP(transactions_table8[[#This Row],[market_code]],markets_table!$A:$C,3,0)</f>
        <v>Central</v>
      </c>
      <c r="K969" t="str">
        <f>VLOOKUP(transactions_table8[[#This Row],[customer_code]],customer_table!$A:$B,2,0)</f>
        <v>Electricalslytical</v>
      </c>
      <c r="L969" t="str">
        <f>VLOOKUP(transactions_table8[[#This Row],[customer_code]],customer_table!$A:$C,3,0)</f>
        <v>E-Commerce</v>
      </c>
      <c r="M969">
        <f>IF(TRIM(CLEAN(transactions_table8[[#This Row],[currency]]))="USD",transactions_table8[[#This Row],[sales_amount]]*83,transactions_table8[[#This Row],[sales_amount]])</f>
        <v>18375</v>
      </c>
    </row>
    <row r="970" spans="1:13" x14ac:dyDescent="0.3">
      <c r="A970" t="s">
        <v>192</v>
      </c>
      <c r="B970" t="s">
        <v>53</v>
      </c>
      <c r="C970" t="s">
        <v>138</v>
      </c>
      <c r="D970" s="1">
        <v>43496</v>
      </c>
      <c r="E970">
        <v>18</v>
      </c>
      <c r="F970">
        <v>41981</v>
      </c>
      <c r="G970" t="s">
        <v>462</v>
      </c>
      <c r="H970" t="str">
        <f>VLOOKUP(A970, product_table!$A:$C, 3, 0)</f>
        <v>Own Brand</v>
      </c>
      <c r="I970" t="str">
        <f>VLOOKUP(transactions_table8[[#This Row],[market_code]],markets_table!$A:$B,2,0)</f>
        <v>Mumbai</v>
      </c>
      <c r="J970" t="str">
        <f>VLOOKUP(transactions_table8[[#This Row],[market_code]],markets_table!$A:$C,3,0)</f>
        <v>Central</v>
      </c>
      <c r="K970" t="str">
        <f>VLOOKUP(transactions_table8[[#This Row],[customer_code]],customer_table!$A:$B,2,0)</f>
        <v>Path</v>
      </c>
      <c r="L970" t="str">
        <f>VLOOKUP(transactions_table8[[#This Row],[customer_code]],customer_table!$A:$C,3,0)</f>
        <v>E-Commerce</v>
      </c>
      <c r="M970">
        <f>IF(TRIM(CLEAN(transactions_table8[[#This Row],[currency]]))="USD",transactions_table8[[#This Row],[sales_amount]]*83,transactions_table8[[#This Row],[sales_amount]])</f>
        <v>41981</v>
      </c>
    </row>
    <row r="971" spans="1:13" x14ac:dyDescent="0.3">
      <c r="A971" t="s">
        <v>192</v>
      </c>
      <c r="B971" t="s">
        <v>47</v>
      </c>
      <c r="C971" t="s">
        <v>138</v>
      </c>
      <c r="D971" s="1">
        <v>43496</v>
      </c>
      <c r="E971">
        <v>13</v>
      </c>
      <c r="F971">
        <v>28269</v>
      </c>
      <c r="G971" t="s">
        <v>462</v>
      </c>
      <c r="H971" t="str">
        <f>VLOOKUP(A971, product_table!$A:$C, 3, 0)</f>
        <v>Own Brand</v>
      </c>
      <c r="I971" t="str">
        <f>VLOOKUP(transactions_table8[[#This Row],[market_code]],markets_table!$A:$B,2,0)</f>
        <v>Mumbai</v>
      </c>
      <c r="J971" t="str">
        <f>VLOOKUP(transactions_table8[[#This Row],[market_code]],markets_table!$A:$C,3,0)</f>
        <v>Central</v>
      </c>
      <c r="K971" t="str">
        <f>VLOOKUP(transactions_table8[[#This Row],[customer_code]],customer_table!$A:$B,2,0)</f>
        <v>Electricalslytical</v>
      </c>
      <c r="L971" t="str">
        <f>VLOOKUP(transactions_table8[[#This Row],[customer_code]],customer_table!$A:$C,3,0)</f>
        <v>E-Commerce</v>
      </c>
      <c r="M971">
        <f>IF(TRIM(CLEAN(transactions_table8[[#This Row],[currency]]))="USD",transactions_table8[[#This Row],[sales_amount]]*83,transactions_table8[[#This Row],[sales_amount]])</f>
        <v>28269</v>
      </c>
    </row>
    <row r="972" spans="1:13" x14ac:dyDescent="0.3">
      <c r="A972" t="s">
        <v>192</v>
      </c>
      <c r="B972" t="s">
        <v>49</v>
      </c>
      <c r="C972" t="s">
        <v>138</v>
      </c>
      <c r="D972" s="1">
        <v>43496</v>
      </c>
      <c r="E972">
        <v>1</v>
      </c>
      <c r="F972">
        <v>722</v>
      </c>
      <c r="G972" t="s">
        <v>462</v>
      </c>
      <c r="H972" t="str">
        <f>VLOOKUP(A972, product_table!$A:$C, 3, 0)</f>
        <v>Own Brand</v>
      </c>
      <c r="I972" t="str">
        <f>VLOOKUP(transactions_table8[[#This Row],[market_code]],markets_table!$A:$B,2,0)</f>
        <v>Mumbai</v>
      </c>
      <c r="J972" t="str">
        <f>VLOOKUP(transactions_table8[[#This Row],[market_code]],markets_table!$A:$C,3,0)</f>
        <v>Central</v>
      </c>
      <c r="K972" t="str">
        <f>VLOOKUP(transactions_table8[[#This Row],[customer_code]],customer_table!$A:$B,2,0)</f>
        <v>Sound</v>
      </c>
      <c r="L972" t="str">
        <f>VLOOKUP(transactions_table8[[#This Row],[customer_code]],customer_table!$A:$C,3,0)</f>
        <v>E-Commerce</v>
      </c>
      <c r="M972">
        <f>IF(TRIM(CLEAN(transactions_table8[[#This Row],[currency]]))="USD",transactions_table8[[#This Row],[sales_amount]]*83,transactions_table8[[#This Row],[sales_amount]])</f>
        <v>722</v>
      </c>
    </row>
    <row r="973" spans="1:13" x14ac:dyDescent="0.3">
      <c r="A973" t="s">
        <v>192</v>
      </c>
      <c r="B973" t="s">
        <v>34</v>
      </c>
      <c r="C973" t="s">
        <v>138</v>
      </c>
      <c r="D973" s="1">
        <v>43497</v>
      </c>
      <c r="E973">
        <v>15</v>
      </c>
      <c r="F973">
        <v>31421</v>
      </c>
      <c r="G973" t="s">
        <v>462</v>
      </c>
      <c r="H973" t="str">
        <f>VLOOKUP(A973, product_table!$A:$C, 3, 0)</f>
        <v>Own Brand</v>
      </c>
      <c r="I973" t="str">
        <f>VLOOKUP(transactions_table8[[#This Row],[market_code]],markets_table!$A:$B,2,0)</f>
        <v>Mumbai</v>
      </c>
      <c r="J973" t="str">
        <f>VLOOKUP(transactions_table8[[#This Row],[market_code]],markets_table!$A:$C,3,0)</f>
        <v>Central</v>
      </c>
      <c r="K973" t="str">
        <f>VLOOKUP(transactions_table8[[#This Row],[customer_code]],customer_table!$A:$B,2,0)</f>
        <v>Logic Stores</v>
      </c>
      <c r="L973" t="str">
        <f>VLOOKUP(transactions_table8[[#This Row],[customer_code]],customer_table!$A:$C,3,0)</f>
        <v>Brick &amp; Mortar</v>
      </c>
      <c r="M973">
        <f>IF(TRIM(CLEAN(transactions_table8[[#This Row],[currency]]))="USD",transactions_table8[[#This Row],[sales_amount]]*83,transactions_table8[[#This Row],[sales_amount]])</f>
        <v>31421</v>
      </c>
    </row>
    <row r="974" spans="1:13" x14ac:dyDescent="0.3">
      <c r="A974" t="s">
        <v>192</v>
      </c>
      <c r="B974" t="s">
        <v>34</v>
      </c>
      <c r="C974" t="s">
        <v>138</v>
      </c>
      <c r="D974" s="1">
        <v>43500</v>
      </c>
      <c r="E974">
        <v>34</v>
      </c>
      <c r="F974">
        <v>71231</v>
      </c>
      <c r="G974" t="s">
        <v>462</v>
      </c>
      <c r="H974" t="str">
        <f>VLOOKUP(A974, product_table!$A:$C, 3, 0)</f>
        <v>Own Brand</v>
      </c>
      <c r="I974" t="str">
        <f>VLOOKUP(transactions_table8[[#This Row],[market_code]],markets_table!$A:$B,2,0)</f>
        <v>Mumbai</v>
      </c>
      <c r="J974" t="str">
        <f>VLOOKUP(transactions_table8[[#This Row],[market_code]],markets_table!$A:$C,3,0)</f>
        <v>Central</v>
      </c>
      <c r="K974" t="str">
        <f>VLOOKUP(transactions_table8[[#This Row],[customer_code]],customer_table!$A:$B,2,0)</f>
        <v>Logic Stores</v>
      </c>
      <c r="L974" t="str">
        <f>VLOOKUP(transactions_table8[[#This Row],[customer_code]],customer_table!$A:$C,3,0)</f>
        <v>Brick &amp; Mortar</v>
      </c>
      <c r="M974">
        <f>IF(TRIM(CLEAN(transactions_table8[[#This Row],[currency]]))="USD",transactions_table8[[#This Row],[sales_amount]]*83,transactions_table8[[#This Row],[sales_amount]])</f>
        <v>71231</v>
      </c>
    </row>
    <row r="975" spans="1:13" x14ac:dyDescent="0.3">
      <c r="A975" t="s">
        <v>192</v>
      </c>
      <c r="B975" t="s">
        <v>49</v>
      </c>
      <c r="C975" t="s">
        <v>138</v>
      </c>
      <c r="D975" s="1">
        <v>43501</v>
      </c>
      <c r="E975">
        <v>1</v>
      </c>
      <c r="F975">
        <v>722</v>
      </c>
      <c r="G975" t="s">
        <v>462</v>
      </c>
      <c r="H975" t="str">
        <f>VLOOKUP(A975, product_table!$A:$C, 3, 0)</f>
        <v>Own Brand</v>
      </c>
      <c r="I975" t="str">
        <f>VLOOKUP(transactions_table8[[#This Row],[market_code]],markets_table!$A:$B,2,0)</f>
        <v>Mumbai</v>
      </c>
      <c r="J975" t="str">
        <f>VLOOKUP(transactions_table8[[#This Row],[market_code]],markets_table!$A:$C,3,0)</f>
        <v>Central</v>
      </c>
      <c r="K975" t="str">
        <f>VLOOKUP(transactions_table8[[#This Row],[customer_code]],customer_table!$A:$B,2,0)</f>
        <v>Sound</v>
      </c>
      <c r="L975" t="str">
        <f>VLOOKUP(transactions_table8[[#This Row],[customer_code]],customer_table!$A:$C,3,0)</f>
        <v>E-Commerce</v>
      </c>
      <c r="M975">
        <f>IF(TRIM(CLEAN(transactions_table8[[#This Row],[currency]]))="USD",transactions_table8[[#This Row],[sales_amount]]*83,transactions_table8[[#This Row],[sales_amount]])</f>
        <v>722</v>
      </c>
    </row>
    <row r="976" spans="1:13" x14ac:dyDescent="0.3">
      <c r="A976" t="s">
        <v>192</v>
      </c>
      <c r="B976" t="s">
        <v>47</v>
      </c>
      <c r="C976" t="s">
        <v>138</v>
      </c>
      <c r="D976" s="1">
        <v>43503</v>
      </c>
      <c r="E976">
        <v>11</v>
      </c>
      <c r="F976">
        <v>24500</v>
      </c>
      <c r="G976" t="s">
        <v>462</v>
      </c>
      <c r="H976" t="str">
        <f>VLOOKUP(A976, product_table!$A:$C, 3, 0)</f>
        <v>Own Brand</v>
      </c>
      <c r="I976" t="str">
        <f>VLOOKUP(transactions_table8[[#This Row],[market_code]],markets_table!$A:$B,2,0)</f>
        <v>Mumbai</v>
      </c>
      <c r="J976" t="str">
        <f>VLOOKUP(transactions_table8[[#This Row],[market_code]],markets_table!$A:$C,3,0)</f>
        <v>Central</v>
      </c>
      <c r="K976" t="str">
        <f>VLOOKUP(transactions_table8[[#This Row],[customer_code]],customer_table!$A:$B,2,0)</f>
        <v>Electricalslytical</v>
      </c>
      <c r="L976" t="str">
        <f>VLOOKUP(transactions_table8[[#This Row],[customer_code]],customer_table!$A:$C,3,0)</f>
        <v>E-Commerce</v>
      </c>
      <c r="M976">
        <f>IF(TRIM(CLEAN(transactions_table8[[#This Row],[currency]]))="USD",transactions_table8[[#This Row],[sales_amount]]*83,transactions_table8[[#This Row],[sales_amount]])</f>
        <v>24500</v>
      </c>
    </row>
    <row r="977" spans="1:13" x14ac:dyDescent="0.3">
      <c r="A977" t="s">
        <v>192</v>
      </c>
      <c r="B977" t="s">
        <v>53</v>
      </c>
      <c r="C977" t="s">
        <v>138</v>
      </c>
      <c r="D977" s="1">
        <v>43503</v>
      </c>
      <c r="E977">
        <v>15</v>
      </c>
      <c r="F977">
        <v>34986</v>
      </c>
      <c r="G977" t="s">
        <v>462</v>
      </c>
      <c r="H977" t="str">
        <f>VLOOKUP(A977, product_table!$A:$C, 3, 0)</f>
        <v>Own Brand</v>
      </c>
      <c r="I977" t="str">
        <f>VLOOKUP(transactions_table8[[#This Row],[market_code]],markets_table!$A:$B,2,0)</f>
        <v>Mumbai</v>
      </c>
      <c r="J977" t="str">
        <f>VLOOKUP(transactions_table8[[#This Row],[market_code]],markets_table!$A:$C,3,0)</f>
        <v>Central</v>
      </c>
      <c r="K977" t="str">
        <f>VLOOKUP(transactions_table8[[#This Row],[customer_code]],customer_table!$A:$B,2,0)</f>
        <v>Path</v>
      </c>
      <c r="L977" t="str">
        <f>VLOOKUP(transactions_table8[[#This Row],[customer_code]],customer_table!$A:$C,3,0)</f>
        <v>E-Commerce</v>
      </c>
      <c r="M977">
        <f>IF(TRIM(CLEAN(transactions_table8[[#This Row],[currency]]))="USD",transactions_table8[[#This Row],[sales_amount]]*83,transactions_table8[[#This Row],[sales_amount]])</f>
        <v>34986</v>
      </c>
    </row>
    <row r="978" spans="1:13" x14ac:dyDescent="0.3">
      <c r="A978" t="s">
        <v>192</v>
      </c>
      <c r="B978" t="s">
        <v>47</v>
      </c>
      <c r="C978" t="s">
        <v>138</v>
      </c>
      <c r="D978" s="1">
        <v>43503</v>
      </c>
      <c r="E978">
        <v>13</v>
      </c>
      <c r="F978">
        <v>28269</v>
      </c>
      <c r="G978" t="s">
        <v>462</v>
      </c>
      <c r="H978" t="str">
        <f>VLOOKUP(A978, product_table!$A:$C, 3, 0)</f>
        <v>Own Brand</v>
      </c>
      <c r="I978" t="str">
        <f>VLOOKUP(transactions_table8[[#This Row],[market_code]],markets_table!$A:$B,2,0)</f>
        <v>Mumbai</v>
      </c>
      <c r="J978" t="str">
        <f>VLOOKUP(transactions_table8[[#This Row],[market_code]],markets_table!$A:$C,3,0)</f>
        <v>Central</v>
      </c>
      <c r="K978" t="str">
        <f>VLOOKUP(transactions_table8[[#This Row],[customer_code]],customer_table!$A:$B,2,0)</f>
        <v>Electricalslytical</v>
      </c>
      <c r="L978" t="str">
        <f>VLOOKUP(transactions_table8[[#This Row],[customer_code]],customer_table!$A:$C,3,0)</f>
        <v>E-Commerce</v>
      </c>
      <c r="M978">
        <f>IF(TRIM(CLEAN(transactions_table8[[#This Row],[currency]]))="USD",transactions_table8[[#This Row],[sales_amount]]*83,transactions_table8[[#This Row],[sales_amount]])</f>
        <v>28269</v>
      </c>
    </row>
    <row r="979" spans="1:13" x14ac:dyDescent="0.3">
      <c r="A979" t="s">
        <v>192</v>
      </c>
      <c r="B979" t="s">
        <v>34</v>
      </c>
      <c r="C979" t="s">
        <v>138</v>
      </c>
      <c r="D979" s="1">
        <v>43504</v>
      </c>
      <c r="E979">
        <v>26</v>
      </c>
      <c r="F979">
        <v>55167</v>
      </c>
      <c r="G979" t="s">
        <v>462</v>
      </c>
      <c r="H979" t="str">
        <f>VLOOKUP(A979, product_table!$A:$C, 3, 0)</f>
        <v>Own Brand</v>
      </c>
      <c r="I979" t="str">
        <f>VLOOKUP(transactions_table8[[#This Row],[market_code]],markets_table!$A:$B,2,0)</f>
        <v>Mumbai</v>
      </c>
      <c r="J979" t="str">
        <f>VLOOKUP(transactions_table8[[#This Row],[market_code]],markets_table!$A:$C,3,0)</f>
        <v>Central</v>
      </c>
      <c r="K979" t="str">
        <f>VLOOKUP(transactions_table8[[#This Row],[customer_code]],customer_table!$A:$B,2,0)</f>
        <v>Logic Stores</v>
      </c>
      <c r="L979" t="str">
        <f>VLOOKUP(transactions_table8[[#This Row],[customer_code]],customer_table!$A:$C,3,0)</f>
        <v>Brick &amp; Mortar</v>
      </c>
      <c r="M979">
        <f>IF(TRIM(CLEAN(transactions_table8[[#This Row],[currency]]))="USD",transactions_table8[[#This Row],[sales_amount]]*83,transactions_table8[[#This Row],[sales_amount]])</f>
        <v>55167</v>
      </c>
    </row>
    <row r="980" spans="1:13" x14ac:dyDescent="0.3">
      <c r="A980" t="s">
        <v>192</v>
      </c>
      <c r="B980" t="s">
        <v>47</v>
      </c>
      <c r="C980" t="s">
        <v>138</v>
      </c>
      <c r="D980" s="1">
        <v>43504</v>
      </c>
      <c r="E980">
        <v>13</v>
      </c>
      <c r="F980">
        <v>28269</v>
      </c>
      <c r="G980" t="s">
        <v>462</v>
      </c>
      <c r="H980" t="str">
        <f>VLOOKUP(A980, product_table!$A:$C, 3, 0)</f>
        <v>Own Brand</v>
      </c>
      <c r="I980" t="str">
        <f>VLOOKUP(transactions_table8[[#This Row],[market_code]],markets_table!$A:$B,2,0)</f>
        <v>Mumbai</v>
      </c>
      <c r="J980" t="str">
        <f>VLOOKUP(transactions_table8[[#This Row],[market_code]],markets_table!$A:$C,3,0)</f>
        <v>Central</v>
      </c>
      <c r="K980" t="str">
        <f>VLOOKUP(transactions_table8[[#This Row],[customer_code]],customer_table!$A:$B,2,0)</f>
        <v>Electricalslytical</v>
      </c>
      <c r="L980" t="str">
        <f>VLOOKUP(transactions_table8[[#This Row],[customer_code]],customer_table!$A:$C,3,0)</f>
        <v>E-Commerce</v>
      </c>
      <c r="M980">
        <f>IF(TRIM(CLEAN(transactions_table8[[#This Row],[currency]]))="USD",transactions_table8[[#This Row],[sales_amount]]*83,transactions_table8[[#This Row],[sales_amount]])</f>
        <v>28269</v>
      </c>
    </row>
    <row r="981" spans="1:13" x14ac:dyDescent="0.3">
      <c r="A981" t="s">
        <v>192</v>
      </c>
      <c r="B981" t="s">
        <v>53</v>
      </c>
      <c r="C981" t="s">
        <v>138</v>
      </c>
      <c r="D981" s="1">
        <v>43507</v>
      </c>
      <c r="E981">
        <v>8</v>
      </c>
      <c r="F981">
        <v>17495</v>
      </c>
      <c r="G981" t="s">
        <v>462</v>
      </c>
      <c r="H981" t="str">
        <f>VLOOKUP(A981, product_table!$A:$C, 3, 0)</f>
        <v>Own Brand</v>
      </c>
      <c r="I981" t="str">
        <f>VLOOKUP(transactions_table8[[#This Row],[market_code]],markets_table!$A:$B,2,0)</f>
        <v>Mumbai</v>
      </c>
      <c r="J981" t="str">
        <f>VLOOKUP(transactions_table8[[#This Row],[market_code]],markets_table!$A:$C,3,0)</f>
        <v>Central</v>
      </c>
      <c r="K981" t="str">
        <f>VLOOKUP(transactions_table8[[#This Row],[customer_code]],customer_table!$A:$B,2,0)</f>
        <v>Path</v>
      </c>
      <c r="L981" t="str">
        <f>VLOOKUP(transactions_table8[[#This Row],[customer_code]],customer_table!$A:$C,3,0)</f>
        <v>E-Commerce</v>
      </c>
      <c r="M981">
        <f>IF(TRIM(CLEAN(transactions_table8[[#This Row],[currency]]))="USD",transactions_table8[[#This Row],[sales_amount]]*83,transactions_table8[[#This Row],[sales_amount]])</f>
        <v>17495</v>
      </c>
    </row>
    <row r="982" spans="1:13" x14ac:dyDescent="0.3">
      <c r="A982" t="s">
        <v>192</v>
      </c>
      <c r="B982" t="s">
        <v>47</v>
      </c>
      <c r="C982" t="s">
        <v>138</v>
      </c>
      <c r="D982" s="1">
        <v>43508</v>
      </c>
      <c r="E982">
        <v>5</v>
      </c>
      <c r="F982">
        <v>12250</v>
      </c>
      <c r="G982" t="s">
        <v>462</v>
      </c>
      <c r="H982" t="str">
        <f>VLOOKUP(A982, product_table!$A:$C, 3, 0)</f>
        <v>Own Brand</v>
      </c>
      <c r="I982" t="str">
        <f>VLOOKUP(transactions_table8[[#This Row],[market_code]],markets_table!$A:$B,2,0)</f>
        <v>Mumbai</v>
      </c>
      <c r="J982" t="str">
        <f>VLOOKUP(transactions_table8[[#This Row],[market_code]],markets_table!$A:$C,3,0)</f>
        <v>Central</v>
      </c>
      <c r="K982" t="str">
        <f>VLOOKUP(transactions_table8[[#This Row],[customer_code]],customer_table!$A:$B,2,0)</f>
        <v>Electricalslytical</v>
      </c>
      <c r="L982" t="str">
        <f>VLOOKUP(transactions_table8[[#This Row],[customer_code]],customer_table!$A:$C,3,0)</f>
        <v>E-Commerce</v>
      </c>
      <c r="M982">
        <f>IF(TRIM(CLEAN(transactions_table8[[#This Row],[currency]]))="USD",transactions_table8[[#This Row],[sales_amount]]*83,transactions_table8[[#This Row],[sales_amount]])</f>
        <v>12250</v>
      </c>
    </row>
    <row r="983" spans="1:13" x14ac:dyDescent="0.3">
      <c r="A983" t="s">
        <v>192</v>
      </c>
      <c r="B983" t="s">
        <v>47</v>
      </c>
      <c r="C983" t="s">
        <v>138</v>
      </c>
      <c r="D983" s="1">
        <v>43508</v>
      </c>
      <c r="E983">
        <v>13</v>
      </c>
      <c r="F983">
        <v>28269</v>
      </c>
      <c r="G983" t="s">
        <v>462</v>
      </c>
      <c r="H983" t="str">
        <f>VLOOKUP(A983, product_table!$A:$C, 3, 0)</f>
        <v>Own Brand</v>
      </c>
      <c r="I983" t="str">
        <f>VLOOKUP(transactions_table8[[#This Row],[market_code]],markets_table!$A:$B,2,0)</f>
        <v>Mumbai</v>
      </c>
      <c r="J983" t="str">
        <f>VLOOKUP(transactions_table8[[#This Row],[market_code]],markets_table!$A:$C,3,0)</f>
        <v>Central</v>
      </c>
      <c r="K983" t="str">
        <f>VLOOKUP(transactions_table8[[#This Row],[customer_code]],customer_table!$A:$B,2,0)</f>
        <v>Electricalslytical</v>
      </c>
      <c r="L983" t="str">
        <f>VLOOKUP(transactions_table8[[#This Row],[customer_code]],customer_table!$A:$C,3,0)</f>
        <v>E-Commerce</v>
      </c>
      <c r="M983">
        <f>IF(TRIM(CLEAN(transactions_table8[[#This Row],[currency]]))="USD",transactions_table8[[#This Row],[sales_amount]]*83,transactions_table8[[#This Row],[sales_amount]])</f>
        <v>28269</v>
      </c>
    </row>
    <row r="984" spans="1:13" x14ac:dyDescent="0.3">
      <c r="A984" t="s">
        <v>192</v>
      </c>
      <c r="B984" t="s">
        <v>47</v>
      </c>
      <c r="C984" t="s">
        <v>138</v>
      </c>
      <c r="D984" s="1">
        <v>43509</v>
      </c>
      <c r="E984">
        <v>12</v>
      </c>
      <c r="F984">
        <v>27565</v>
      </c>
      <c r="G984" t="s">
        <v>462</v>
      </c>
      <c r="H984" t="str">
        <f>VLOOKUP(A984, product_table!$A:$C, 3, 0)</f>
        <v>Own Brand</v>
      </c>
      <c r="I984" t="str">
        <f>VLOOKUP(transactions_table8[[#This Row],[market_code]],markets_table!$A:$B,2,0)</f>
        <v>Mumbai</v>
      </c>
      <c r="J984" t="str">
        <f>VLOOKUP(transactions_table8[[#This Row],[market_code]],markets_table!$A:$C,3,0)</f>
        <v>Central</v>
      </c>
      <c r="K984" t="str">
        <f>VLOOKUP(transactions_table8[[#This Row],[customer_code]],customer_table!$A:$B,2,0)</f>
        <v>Electricalslytical</v>
      </c>
      <c r="L984" t="str">
        <f>VLOOKUP(transactions_table8[[#This Row],[customer_code]],customer_table!$A:$C,3,0)</f>
        <v>E-Commerce</v>
      </c>
      <c r="M984">
        <f>IF(TRIM(CLEAN(transactions_table8[[#This Row],[currency]]))="USD",transactions_table8[[#This Row],[sales_amount]]*83,transactions_table8[[#This Row],[sales_amount]])</f>
        <v>27565</v>
      </c>
    </row>
    <row r="985" spans="1:13" x14ac:dyDescent="0.3">
      <c r="A985" t="s">
        <v>192</v>
      </c>
      <c r="B985" t="s">
        <v>47</v>
      </c>
      <c r="C985" t="s">
        <v>138</v>
      </c>
      <c r="D985" s="1">
        <v>43510</v>
      </c>
      <c r="E985">
        <v>7</v>
      </c>
      <c r="F985">
        <v>15315</v>
      </c>
      <c r="G985" t="s">
        <v>462</v>
      </c>
      <c r="H985" t="str">
        <f>VLOOKUP(A985, product_table!$A:$C, 3, 0)</f>
        <v>Own Brand</v>
      </c>
      <c r="I985" t="str">
        <f>VLOOKUP(transactions_table8[[#This Row],[market_code]],markets_table!$A:$B,2,0)</f>
        <v>Mumbai</v>
      </c>
      <c r="J985" t="str">
        <f>VLOOKUP(transactions_table8[[#This Row],[market_code]],markets_table!$A:$C,3,0)</f>
        <v>Central</v>
      </c>
      <c r="K985" t="str">
        <f>VLOOKUP(transactions_table8[[#This Row],[customer_code]],customer_table!$A:$B,2,0)</f>
        <v>Electricalslytical</v>
      </c>
      <c r="L985" t="str">
        <f>VLOOKUP(transactions_table8[[#This Row],[customer_code]],customer_table!$A:$C,3,0)</f>
        <v>E-Commerce</v>
      </c>
      <c r="M985">
        <f>IF(TRIM(CLEAN(transactions_table8[[#This Row],[currency]]))="USD",transactions_table8[[#This Row],[sales_amount]]*83,transactions_table8[[#This Row],[sales_amount]])</f>
        <v>15315</v>
      </c>
    </row>
    <row r="986" spans="1:13" x14ac:dyDescent="0.3">
      <c r="A986" t="s">
        <v>192</v>
      </c>
      <c r="B986" t="s">
        <v>53</v>
      </c>
      <c r="C986" t="s">
        <v>138</v>
      </c>
      <c r="D986" s="1">
        <v>43510</v>
      </c>
      <c r="E986">
        <v>6</v>
      </c>
      <c r="F986">
        <v>13995</v>
      </c>
      <c r="G986" t="s">
        <v>462</v>
      </c>
      <c r="H986" t="str">
        <f>VLOOKUP(A986, product_table!$A:$C, 3, 0)</f>
        <v>Own Brand</v>
      </c>
      <c r="I986" t="str">
        <f>VLOOKUP(transactions_table8[[#This Row],[market_code]],markets_table!$A:$B,2,0)</f>
        <v>Mumbai</v>
      </c>
      <c r="J986" t="str">
        <f>VLOOKUP(transactions_table8[[#This Row],[market_code]],markets_table!$A:$C,3,0)</f>
        <v>Central</v>
      </c>
      <c r="K986" t="str">
        <f>VLOOKUP(transactions_table8[[#This Row],[customer_code]],customer_table!$A:$B,2,0)</f>
        <v>Path</v>
      </c>
      <c r="L986" t="str">
        <f>VLOOKUP(transactions_table8[[#This Row],[customer_code]],customer_table!$A:$C,3,0)</f>
        <v>E-Commerce</v>
      </c>
      <c r="M986">
        <f>IF(TRIM(CLEAN(transactions_table8[[#This Row],[currency]]))="USD",transactions_table8[[#This Row],[sales_amount]]*83,transactions_table8[[#This Row],[sales_amount]])</f>
        <v>13995</v>
      </c>
    </row>
    <row r="987" spans="1:13" x14ac:dyDescent="0.3">
      <c r="A987" t="s">
        <v>192</v>
      </c>
      <c r="B987" t="s">
        <v>47</v>
      </c>
      <c r="C987" t="s">
        <v>138</v>
      </c>
      <c r="D987" s="1">
        <v>43510</v>
      </c>
      <c r="E987">
        <v>13</v>
      </c>
      <c r="F987">
        <v>28269</v>
      </c>
      <c r="G987" t="s">
        <v>462</v>
      </c>
      <c r="H987" t="str">
        <f>VLOOKUP(A987, product_table!$A:$C, 3, 0)</f>
        <v>Own Brand</v>
      </c>
      <c r="I987" t="str">
        <f>VLOOKUP(transactions_table8[[#This Row],[market_code]],markets_table!$A:$B,2,0)</f>
        <v>Mumbai</v>
      </c>
      <c r="J987" t="str">
        <f>VLOOKUP(transactions_table8[[#This Row],[market_code]],markets_table!$A:$C,3,0)</f>
        <v>Central</v>
      </c>
      <c r="K987" t="str">
        <f>VLOOKUP(transactions_table8[[#This Row],[customer_code]],customer_table!$A:$B,2,0)</f>
        <v>Electricalslytical</v>
      </c>
      <c r="L987" t="str">
        <f>VLOOKUP(transactions_table8[[#This Row],[customer_code]],customer_table!$A:$C,3,0)</f>
        <v>E-Commerce</v>
      </c>
      <c r="M987">
        <f>IF(TRIM(CLEAN(transactions_table8[[#This Row],[currency]]))="USD",transactions_table8[[#This Row],[sales_amount]]*83,transactions_table8[[#This Row],[sales_amount]])</f>
        <v>28269</v>
      </c>
    </row>
    <row r="988" spans="1:13" x14ac:dyDescent="0.3">
      <c r="A988" t="s">
        <v>192</v>
      </c>
      <c r="B988" t="s">
        <v>34</v>
      </c>
      <c r="C988" t="s">
        <v>138</v>
      </c>
      <c r="D988" s="1">
        <v>43511</v>
      </c>
      <c r="E988">
        <v>62</v>
      </c>
      <c r="F988">
        <v>129546</v>
      </c>
      <c r="G988" t="s">
        <v>462</v>
      </c>
      <c r="H988" t="str">
        <f>VLOOKUP(A988, product_table!$A:$C, 3, 0)</f>
        <v>Own Brand</v>
      </c>
      <c r="I988" t="str">
        <f>VLOOKUP(transactions_table8[[#This Row],[market_code]],markets_table!$A:$B,2,0)</f>
        <v>Mumbai</v>
      </c>
      <c r="J988" t="str">
        <f>VLOOKUP(transactions_table8[[#This Row],[market_code]],markets_table!$A:$C,3,0)</f>
        <v>Central</v>
      </c>
      <c r="K988" t="str">
        <f>VLOOKUP(transactions_table8[[#This Row],[customer_code]],customer_table!$A:$B,2,0)</f>
        <v>Logic Stores</v>
      </c>
      <c r="L988" t="str">
        <f>VLOOKUP(transactions_table8[[#This Row],[customer_code]],customer_table!$A:$C,3,0)</f>
        <v>Brick &amp; Mortar</v>
      </c>
      <c r="M988">
        <f>IF(TRIM(CLEAN(transactions_table8[[#This Row],[currency]]))="USD",transactions_table8[[#This Row],[sales_amount]]*83,transactions_table8[[#This Row],[sales_amount]])</f>
        <v>129546</v>
      </c>
    </row>
    <row r="989" spans="1:13" x14ac:dyDescent="0.3">
      <c r="A989" t="s">
        <v>192</v>
      </c>
      <c r="B989" t="s">
        <v>47</v>
      </c>
      <c r="C989" t="s">
        <v>138</v>
      </c>
      <c r="D989" s="1">
        <v>43511</v>
      </c>
      <c r="E989">
        <v>4</v>
      </c>
      <c r="F989">
        <v>9190</v>
      </c>
      <c r="G989" t="s">
        <v>462</v>
      </c>
      <c r="H989" t="str">
        <f>VLOOKUP(A989, product_table!$A:$C, 3, 0)</f>
        <v>Own Brand</v>
      </c>
      <c r="I989" t="str">
        <f>VLOOKUP(transactions_table8[[#This Row],[market_code]],markets_table!$A:$B,2,0)</f>
        <v>Mumbai</v>
      </c>
      <c r="J989" t="str">
        <f>VLOOKUP(transactions_table8[[#This Row],[market_code]],markets_table!$A:$C,3,0)</f>
        <v>Central</v>
      </c>
      <c r="K989" t="str">
        <f>VLOOKUP(transactions_table8[[#This Row],[customer_code]],customer_table!$A:$B,2,0)</f>
        <v>Electricalslytical</v>
      </c>
      <c r="L989" t="str">
        <f>VLOOKUP(transactions_table8[[#This Row],[customer_code]],customer_table!$A:$C,3,0)</f>
        <v>E-Commerce</v>
      </c>
      <c r="M989">
        <f>IF(TRIM(CLEAN(transactions_table8[[#This Row],[currency]]))="USD",transactions_table8[[#This Row],[sales_amount]]*83,transactions_table8[[#This Row],[sales_amount]])</f>
        <v>9190</v>
      </c>
    </row>
    <row r="990" spans="1:13" x14ac:dyDescent="0.3">
      <c r="A990" t="s">
        <v>192</v>
      </c>
      <c r="B990" t="s">
        <v>47</v>
      </c>
      <c r="C990" t="s">
        <v>138</v>
      </c>
      <c r="D990" s="1">
        <v>43511</v>
      </c>
      <c r="E990">
        <v>13</v>
      </c>
      <c r="F990">
        <v>28269</v>
      </c>
      <c r="G990" t="s">
        <v>462</v>
      </c>
      <c r="H990" t="str">
        <f>VLOOKUP(A990, product_table!$A:$C, 3, 0)</f>
        <v>Own Brand</v>
      </c>
      <c r="I990" t="str">
        <f>VLOOKUP(transactions_table8[[#This Row],[market_code]],markets_table!$A:$B,2,0)</f>
        <v>Mumbai</v>
      </c>
      <c r="J990" t="str">
        <f>VLOOKUP(transactions_table8[[#This Row],[market_code]],markets_table!$A:$C,3,0)</f>
        <v>Central</v>
      </c>
      <c r="K990" t="str">
        <f>VLOOKUP(transactions_table8[[#This Row],[customer_code]],customer_table!$A:$B,2,0)</f>
        <v>Electricalslytical</v>
      </c>
      <c r="L990" t="str">
        <f>VLOOKUP(transactions_table8[[#This Row],[customer_code]],customer_table!$A:$C,3,0)</f>
        <v>E-Commerce</v>
      </c>
      <c r="M990">
        <f>IF(TRIM(CLEAN(transactions_table8[[#This Row],[currency]]))="USD",transactions_table8[[#This Row],[sales_amount]]*83,transactions_table8[[#This Row],[sales_amount]])</f>
        <v>28269</v>
      </c>
    </row>
    <row r="991" spans="1:13" x14ac:dyDescent="0.3">
      <c r="A991" t="s">
        <v>192</v>
      </c>
      <c r="B991" t="s">
        <v>47</v>
      </c>
      <c r="C991" t="s">
        <v>138</v>
      </c>
      <c r="D991" s="1">
        <v>43514</v>
      </c>
      <c r="E991">
        <v>3</v>
      </c>
      <c r="F991">
        <v>6125</v>
      </c>
      <c r="G991" t="s">
        <v>462</v>
      </c>
      <c r="H991" t="str">
        <f>VLOOKUP(A991, product_table!$A:$C, 3, 0)</f>
        <v>Own Brand</v>
      </c>
      <c r="I991" t="str">
        <f>VLOOKUP(transactions_table8[[#This Row],[market_code]],markets_table!$A:$B,2,0)</f>
        <v>Mumbai</v>
      </c>
      <c r="J991" t="str">
        <f>VLOOKUP(transactions_table8[[#This Row],[market_code]],markets_table!$A:$C,3,0)</f>
        <v>Central</v>
      </c>
      <c r="K991" t="str">
        <f>VLOOKUP(transactions_table8[[#This Row],[customer_code]],customer_table!$A:$B,2,0)</f>
        <v>Electricalslytical</v>
      </c>
      <c r="L991" t="str">
        <f>VLOOKUP(transactions_table8[[#This Row],[customer_code]],customer_table!$A:$C,3,0)</f>
        <v>E-Commerce</v>
      </c>
      <c r="M991">
        <f>IF(TRIM(CLEAN(transactions_table8[[#This Row],[currency]]))="USD",transactions_table8[[#This Row],[sales_amount]]*83,transactions_table8[[#This Row],[sales_amount]])</f>
        <v>6125</v>
      </c>
    </row>
    <row r="992" spans="1:13" x14ac:dyDescent="0.3">
      <c r="A992" t="s">
        <v>192</v>
      </c>
      <c r="B992" t="s">
        <v>53</v>
      </c>
      <c r="C992" t="s">
        <v>138</v>
      </c>
      <c r="D992" s="1">
        <v>43514</v>
      </c>
      <c r="E992">
        <v>8</v>
      </c>
      <c r="F992">
        <v>17495</v>
      </c>
      <c r="G992" t="s">
        <v>462</v>
      </c>
      <c r="H992" t="str">
        <f>VLOOKUP(A992, product_table!$A:$C, 3, 0)</f>
        <v>Own Brand</v>
      </c>
      <c r="I992" t="str">
        <f>VLOOKUP(transactions_table8[[#This Row],[market_code]],markets_table!$A:$B,2,0)</f>
        <v>Mumbai</v>
      </c>
      <c r="J992" t="str">
        <f>VLOOKUP(transactions_table8[[#This Row],[market_code]],markets_table!$A:$C,3,0)</f>
        <v>Central</v>
      </c>
      <c r="K992" t="str">
        <f>VLOOKUP(transactions_table8[[#This Row],[customer_code]],customer_table!$A:$B,2,0)</f>
        <v>Path</v>
      </c>
      <c r="L992" t="str">
        <f>VLOOKUP(transactions_table8[[#This Row],[customer_code]],customer_table!$A:$C,3,0)</f>
        <v>E-Commerce</v>
      </c>
      <c r="M992">
        <f>IF(TRIM(CLEAN(transactions_table8[[#This Row],[currency]]))="USD",transactions_table8[[#This Row],[sales_amount]]*83,transactions_table8[[#This Row],[sales_amount]])</f>
        <v>17495</v>
      </c>
    </row>
    <row r="993" spans="4:4" x14ac:dyDescent="0.3">
      <c r="D993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D554D-C6A6-46DD-8406-5F1F4DC56A32}">
  <dimension ref="A3:C114"/>
  <sheetViews>
    <sheetView tabSelected="1" topLeftCell="A43" zoomScale="114" workbookViewId="0">
      <selection activeCell="C61" sqref="C61"/>
    </sheetView>
  </sheetViews>
  <sheetFormatPr defaultRowHeight="14.4" x14ac:dyDescent="0.3"/>
  <cols>
    <col min="1" max="3" width="18.6640625" bestFit="1" customWidth="1"/>
  </cols>
  <sheetData>
    <row r="3" spans="1:2" x14ac:dyDescent="0.3">
      <c r="A3" t="s">
        <v>466</v>
      </c>
    </row>
    <row r="4" spans="1:2" x14ac:dyDescent="0.3">
      <c r="A4" s="11">
        <v>12779476</v>
      </c>
    </row>
    <row r="7" spans="1:2" x14ac:dyDescent="0.3">
      <c r="A7" s="12" t="s">
        <v>467</v>
      </c>
      <c r="B7" t="s">
        <v>466</v>
      </c>
    </row>
    <row r="8" spans="1:2" x14ac:dyDescent="0.3">
      <c r="A8" s="13" t="s">
        <v>142</v>
      </c>
      <c r="B8">
        <v>1027488</v>
      </c>
    </row>
    <row r="9" spans="1:2" x14ac:dyDescent="0.3">
      <c r="A9" s="13" t="s">
        <v>151</v>
      </c>
      <c r="B9">
        <v>88388</v>
      </c>
    </row>
    <row r="10" spans="1:2" x14ac:dyDescent="0.3">
      <c r="A10" s="13" t="s">
        <v>136</v>
      </c>
      <c r="B10">
        <v>485083</v>
      </c>
    </row>
    <row r="11" spans="1:2" x14ac:dyDescent="0.3">
      <c r="A11" s="13" t="s">
        <v>145</v>
      </c>
      <c r="B11">
        <v>4098717</v>
      </c>
    </row>
    <row r="12" spans="1:2" x14ac:dyDescent="0.3">
      <c r="A12" s="13" t="s">
        <v>147</v>
      </c>
      <c r="B12">
        <v>434883</v>
      </c>
    </row>
    <row r="13" spans="1:2" x14ac:dyDescent="0.3">
      <c r="A13" s="13" t="s">
        <v>153</v>
      </c>
      <c r="B13">
        <v>105333</v>
      </c>
    </row>
    <row r="14" spans="1:2" x14ac:dyDescent="0.3">
      <c r="A14" s="13" t="s">
        <v>139</v>
      </c>
      <c r="B14">
        <v>6539584</v>
      </c>
    </row>
    <row r="15" spans="1:2" x14ac:dyDescent="0.3">
      <c r="A15" s="13" t="s">
        <v>468</v>
      </c>
      <c r="B15">
        <v>12779476</v>
      </c>
    </row>
    <row r="21" spans="1:2" x14ac:dyDescent="0.3">
      <c r="A21" s="12" t="s">
        <v>467</v>
      </c>
      <c r="B21" t="s">
        <v>466</v>
      </c>
    </row>
    <row r="22" spans="1:2" x14ac:dyDescent="0.3">
      <c r="A22" s="13" t="s">
        <v>15</v>
      </c>
      <c r="B22">
        <v>2359181</v>
      </c>
    </row>
    <row r="23" spans="1:2" x14ac:dyDescent="0.3">
      <c r="A23" s="13" t="s">
        <v>48</v>
      </c>
      <c r="B23">
        <v>2289335</v>
      </c>
    </row>
    <row r="24" spans="1:2" x14ac:dyDescent="0.3">
      <c r="A24" s="13" t="s">
        <v>17</v>
      </c>
      <c r="B24">
        <v>966470</v>
      </c>
    </row>
    <row r="25" spans="1:2" x14ac:dyDescent="0.3">
      <c r="A25" s="13" t="s">
        <v>35</v>
      </c>
      <c r="B25">
        <v>1819465</v>
      </c>
    </row>
    <row r="26" spans="1:2" x14ac:dyDescent="0.3">
      <c r="A26" s="13" t="s">
        <v>54</v>
      </c>
      <c r="B26">
        <v>1883686</v>
      </c>
    </row>
    <row r="27" spans="1:2" x14ac:dyDescent="0.3">
      <c r="A27" s="13" t="s">
        <v>468</v>
      </c>
      <c r="B27">
        <v>9318137</v>
      </c>
    </row>
    <row r="32" spans="1:2" x14ac:dyDescent="0.3">
      <c r="A32" s="12" t="s">
        <v>467</v>
      </c>
      <c r="B32" t="s">
        <v>466</v>
      </c>
    </row>
    <row r="33" spans="1:2" x14ac:dyDescent="0.3">
      <c r="A33" s="13" t="s">
        <v>5</v>
      </c>
      <c r="B33">
        <v>7562329</v>
      </c>
    </row>
    <row r="34" spans="1:2" x14ac:dyDescent="0.3">
      <c r="A34" s="13" t="s">
        <v>44</v>
      </c>
      <c r="B34">
        <v>5217147</v>
      </c>
    </row>
    <row r="35" spans="1:2" x14ac:dyDescent="0.3">
      <c r="A35" s="13" t="s">
        <v>468</v>
      </c>
      <c r="B35">
        <v>12779476</v>
      </c>
    </row>
    <row r="40" spans="1:2" x14ac:dyDescent="0.3">
      <c r="A40" s="12" t="s">
        <v>467</v>
      </c>
      <c r="B40" t="s">
        <v>466</v>
      </c>
    </row>
    <row r="41" spans="1:2" x14ac:dyDescent="0.3">
      <c r="A41" s="13" t="s">
        <v>174</v>
      </c>
      <c r="B41">
        <v>82482</v>
      </c>
    </row>
    <row r="42" spans="1:2" x14ac:dyDescent="0.3">
      <c r="A42" s="13" t="s">
        <v>176</v>
      </c>
      <c r="B42">
        <v>17268</v>
      </c>
    </row>
    <row r="43" spans="1:2" x14ac:dyDescent="0.3">
      <c r="A43" s="13" t="s">
        <v>177</v>
      </c>
      <c r="B43">
        <v>724546</v>
      </c>
    </row>
    <row r="44" spans="1:2" x14ac:dyDescent="0.3">
      <c r="A44" s="13" t="s">
        <v>178</v>
      </c>
      <c r="B44">
        <v>59852</v>
      </c>
    </row>
    <row r="45" spans="1:2" x14ac:dyDescent="0.3">
      <c r="A45" s="13" t="s">
        <v>179</v>
      </c>
      <c r="B45">
        <v>1265146</v>
      </c>
    </row>
    <row r="46" spans="1:2" x14ac:dyDescent="0.3">
      <c r="A46" s="13" t="s">
        <v>180</v>
      </c>
      <c r="B46">
        <v>10100</v>
      </c>
    </row>
    <row r="47" spans="1:2" x14ac:dyDescent="0.3">
      <c r="A47" s="13" t="s">
        <v>181</v>
      </c>
      <c r="B47">
        <v>12436</v>
      </c>
    </row>
    <row r="48" spans="1:2" x14ac:dyDescent="0.3">
      <c r="A48" s="13" t="s">
        <v>182</v>
      </c>
      <c r="B48">
        <v>35408</v>
      </c>
    </row>
    <row r="49" spans="1:2" x14ac:dyDescent="0.3">
      <c r="A49" s="13" t="s">
        <v>183</v>
      </c>
      <c r="B49">
        <v>131160</v>
      </c>
    </row>
    <row r="50" spans="1:2" x14ac:dyDescent="0.3">
      <c r="A50" s="13" t="s">
        <v>184</v>
      </c>
      <c r="B50">
        <v>295006</v>
      </c>
    </row>
    <row r="51" spans="1:2" x14ac:dyDescent="0.3">
      <c r="A51" s="13" t="s">
        <v>185</v>
      </c>
      <c r="B51">
        <v>410060</v>
      </c>
    </row>
    <row r="52" spans="1:2" x14ac:dyDescent="0.3">
      <c r="A52" s="13" t="s">
        <v>186</v>
      </c>
      <c r="B52">
        <v>59296</v>
      </c>
    </row>
    <row r="53" spans="1:2" x14ac:dyDescent="0.3">
      <c r="A53" s="13" t="s">
        <v>187</v>
      </c>
      <c r="B53">
        <v>630628</v>
      </c>
    </row>
    <row r="54" spans="1:2" x14ac:dyDescent="0.3">
      <c r="A54" s="13" t="s">
        <v>188</v>
      </c>
      <c r="B54">
        <v>8574</v>
      </c>
    </row>
    <row r="55" spans="1:2" x14ac:dyDescent="0.3">
      <c r="A55" s="13" t="s">
        <v>189</v>
      </c>
      <c r="B55">
        <v>27708</v>
      </c>
    </row>
    <row r="56" spans="1:2" x14ac:dyDescent="0.3">
      <c r="A56" s="13" t="s">
        <v>190</v>
      </c>
      <c r="B56">
        <v>1997834</v>
      </c>
    </row>
    <row r="57" spans="1:2" x14ac:dyDescent="0.3">
      <c r="A57" s="13" t="s">
        <v>191</v>
      </c>
      <c r="B57">
        <v>656766</v>
      </c>
    </row>
    <row r="58" spans="1:2" x14ac:dyDescent="0.3">
      <c r="A58" s="13" t="s">
        <v>192</v>
      </c>
      <c r="B58">
        <v>6355206</v>
      </c>
    </row>
    <row r="59" spans="1:2" x14ac:dyDescent="0.3">
      <c r="A59" s="13" t="s">
        <v>468</v>
      </c>
      <c r="B59">
        <v>12779476</v>
      </c>
    </row>
    <row r="62" spans="1:2" x14ac:dyDescent="0.3">
      <c r="A62" s="12" t="s">
        <v>467</v>
      </c>
      <c r="B62" t="s">
        <v>466</v>
      </c>
    </row>
    <row r="63" spans="1:2" x14ac:dyDescent="0.3">
      <c r="A63" s="13" t="s">
        <v>469</v>
      </c>
      <c r="B63">
        <v>1773609</v>
      </c>
    </row>
    <row r="64" spans="1:2" x14ac:dyDescent="0.3">
      <c r="A64" s="13" t="s">
        <v>470</v>
      </c>
      <c r="B64">
        <v>7687469</v>
      </c>
    </row>
    <row r="65" spans="1:3" x14ac:dyDescent="0.3">
      <c r="A65" s="13" t="s">
        <v>471</v>
      </c>
      <c r="B65">
        <v>3296370</v>
      </c>
    </row>
    <row r="66" spans="1:3" x14ac:dyDescent="0.3">
      <c r="A66" s="13" t="s">
        <v>472</v>
      </c>
      <c r="B66">
        <v>22028</v>
      </c>
    </row>
    <row r="67" spans="1:3" x14ac:dyDescent="0.3">
      <c r="A67" s="13" t="s">
        <v>468</v>
      </c>
      <c r="B67">
        <v>12779476</v>
      </c>
    </row>
    <row r="72" spans="1:3" x14ac:dyDescent="0.3">
      <c r="A72" s="12" t="s">
        <v>467</v>
      </c>
      <c r="B72" t="s">
        <v>473</v>
      </c>
      <c r="C72" t="s">
        <v>466</v>
      </c>
    </row>
    <row r="73" spans="1:3" x14ac:dyDescent="0.3">
      <c r="A73" s="13" t="s">
        <v>174</v>
      </c>
      <c r="B73">
        <v>200</v>
      </c>
      <c r="C73">
        <v>82482</v>
      </c>
    </row>
    <row r="74" spans="1:3" x14ac:dyDescent="0.3">
      <c r="A74" s="13" t="s">
        <v>176</v>
      </c>
      <c r="B74">
        <v>16</v>
      </c>
      <c r="C74">
        <v>17268</v>
      </c>
    </row>
    <row r="75" spans="1:3" x14ac:dyDescent="0.3">
      <c r="A75" s="13" t="s">
        <v>177</v>
      </c>
      <c r="B75">
        <v>1512</v>
      </c>
      <c r="C75">
        <v>724546</v>
      </c>
    </row>
    <row r="76" spans="1:3" x14ac:dyDescent="0.3">
      <c r="A76" s="13" t="s">
        <v>178</v>
      </c>
      <c r="B76">
        <v>128</v>
      </c>
      <c r="C76">
        <v>59852</v>
      </c>
    </row>
    <row r="77" spans="1:3" x14ac:dyDescent="0.3">
      <c r="A77" s="13" t="s">
        <v>179</v>
      </c>
      <c r="B77">
        <v>1436</v>
      </c>
      <c r="C77">
        <v>1265146</v>
      </c>
    </row>
    <row r="78" spans="1:3" x14ac:dyDescent="0.3">
      <c r="A78" s="13" t="s">
        <v>180</v>
      </c>
      <c r="B78">
        <v>16</v>
      </c>
      <c r="C78">
        <v>10100</v>
      </c>
    </row>
    <row r="79" spans="1:3" x14ac:dyDescent="0.3">
      <c r="A79" s="13" t="s">
        <v>181</v>
      </c>
      <c r="B79">
        <v>22</v>
      </c>
      <c r="C79">
        <v>12436</v>
      </c>
    </row>
    <row r="80" spans="1:3" x14ac:dyDescent="0.3">
      <c r="A80" s="13" t="s">
        <v>182</v>
      </c>
      <c r="B80">
        <v>80</v>
      </c>
      <c r="C80">
        <v>35408</v>
      </c>
    </row>
    <row r="81" spans="1:3" x14ac:dyDescent="0.3">
      <c r="A81" s="13" t="s">
        <v>183</v>
      </c>
      <c r="B81">
        <v>106</v>
      </c>
      <c r="C81">
        <v>131160</v>
      </c>
    </row>
    <row r="82" spans="1:3" x14ac:dyDescent="0.3">
      <c r="A82" s="13" t="s">
        <v>184</v>
      </c>
      <c r="B82">
        <v>240</v>
      </c>
      <c r="C82">
        <v>295006</v>
      </c>
    </row>
    <row r="83" spans="1:3" x14ac:dyDescent="0.3">
      <c r="A83" s="13" t="s">
        <v>185</v>
      </c>
      <c r="B83">
        <v>314</v>
      </c>
      <c r="C83">
        <v>410060</v>
      </c>
    </row>
    <row r="84" spans="1:3" x14ac:dyDescent="0.3">
      <c r="A84" s="13" t="s">
        <v>186</v>
      </c>
      <c r="B84">
        <v>66</v>
      </c>
      <c r="C84">
        <v>59296</v>
      </c>
    </row>
    <row r="85" spans="1:3" x14ac:dyDescent="0.3">
      <c r="A85" s="13" t="s">
        <v>187</v>
      </c>
      <c r="B85">
        <v>1077</v>
      </c>
      <c r="C85">
        <v>630628</v>
      </c>
    </row>
    <row r="86" spans="1:3" x14ac:dyDescent="0.3">
      <c r="A86" s="13" t="s">
        <v>188</v>
      </c>
      <c r="B86">
        <v>21</v>
      </c>
      <c r="C86">
        <v>8574</v>
      </c>
    </row>
    <row r="87" spans="1:3" x14ac:dyDescent="0.3">
      <c r="A87" s="13" t="s">
        <v>189</v>
      </c>
      <c r="B87">
        <v>57</v>
      </c>
      <c r="C87">
        <v>27708</v>
      </c>
    </row>
    <row r="88" spans="1:3" x14ac:dyDescent="0.3">
      <c r="A88" s="13" t="s">
        <v>190</v>
      </c>
      <c r="B88">
        <v>1931</v>
      </c>
      <c r="C88">
        <v>1997834</v>
      </c>
    </row>
    <row r="89" spans="1:3" x14ac:dyDescent="0.3">
      <c r="A89" s="13" t="s">
        <v>191</v>
      </c>
      <c r="B89">
        <v>315</v>
      </c>
      <c r="C89">
        <v>656766</v>
      </c>
    </row>
    <row r="90" spans="1:3" x14ac:dyDescent="0.3">
      <c r="A90" s="13" t="s">
        <v>192</v>
      </c>
      <c r="B90">
        <v>2802</v>
      </c>
      <c r="C90">
        <v>6355206</v>
      </c>
    </row>
    <row r="91" spans="1:3" x14ac:dyDescent="0.3">
      <c r="A91" s="13" t="s">
        <v>468</v>
      </c>
      <c r="B91">
        <v>10339</v>
      </c>
      <c r="C91">
        <v>12779476</v>
      </c>
    </row>
    <row r="97" spans="1:3" x14ac:dyDescent="0.3">
      <c r="A97" s="2"/>
      <c r="B97" s="3"/>
      <c r="C97" s="4"/>
    </row>
    <row r="98" spans="1:3" x14ac:dyDescent="0.3">
      <c r="A98" s="5"/>
      <c r="B98" s="6"/>
      <c r="C98" s="7"/>
    </row>
    <row r="99" spans="1:3" x14ac:dyDescent="0.3">
      <c r="A99" s="5"/>
      <c r="B99" s="6"/>
      <c r="C99" s="7"/>
    </row>
    <row r="100" spans="1:3" x14ac:dyDescent="0.3">
      <c r="A100" s="5"/>
      <c r="B100" s="6"/>
      <c r="C100" s="7"/>
    </row>
    <row r="101" spans="1:3" x14ac:dyDescent="0.3">
      <c r="A101" s="5"/>
      <c r="B101" s="6"/>
      <c r="C101" s="7"/>
    </row>
    <row r="102" spans="1:3" x14ac:dyDescent="0.3">
      <c r="A102" s="5"/>
      <c r="B102" s="6"/>
      <c r="C102" s="7"/>
    </row>
    <row r="103" spans="1:3" x14ac:dyDescent="0.3">
      <c r="A103" s="5"/>
      <c r="B103" s="6"/>
      <c r="C103" s="7"/>
    </row>
    <row r="104" spans="1:3" x14ac:dyDescent="0.3">
      <c r="A104" s="5"/>
      <c r="B104" s="6"/>
      <c r="C104" s="7"/>
    </row>
    <row r="105" spans="1:3" x14ac:dyDescent="0.3">
      <c r="A105" s="5"/>
      <c r="B105" s="6"/>
      <c r="C105" s="7"/>
    </row>
    <row r="106" spans="1:3" x14ac:dyDescent="0.3">
      <c r="A106" s="5"/>
      <c r="B106" s="6"/>
      <c r="C106" s="7"/>
    </row>
    <row r="107" spans="1:3" x14ac:dyDescent="0.3">
      <c r="A107" s="5"/>
      <c r="B107" s="6"/>
      <c r="C107" s="7"/>
    </row>
    <row r="108" spans="1:3" x14ac:dyDescent="0.3">
      <c r="A108" s="5"/>
      <c r="B108" s="6"/>
      <c r="C108" s="7"/>
    </row>
    <row r="109" spans="1:3" x14ac:dyDescent="0.3">
      <c r="A109" s="5"/>
      <c r="B109" s="6"/>
      <c r="C109" s="7"/>
    </row>
    <row r="110" spans="1:3" x14ac:dyDescent="0.3">
      <c r="A110" s="5"/>
      <c r="B110" s="6"/>
      <c r="C110" s="7"/>
    </row>
    <row r="111" spans="1:3" x14ac:dyDescent="0.3">
      <c r="A111" s="5"/>
      <c r="B111" s="6"/>
      <c r="C111" s="7"/>
    </row>
    <row r="112" spans="1:3" x14ac:dyDescent="0.3">
      <c r="A112" s="5"/>
      <c r="B112" s="6"/>
      <c r="C112" s="7"/>
    </row>
    <row r="113" spans="1:3" x14ac:dyDescent="0.3">
      <c r="A113" s="5"/>
      <c r="B113" s="6"/>
      <c r="C113" s="7"/>
    </row>
    <row r="114" spans="1:3" x14ac:dyDescent="0.3">
      <c r="A114" s="8"/>
      <c r="B114" s="9"/>
      <c r="C114" s="10"/>
    </row>
  </sheetData>
  <pageMargins left="0.7" right="0.7" top="0.75" bottom="0.75" header="0.3" footer="0.3"/>
  <drawing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79E9FE-FC1D-4952-B591-F8A4E1268E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customer_table</vt:lpstr>
      <vt:lpstr>date_table</vt:lpstr>
      <vt:lpstr>markets_table</vt:lpstr>
      <vt:lpstr>product_table</vt:lpstr>
      <vt:lpstr>transactions_table</vt:lpstr>
      <vt:lpstr>Master_datatables</vt:lpstr>
      <vt:lpstr>pivots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Sharmila G</cp:lastModifiedBy>
  <dcterms:created xsi:type="dcterms:W3CDTF">2026-05-05T09:51:51Z</dcterms:created>
  <dcterms:modified xsi:type="dcterms:W3CDTF">2026-05-06T07:22:17Z</dcterms:modified>
</cp:coreProperties>
</file>